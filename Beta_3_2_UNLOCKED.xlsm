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7.xml.rels" ContentType="application/vnd.openxmlformats-package.relationship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1" sheetId="1" state="visible" r:id="rId4"/>
    <sheet name="Backend_Settings" sheetId="2" state="visible" r:id="rId5"/>
    <sheet name="ConsolidatedData" sheetId="3" state="visible" r:id="rId6"/>
    <sheet name="Audit_Log" sheetId="4" state="visible" r:id="rId7"/>
    <sheet name="Sheet7" sheetId="5" state="visible" r:id="rId8"/>
    <sheet name="Rule_DB" sheetId="6" state="visible" r:id="rId9"/>
    <sheet name="Program_Library" sheetId="7" state="visible" r:id="rId10"/>
    <sheet name="Template_DB" sheetId="8" state="visible" r:id="rId11"/>
    <sheet name="Language_Bits" sheetId="9" state="visible" r:id="rId12"/>
    <sheet name="Search Matrix" sheetId="10" state="visible" r:id="rId13"/>
  </sheets>
  <definedNames>
    <definedName function="false" hidden="false" name="Crypto" vbProcedure="false">Template_DB!$A$5:$A$6</definedName>
    <definedName function="false" hidden="false" name="ScenarioOptions" vbProcedure="false">Sheet7!$Z$1</definedName>
    <definedName function="false" hidden="false" name="TemplatesRFI" vbProcedure="false">Sheet7!$E$8:$E$10</definedName>
    <definedName function="false" hidden="false" name="TemplatesStandard" vbProcedure="false">Sheet7!$D$8:$D$10</definedName>
    <definedName function="false" hidden="false" name="Wise" vbProcedure="false">Sheet7!$Z$1</definedName>
    <definedName function="false" hidden="true" name="_xleta.ADDRESS" vbProcedure="false">#NAME?</definedName>
    <definedName function="false" hidden="true" name="_xleta.AND" vbProcedure="false">#NAME?</definedName>
    <definedName function="false" hidden="true" name="_xleta.COUNT" vbProcedure="false">#NAME?</definedName>
    <definedName function="false" hidden="true" name="_xleta.FIND" vbProcedure="false">#NAME?</definedName>
    <definedName function="false" hidden="true" name="_xleta.MIN" vbProcedure="false">#NAME?</definedName>
    <definedName function="false" hidden="true" name="_xleta.SHEET" vbProcedure="false">#NAME?</definedName>
    <definedName function="false" hidden="true" name="_xleta.XLOOKUP" vbProcedure="false">#NAME?</definedName>
    <definedName function="false" hidden="true" name="_xlpm.AlertText" vbProcedure="false">#NAME?</definedName>
    <definedName function="false" hidden="true" name="_xlpm.AllAlerts" vbProcedure="false">#NAME?</definedName>
    <definedName function="false" hidden="true" name="_xlpm.RuleCodes" vbProcedure="false">#NAME?</definedName>
    <definedName function="false" hidden="true" name="_xlpm.SplitNames" vbProcedure="false">#NAME?</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<sst xmlns="http://schemas.openxmlformats.org/spreadsheetml/2006/main" count="2007" uniqueCount="1305">
  <si>
    <t xml:space="preserve">Action Panel</t>
  </si>
  <si>
    <t xml:space="preserve">Alert Related Information</t>
  </si>
  <si>
    <t xml:space="preserve">Decision</t>
  </si>
  <si>
    <t xml:space="preserve">Template</t>
  </si>
  <si>
    <t xml:space="preserve">Program Name</t>
  </si>
  <si>
    <t xml:space="preserve">Escalation Scenario</t>
  </si>
  <si>
    <t xml:space="preserve">ECM Case</t>
  </si>
  <si>
    <t xml:space="preserve">Alert ID</t>
  </si>
  <si>
    <t xml:space="preserve">Customer/Focal Entity Information</t>
  </si>
  <si>
    <t xml:space="preserve">Customer Name</t>
  </si>
  <si>
    <t xml:space="preserve">Customer Address</t>
  </si>
  <si>
    <t xml:space="preserve">Counterparty Information</t>
  </si>
  <si>
    <t xml:space="preserve">Add-Ons</t>
  </si>
  <si>
    <t xml:space="preserve">CounterParty #s</t>
  </si>
  <si>
    <t xml:space="preserve">Counterparty Name</t>
  </si>
  <si>
    <t xml:space="preserve">Counterparty Address</t>
  </si>
  <si>
    <t xml:space="preserve">CounterParty 1</t>
  </si>
  <si>
    <t xml:space="preserve">CounterParty 2</t>
  </si>
  <si>
    <t xml:space="preserve">CounterParty 3</t>
  </si>
  <si>
    <t xml:space="preserve">CounterParty 4</t>
  </si>
  <si>
    <t xml:space="preserve">CounterParty 5</t>
  </si>
  <si>
    <t xml:space="preserve">CounterParty 6</t>
  </si>
  <si>
    <t xml:space="preserve">Country Name</t>
  </si>
  <si>
    <t xml:space="preserve">ISOCode2</t>
  </si>
  <si>
    <t xml:space="preserve">ISOCode3</t>
  </si>
  <si>
    <t xml:space="preserve">Risk Score</t>
  </si>
  <si>
    <t xml:space="preserve">Risk Level</t>
  </si>
  <si>
    <t xml:space="preserve">CountryName</t>
  </si>
  <si>
    <t xml:space="preserve">IsoCode2</t>
  </si>
  <si>
    <t xml:space="preserve">IsoCode3</t>
  </si>
  <si>
    <t xml:space="preserve">RiskLevel</t>
  </si>
  <si>
    <t xml:space="preserve">RiskScore</t>
  </si>
  <si>
    <t xml:space="preserve">AFGHANISTAN</t>
  </si>
  <si>
    <t xml:space="preserve">AF</t>
  </si>
  <si>
    <t xml:space="preserve">AFG</t>
  </si>
  <si>
    <t xml:space="preserve">Prohibited</t>
  </si>
  <si>
    <t xml:space="preserve">ALAND ISLANDS</t>
  </si>
  <si>
    <t xml:space="preserve">AX</t>
  </si>
  <si>
    <t xml:space="preserve">Medium</t>
  </si>
  <si>
    <t xml:space="preserve">ALBANIA</t>
  </si>
  <si>
    <t xml:space="preserve">AL</t>
  </si>
  <si>
    <t xml:space="preserve">ALB</t>
  </si>
  <si>
    <t xml:space="preserve">High</t>
  </si>
  <si>
    <t xml:space="preserve">ALGERIA</t>
  </si>
  <si>
    <t xml:space="preserve">DZ</t>
  </si>
  <si>
    <t xml:space="preserve">DZA</t>
  </si>
  <si>
    <t xml:space="preserve">AMERICAN SAMOA</t>
  </si>
  <si>
    <t xml:space="preserve">AS</t>
  </si>
  <si>
    <t xml:space="preserve">ASM</t>
  </si>
  <si>
    <t xml:space="preserve">ANDORRA</t>
  </si>
  <si>
    <t xml:space="preserve">AD</t>
  </si>
  <si>
    <t xml:space="preserve">AND</t>
  </si>
  <si>
    <t xml:space="preserve">ANGOLA</t>
  </si>
  <si>
    <t xml:space="preserve">AO</t>
  </si>
  <si>
    <t xml:space="preserve">AGO</t>
  </si>
  <si>
    <t xml:space="preserve">ANGUILLA</t>
  </si>
  <si>
    <t xml:space="preserve">AI</t>
  </si>
  <si>
    <t xml:space="preserve">ANTARCTICA</t>
  </si>
  <si>
    <t xml:space="preserve">AQ</t>
  </si>
  <si>
    <t xml:space="preserve">ATA</t>
  </si>
  <si>
    <t xml:space="preserve">Low</t>
  </si>
  <si>
    <t xml:space="preserve">ANTIGUA</t>
  </si>
  <si>
    <t xml:space="preserve">AG</t>
  </si>
  <si>
    <t xml:space="preserve">ATG</t>
  </si>
  <si>
    <t xml:space="preserve">ARGENTINA</t>
  </si>
  <si>
    <t xml:space="preserve">AR</t>
  </si>
  <si>
    <t xml:space="preserve">ARG</t>
  </si>
  <si>
    <t xml:space="preserve">ARMENIA</t>
  </si>
  <si>
    <t xml:space="preserve">AM</t>
  </si>
  <si>
    <t xml:space="preserve">ARM</t>
  </si>
  <si>
    <t xml:space="preserve">ARUBA</t>
  </si>
  <si>
    <t xml:space="preserve">AW</t>
  </si>
  <si>
    <t xml:space="preserve">ABW</t>
  </si>
  <si>
    <t xml:space="preserve">AUSTRALIA</t>
  </si>
  <si>
    <t xml:space="preserve">AU</t>
  </si>
  <si>
    <t xml:space="preserve">AUSTRIA</t>
  </si>
  <si>
    <t xml:space="preserve">AT</t>
  </si>
  <si>
    <t xml:space="preserve">AUT</t>
  </si>
  <si>
    <t xml:space="preserve">AZERBAIJAN</t>
  </si>
  <si>
    <t xml:space="preserve">AZ</t>
  </si>
  <si>
    <t xml:space="preserve">AZE</t>
  </si>
  <si>
    <t xml:space="preserve">BAHAMAS</t>
  </si>
  <si>
    <t xml:space="preserve">BS</t>
  </si>
  <si>
    <t xml:space="preserve">BHS</t>
  </si>
  <si>
    <t xml:space="preserve">BAHRAIN</t>
  </si>
  <si>
    <t xml:space="preserve">BH</t>
  </si>
  <si>
    <t xml:space="preserve">BHR</t>
  </si>
  <si>
    <t xml:space="preserve">BANGLADESH</t>
  </si>
  <si>
    <t xml:space="preserve">BD</t>
  </si>
  <si>
    <t xml:space="preserve">BGD</t>
  </si>
  <si>
    <t xml:space="preserve">BARBADOS</t>
  </si>
  <si>
    <t xml:space="preserve">BB</t>
  </si>
  <si>
    <t xml:space="preserve">BRB</t>
  </si>
  <si>
    <t xml:space="preserve">BELARUS</t>
  </si>
  <si>
    <t xml:space="preserve">BY</t>
  </si>
  <si>
    <t xml:space="preserve">BLR</t>
  </si>
  <si>
    <t xml:space="preserve">BELGIUM</t>
  </si>
  <si>
    <t xml:space="preserve">BE</t>
  </si>
  <si>
    <t xml:space="preserve">BEL</t>
  </si>
  <si>
    <t xml:space="preserve">BELIZE</t>
  </si>
  <si>
    <t xml:space="preserve">BZ</t>
  </si>
  <si>
    <t xml:space="preserve">BLZ</t>
  </si>
  <si>
    <t xml:space="preserve">BENIN</t>
  </si>
  <si>
    <t xml:space="preserve">BJ</t>
  </si>
  <si>
    <t xml:space="preserve">BEN</t>
  </si>
  <si>
    <t xml:space="preserve">BERMUDA</t>
  </si>
  <si>
    <t xml:space="preserve">BM</t>
  </si>
  <si>
    <t xml:space="preserve">BMU</t>
  </si>
  <si>
    <t xml:space="preserve">BHUTAN</t>
  </si>
  <si>
    <t xml:space="preserve">BT</t>
  </si>
  <si>
    <t xml:space="preserve">BTN</t>
  </si>
  <si>
    <t xml:space="preserve">BOLIVIA</t>
  </si>
  <si>
    <t xml:space="preserve">BO</t>
  </si>
  <si>
    <t xml:space="preserve">BOL</t>
  </si>
  <si>
    <t xml:space="preserve">BONAIRE SINT EUSTATIUS AND SABA</t>
  </si>
  <si>
    <t xml:space="preserve">BQ</t>
  </si>
  <si>
    <t xml:space="preserve">BOSNIAHERZ</t>
  </si>
  <si>
    <t xml:space="preserve">BA</t>
  </si>
  <si>
    <t xml:space="preserve">BIH</t>
  </si>
  <si>
    <t xml:space="preserve">BOTSWANA</t>
  </si>
  <si>
    <t xml:space="preserve">BW</t>
  </si>
  <si>
    <t xml:space="preserve">BWA</t>
  </si>
  <si>
    <t xml:space="preserve">BOUVET ISLAND</t>
  </si>
  <si>
    <t xml:space="preserve">BV</t>
  </si>
  <si>
    <t xml:space="preserve">BVT</t>
  </si>
  <si>
    <t xml:space="preserve">BR IND OC TER</t>
  </si>
  <si>
    <t xml:space="preserve">IO</t>
  </si>
  <si>
    <t xml:space="preserve">BRAZIL</t>
  </si>
  <si>
    <t xml:space="preserve">BR</t>
  </si>
  <si>
    <t xml:space="preserve">BRA</t>
  </si>
  <si>
    <t xml:space="preserve">BRUNEI</t>
  </si>
  <si>
    <t xml:space="preserve">BN</t>
  </si>
  <si>
    <t xml:space="preserve">BRN</t>
  </si>
  <si>
    <t xml:space="preserve">BULGARIA</t>
  </si>
  <si>
    <t xml:space="preserve">BG</t>
  </si>
  <si>
    <t xml:space="preserve">BGR</t>
  </si>
  <si>
    <t xml:space="preserve">BURKINA FASO</t>
  </si>
  <si>
    <t xml:space="preserve">BF</t>
  </si>
  <si>
    <t xml:space="preserve">BFA</t>
  </si>
  <si>
    <t xml:space="preserve">BURUNDI</t>
  </si>
  <si>
    <t xml:space="preserve">BI</t>
  </si>
  <si>
    <t xml:space="preserve">BDI</t>
  </si>
  <si>
    <t xml:space="preserve">CAMBODIA</t>
  </si>
  <si>
    <t xml:space="preserve">KH</t>
  </si>
  <si>
    <t xml:space="preserve">KHM</t>
  </si>
  <si>
    <t xml:space="preserve">CAMEROON</t>
  </si>
  <si>
    <t xml:space="preserve">CM</t>
  </si>
  <si>
    <t xml:space="preserve">CMR</t>
  </si>
  <si>
    <t xml:space="preserve">CANADA</t>
  </si>
  <si>
    <t xml:space="preserve">CA</t>
  </si>
  <si>
    <t xml:space="preserve">CAN</t>
  </si>
  <si>
    <t xml:space="preserve">CAPE VERDE</t>
  </si>
  <si>
    <t xml:space="preserve">CV</t>
  </si>
  <si>
    <t xml:space="preserve">CPV</t>
  </si>
  <si>
    <t xml:space="preserve">CAYMAN ISLANDS</t>
  </si>
  <si>
    <t xml:space="preserve">KY</t>
  </si>
  <si>
    <t xml:space="preserve">CYM</t>
  </si>
  <si>
    <t xml:space="preserve">CENT AFR</t>
  </si>
  <si>
    <t xml:space="preserve">CF</t>
  </si>
  <si>
    <t xml:space="preserve">CAF</t>
  </si>
  <si>
    <t xml:space="preserve">CHAD</t>
  </si>
  <si>
    <t xml:space="preserve">TD</t>
  </si>
  <si>
    <t xml:space="preserve">TCD</t>
  </si>
  <si>
    <t xml:space="preserve">CHILE</t>
  </si>
  <si>
    <t xml:space="preserve">CL</t>
  </si>
  <si>
    <t xml:space="preserve">CHL</t>
  </si>
  <si>
    <t xml:space="preserve">CHINA</t>
  </si>
  <si>
    <t xml:space="preserve">CN</t>
  </si>
  <si>
    <t xml:space="preserve">CHN</t>
  </si>
  <si>
    <t xml:space="preserve">CHRISTMAS ISLAND</t>
  </si>
  <si>
    <t xml:space="preserve">CX</t>
  </si>
  <si>
    <t xml:space="preserve">CXR</t>
  </si>
  <si>
    <t xml:space="preserve">COCOS ISLANDS</t>
  </si>
  <si>
    <t xml:space="preserve">CC</t>
  </si>
  <si>
    <t xml:space="preserve">CCK</t>
  </si>
  <si>
    <t xml:space="preserve">COLOMBIA</t>
  </si>
  <si>
    <t xml:space="preserve">CO</t>
  </si>
  <si>
    <t xml:space="preserve">COL</t>
  </si>
  <si>
    <t xml:space="preserve">COMOROS</t>
  </si>
  <si>
    <t xml:space="preserve">KM</t>
  </si>
  <si>
    <t xml:space="preserve">COM</t>
  </si>
  <si>
    <t xml:space="preserve">CONGO KINSHASA</t>
  </si>
  <si>
    <t xml:space="preserve">CD</t>
  </si>
  <si>
    <t xml:space="preserve">COD</t>
  </si>
  <si>
    <t xml:space="preserve">CONGOBRAZZAVILLE</t>
  </si>
  <si>
    <t xml:space="preserve">CG</t>
  </si>
  <si>
    <t xml:space="preserve">COG</t>
  </si>
  <si>
    <t xml:space="preserve">COOK ISLANDS</t>
  </si>
  <si>
    <t xml:space="preserve">CK</t>
  </si>
  <si>
    <t xml:space="preserve">COK</t>
  </si>
  <si>
    <t xml:space="preserve">COSTA RICA</t>
  </si>
  <si>
    <t xml:space="preserve">CR</t>
  </si>
  <si>
    <t xml:space="preserve">CRI</t>
  </si>
  <si>
    <t xml:space="preserve">COTE DIVOIRY</t>
  </si>
  <si>
    <t xml:space="preserve">CI</t>
  </si>
  <si>
    <t xml:space="preserve">CIV</t>
  </si>
  <si>
    <t xml:space="preserve">CROATIA</t>
  </si>
  <si>
    <t xml:space="preserve">HR</t>
  </si>
  <si>
    <t xml:space="preserve">HRV</t>
  </si>
  <si>
    <t xml:space="preserve">CUBA</t>
  </si>
  <si>
    <t xml:space="preserve">CU</t>
  </si>
  <si>
    <t xml:space="preserve">CUB</t>
  </si>
  <si>
    <t xml:space="preserve">CURAAO</t>
  </si>
  <si>
    <t xml:space="preserve">CW</t>
  </si>
  <si>
    <t xml:space="preserve">CUW</t>
  </si>
  <si>
    <t xml:space="preserve">CYPRUS</t>
  </si>
  <si>
    <t xml:space="preserve">CY</t>
  </si>
  <si>
    <t xml:space="preserve">CYP</t>
  </si>
  <si>
    <t xml:space="preserve">CZECH REPUBLIC</t>
  </si>
  <si>
    <t xml:space="preserve">CZ</t>
  </si>
  <si>
    <t xml:space="preserve">CZE</t>
  </si>
  <si>
    <t xml:space="preserve">DENMARK</t>
  </si>
  <si>
    <t xml:space="preserve">DK</t>
  </si>
  <si>
    <t xml:space="preserve">DNK</t>
  </si>
  <si>
    <t xml:space="preserve">DJIBOUTI</t>
  </si>
  <si>
    <t xml:space="preserve">DJ</t>
  </si>
  <si>
    <t xml:space="preserve">DJI</t>
  </si>
  <si>
    <t xml:space="preserve">DOMINICA</t>
  </si>
  <si>
    <t xml:space="preserve">DM</t>
  </si>
  <si>
    <t xml:space="preserve">DMA</t>
  </si>
  <si>
    <t xml:space="preserve">DOMINICAN</t>
  </si>
  <si>
    <t xml:space="preserve">DO</t>
  </si>
  <si>
    <t xml:space="preserve">DOM</t>
  </si>
  <si>
    <t xml:space="preserve">ECUADOR</t>
  </si>
  <si>
    <t xml:space="preserve">EC</t>
  </si>
  <si>
    <t xml:space="preserve">ECU</t>
  </si>
  <si>
    <t xml:space="preserve">EGYPT</t>
  </si>
  <si>
    <t xml:space="preserve">EG</t>
  </si>
  <si>
    <t xml:space="preserve">EGY</t>
  </si>
  <si>
    <t xml:space="preserve">EL SALVADOR</t>
  </si>
  <si>
    <t xml:space="preserve">SV</t>
  </si>
  <si>
    <t xml:space="preserve">SLV</t>
  </si>
  <si>
    <t xml:space="preserve">EQU GUINEA</t>
  </si>
  <si>
    <t xml:space="preserve">GQ</t>
  </si>
  <si>
    <t xml:space="preserve">GNQ</t>
  </si>
  <si>
    <t xml:space="preserve">ERITREA</t>
  </si>
  <si>
    <t xml:space="preserve">ER</t>
  </si>
  <si>
    <t xml:space="preserve">ERI</t>
  </si>
  <si>
    <t xml:space="preserve">ESTONIA</t>
  </si>
  <si>
    <t xml:space="preserve">EE</t>
  </si>
  <si>
    <t xml:space="preserve">EST</t>
  </si>
  <si>
    <t xml:space="preserve">ETHIOPIA</t>
  </si>
  <si>
    <t xml:space="preserve">ET</t>
  </si>
  <si>
    <t xml:space="preserve">ETH</t>
  </si>
  <si>
    <t xml:space="preserve">FALKLAND ISLAND</t>
  </si>
  <si>
    <t xml:space="preserve">FK</t>
  </si>
  <si>
    <t xml:space="preserve">FLK</t>
  </si>
  <si>
    <t xml:space="preserve">FAROE ISLANDS</t>
  </si>
  <si>
    <t xml:space="preserve">FO</t>
  </si>
  <si>
    <t xml:space="preserve">FRO</t>
  </si>
  <si>
    <t xml:space="preserve">FIJI</t>
  </si>
  <si>
    <t xml:space="preserve">FJ</t>
  </si>
  <si>
    <t xml:space="preserve">FJI</t>
  </si>
  <si>
    <t xml:space="preserve">FINLAND</t>
  </si>
  <si>
    <t xml:space="preserve">FI</t>
  </si>
  <si>
    <t xml:space="preserve">FIN</t>
  </si>
  <si>
    <t xml:space="preserve">FR POLYNESIA</t>
  </si>
  <si>
    <t xml:space="preserve">PF</t>
  </si>
  <si>
    <t xml:space="preserve">PYF</t>
  </si>
  <si>
    <t xml:space="preserve">FR S TERRIT</t>
  </si>
  <si>
    <t xml:space="preserve">TF</t>
  </si>
  <si>
    <t xml:space="preserve">ATF</t>
  </si>
  <si>
    <t xml:space="preserve">FRANCE</t>
  </si>
  <si>
    <t xml:space="preserve">FR</t>
  </si>
  <si>
    <t xml:space="preserve">FRA</t>
  </si>
  <si>
    <t xml:space="preserve">FRENCH GUIANA</t>
  </si>
  <si>
    <t xml:space="preserve">GF</t>
  </si>
  <si>
    <t xml:space="preserve">GUF</t>
  </si>
  <si>
    <t xml:space="preserve">GABON</t>
  </si>
  <si>
    <t xml:space="preserve">GA</t>
  </si>
  <si>
    <t xml:space="preserve">GAB</t>
  </si>
  <si>
    <t xml:space="preserve">GAMBIA</t>
  </si>
  <si>
    <t xml:space="preserve">GM</t>
  </si>
  <si>
    <t xml:space="preserve">GMB</t>
  </si>
  <si>
    <t xml:space="preserve">GEORGIA</t>
  </si>
  <si>
    <t xml:space="preserve">GE</t>
  </si>
  <si>
    <t xml:space="preserve">GEO</t>
  </si>
  <si>
    <t xml:space="preserve">GERMANY</t>
  </si>
  <si>
    <t xml:space="preserve">DE</t>
  </si>
  <si>
    <t xml:space="preserve">DEU</t>
  </si>
  <si>
    <t xml:space="preserve">GHANA</t>
  </si>
  <si>
    <t xml:space="preserve">GH</t>
  </si>
  <si>
    <t xml:space="preserve">GHA</t>
  </si>
  <si>
    <t xml:space="preserve">GIBRALTAR</t>
  </si>
  <si>
    <t xml:space="preserve">GI</t>
  </si>
  <si>
    <t xml:space="preserve">GIB</t>
  </si>
  <si>
    <t xml:space="preserve">GREECE</t>
  </si>
  <si>
    <t xml:space="preserve">GR</t>
  </si>
  <si>
    <t xml:space="preserve">GRC</t>
  </si>
  <si>
    <t xml:space="preserve">GREENLAND</t>
  </si>
  <si>
    <t xml:space="preserve">GL</t>
  </si>
  <si>
    <t xml:space="preserve">GRL</t>
  </si>
  <si>
    <t xml:space="preserve">GRENADA</t>
  </si>
  <si>
    <t xml:space="preserve">GD</t>
  </si>
  <si>
    <t xml:space="preserve">GRD</t>
  </si>
  <si>
    <t xml:space="preserve">GUADELOUPE</t>
  </si>
  <si>
    <t xml:space="preserve">GP</t>
  </si>
  <si>
    <t xml:space="preserve">GLP</t>
  </si>
  <si>
    <t xml:space="preserve">GUAM</t>
  </si>
  <si>
    <t xml:space="preserve">GU</t>
  </si>
  <si>
    <t xml:space="preserve">GUM</t>
  </si>
  <si>
    <t xml:space="preserve">GUATEMALA</t>
  </si>
  <si>
    <t xml:space="preserve">GT</t>
  </si>
  <si>
    <t xml:space="preserve">GTM</t>
  </si>
  <si>
    <t xml:space="preserve">GUERNSEY</t>
  </si>
  <si>
    <t xml:space="preserve">GG</t>
  </si>
  <si>
    <t xml:space="preserve">GUINEA</t>
  </si>
  <si>
    <t xml:space="preserve">GN</t>
  </si>
  <si>
    <t xml:space="preserve">GIN</t>
  </si>
  <si>
    <t xml:space="preserve">GUINEABISSAU</t>
  </si>
  <si>
    <t xml:space="preserve">GW</t>
  </si>
  <si>
    <t xml:space="preserve">GNB</t>
  </si>
  <si>
    <t xml:space="preserve">GUYANA</t>
  </si>
  <si>
    <t xml:space="preserve">GY</t>
  </si>
  <si>
    <t xml:space="preserve">GUY</t>
  </si>
  <si>
    <t xml:space="preserve">HAITI</t>
  </si>
  <si>
    <t xml:space="preserve">HT</t>
  </si>
  <si>
    <t xml:space="preserve">HTI</t>
  </si>
  <si>
    <t xml:space="preserve">HEARD AND MCDONALD</t>
  </si>
  <si>
    <t xml:space="preserve">HM</t>
  </si>
  <si>
    <t xml:space="preserve">HMD</t>
  </si>
  <si>
    <t xml:space="preserve">HONDURAS</t>
  </si>
  <si>
    <t xml:space="preserve">HN</t>
  </si>
  <si>
    <t xml:space="preserve">HND</t>
  </si>
  <si>
    <t xml:space="preserve">HONG KONG</t>
  </si>
  <si>
    <t xml:space="preserve">HK</t>
  </si>
  <si>
    <t xml:space="preserve">HKG</t>
  </si>
  <si>
    <t xml:space="preserve">HUNGARY</t>
  </si>
  <si>
    <t xml:space="preserve">HU</t>
  </si>
  <si>
    <t xml:space="preserve">HUN</t>
  </si>
  <si>
    <t xml:space="preserve">ICELAND</t>
  </si>
  <si>
    <t xml:space="preserve">IS</t>
  </si>
  <si>
    <t xml:space="preserve">ISL</t>
  </si>
  <si>
    <t xml:space="preserve">INDIA</t>
  </si>
  <si>
    <t xml:space="preserve">IN</t>
  </si>
  <si>
    <t xml:space="preserve">IND</t>
  </si>
  <si>
    <t xml:space="preserve">INDONESIA</t>
  </si>
  <si>
    <t xml:space="preserve">ID</t>
  </si>
  <si>
    <t xml:space="preserve">IDN</t>
  </si>
  <si>
    <t xml:space="preserve">INVALID</t>
  </si>
  <si>
    <t xml:space="preserve">ZY</t>
  </si>
  <si>
    <t xml:space="preserve">ZYL</t>
  </si>
  <si>
    <t xml:space="preserve">IRAN</t>
  </si>
  <si>
    <t xml:space="preserve">IR</t>
  </si>
  <si>
    <t xml:space="preserve">IRN</t>
  </si>
  <si>
    <t xml:space="preserve">IRAQ</t>
  </si>
  <si>
    <t xml:space="preserve">IQ</t>
  </si>
  <si>
    <t xml:space="preserve">IRQ</t>
  </si>
  <si>
    <t xml:space="preserve">IRELAND</t>
  </si>
  <si>
    <t xml:space="preserve">IE</t>
  </si>
  <si>
    <t xml:space="preserve">IRL</t>
  </si>
  <si>
    <t xml:space="preserve">ISLE OF MAN</t>
  </si>
  <si>
    <t xml:space="preserve">IM</t>
  </si>
  <si>
    <t xml:space="preserve">IMN</t>
  </si>
  <si>
    <t xml:space="preserve">ISRAEL</t>
  </si>
  <si>
    <t xml:space="preserve">IL</t>
  </si>
  <si>
    <t xml:space="preserve">ISR</t>
  </si>
  <si>
    <t xml:space="preserve">ITALY</t>
  </si>
  <si>
    <t xml:space="preserve">IT</t>
  </si>
  <si>
    <t xml:space="preserve">ITA</t>
  </si>
  <si>
    <t xml:space="preserve">JAMAICA</t>
  </si>
  <si>
    <t xml:space="preserve">JM</t>
  </si>
  <si>
    <t xml:space="preserve">JAM</t>
  </si>
  <si>
    <t xml:space="preserve">JAPAN</t>
  </si>
  <si>
    <t xml:space="preserve">JP</t>
  </si>
  <si>
    <t xml:space="preserve">JPN</t>
  </si>
  <si>
    <t xml:space="preserve">JERSEY</t>
  </si>
  <si>
    <t xml:space="preserve">JE</t>
  </si>
  <si>
    <t xml:space="preserve">JEY</t>
  </si>
  <si>
    <t xml:space="preserve">JORDAN</t>
  </si>
  <si>
    <t xml:space="preserve">JO</t>
  </si>
  <si>
    <t xml:space="preserve">JOR</t>
  </si>
  <si>
    <t xml:space="preserve">KAZAKSTAN</t>
  </si>
  <si>
    <t xml:space="preserve">KZ</t>
  </si>
  <si>
    <t xml:space="preserve">KAZ</t>
  </si>
  <si>
    <t xml:space="preserve">KENYA</t>
  </si>
  <si>
    <t xml:space="preserve">KE</t>
  </si>
  <si>
    <t xml:space="preserve">KEN</t>
  </si>
  <si>
    <t xml:space="preserve">KIRIBATI</t>
  </si>
  <si>
    <t xml:space="preserve">KI</t>
  </si>
  <si>
    <t xml:space="preserve">KIR</t>
  </si>
  <si>
    <t xml:space="preserve">KOREA</t>
  </si>
  <si>
    <t xml:space="preserve">KP</t>
  </si>
  <si>
    <t xml:space="preserve">KOR</t>
  </si>
  <si>
    <t xml:space="preserve">KOREA REP OF</t>
  </si>
  <si>
    <t xml:space="preserve">KR</t>
  </si>
  <si>
    <t xml:space="preserve">PRK</t>
  </si>
  <si>
    <t xml:space="preserve">KOSOVO</t>
  </si>
  <si>
    <t xml:space="preserve">KV</t>
  </si>
  <si>
    <t xml:space="preserve">XK</t>
  </si>
  <si>
    <t xml:space="preserve">XKX</t>
  </si>
  <si>
    <t xml:space="preserve">KUWAIT</t>
  </si>
  <si>
    <t xml:space="preserve">KW</t>
  </si>
  <si>
    <t xml:space="preserve">KWT</t>
  </si>
  <si>
    <t xml:space="preserve">KYRGYZSTAN</t>
  </si>
  <si>
    <t xml:space="preserve">KG</t>
  </si>
  <si>
    <t xml:space="preserve">KGZ</t>
  </si>
  <si>
    <t xml:space="preserve">LAO</t>
  </si>
  <si>
    <t xml:space="preserve">LA</t>
  </si>
  <si>
    <t xml:space="preserve">LATVIA</t>
  </si>
  <si>
    <t xml:space="preserve">LV</t>
  </si>
  <si>
    <t xml:space="preserve">LVA</t>
  </si>
  <si>
    <t xml:space="preserve">LEBANON</t>
  </si>
  <si>
    <t xml:space="preserve">LB</t>
  </si>
  <si>
    <t xml:space="preserve">LBN</t>
  </si>
  <si>
    <t xml:space="preserve">LESOTHO</t>
  </si>
  <si>
    <t xml:space="preserve">LS</t>
  </si>
  <si>
    <t xml:space="preserve">LSO</t>
  </si>
  <si>
    <t xml:space="preserve">LIBERIA</t>
  </si>
  <si>
    <t xml:space="preserve">LR</t>
  </si>
  <si>
    <t xml:space="preserve">LBR</t>
  </si>
  <si>
    <t xml:space="preserve">LIBYA</t>
  </si>
  <si>
    <t xml:space="preserve">LY</t>
  </si>
  <si>
    <t xml:space="preserve">LBY</t>
  </si>
  <si>
    <t xml:space="preserve">LIECHTENSTEIN</t>
  </si>
  <si>
    <t xml:space="preserve">LI</t>
  </si>
  <si>
    <t xml:space="preserve">LIE</t>
  </si>
  <si>
    <t xml:space="preserve">LITHUANIA</t>
  </si>
  <si>
    <t xml:space="preserve">LT</t>
  </si>
  <si>
    <t xml:space="preserve">LTU</t>
  </si>
  <si>
    <t xml:space="preserve">LUXEMBOURG</t>
  </si>
  <si>
    <t xml:space="preserve">LU</t>
  </si>
  <si>
    <t xml:space="preserve">LUX</t>
  </si>
  <si>
    <t xml:space="preserve">MACAU</t>
  </si>
  <si>
    <t xml:space="preserve">MO</t>
  </si>
  <si>
    <t xml:space="preserve">MAC</t>
  </si>
  <si>
    <t xml:space="preserve">MACEDONIA</t>
  </si>
  <si>
    <t xml:space="preserve">MK</t>
  </si>
  <si>
    <t xml:space="preserve">MKD</t>
  </si>
  <si>
    <t xml:space="preserve">MADAGASCAR</t>
  </si>
  <si>
    <t xml:space="preserve">MG</t>
  </si>
  <si>
    <t xml:space="preserve">MDG</t>
  </si>
  <si>
    <t xml:space="preserve">MALAWI</t>
  </si>
  <si>
    <t xml:space="preserve">MW</t>
  </si>
  <si>
    <t xml:space="preserve">MWI</t>
  </si>
  <si>
    <t xml:space="preserve">MALAYSIA</t>
  </si>
  <si>
    <t xml:space="preserve">MY</t>
  </si>
  <si>
    <t xml:space="preserve">MYS</t>
  </si>
  <si>
    <t xml:space="preserve">MALDIVES</t>
  </si>
  <si>
    <t xml:space="preserve">MV</t>
  </si>
  <si>
    <t xml:space="preserve">MDV</t>
  </si>
  <si>
    <t xml:space="preserve">MALI</t>
  </si>
  <si>
    <t xml:space="preserve">ML</t>
  </si>
  <si>
    <t xml:space="preserve">MLI</t>
  </si>
  <si>
    <t xml:space="preserve">MALTA</t>
  </si>
  <si>
    <t xml:space="preserve">MT</t>
  </si>
  <si>
    <t xml:space="preserve">MLT</t>
  </si>
  <si>
    <t xml:space="preserve">MARSHALL IS</t>
  </si>
  <si>
    <t xml:space="preserve">MH</t>
  </si>
  <si>
    <t xml:space="preserve">MHL</t>
  </si>
  <si>
    <t xml:space="preserve">MARTINIQUE</t>
  </si>
  <si>
    <t xml:space="preserve">MQ</t>
  </si>
  <si>
    <t xml:space="preserve">MTQ</t>
  </si>
  <si>
    <t xml:space="preserve">MAURITANIA</t>
  </si>
  <si>
    <t xml:space="preserve">MR</t>
  </si>
  <si>
    <t xml:space="preserve">MRT</t>
  </si>
  <si>
    <t xml:space="preserve">MAURITIUS</t>
  </si>
  <si>
    <t xml:space="preserve">MU</t>
  </si>
  <si>
    <t xml:space="preserve">MUS</t>
  </si>
  <si>
    <t xml:space="preserve">MAYOTTE</t>
  </si>
  <si>
    <t xml:space="preserve">YT</t>
  </si>
  <si>
    <t xml:space="preserve">MYT</t>
  </si>
  <si>
    <t xml:space="preserve">MEXICO</t>
  </si>
  <si>
    <t xml:space="preserve">MX</t>
  </si>
  <si>
    <t xml:space="preserve">MEX</t>
  </si>
  <si>
    <t xml:space="preserve">MICRONESIA</t>
  </si>
  <si>
    <t xml:space="preserve">FM</t>
  </si>
  <si>
    <t xml:space="preserve">FSM</t>
  </si>
  <si>
    <t xml:space="preserve">MOLDOVA REP OF</t>
  </si>
  <si>
    <t xml:space="preserve">MD</t>
  </si>
  <si>
    <t xml:space="preserve">MDA</t>
  </si>
  <si>
    <t xml:space="preserve">MONACO</t>
  </si>
  <si>
    <t xml:space="preserve">MC</t>
  </si>
  <si>
    <t xml:space="preserve">MCO</t>
  </si>
  <si>
    <t xml:space="preserve">MONGOLIA</t>
  </si>
  <si>
    <t xml:space="preserve">MN</t>
  </si>
  <si>
    <t xml:space="preserve">MNG</t>
  </si>
  <si>
    <t xml:space="preserve">MONSERRAT</t>
  </si>
  <si>
    <t xml:space="preserve">MS</t>
  </si>
  <si>
    <t xml:space="preserve">MSR</t>
  </si>
  <si>
    <t xml:space="preserve">MONTENEGRO</t>
  </si>
  <si>
    <t xml:space="preserve">ME</t>
  </si>
  <si>
    <t xml:space="preserve">MNE</t>
  </si>
  <si>
    <t xml:space="preserve">MOROCCO</t>
  </si>
  <si>
    <t xml:space="preserve">MA</t>
  </si>
  <si>
    <t xml:space="preserve">MAR</t>
  </si>
  <si>
    <t xml:space="preserve">MOZAMBIQUE</t>
  </si>
  <si>
    <t xml:space="preserve">MZ</t>
  </si>
  <si>
    <t xml:space="preserve">MOZ</t>
  </si>
  <si>
    <t xml:space="preserve">MYANMAR</t>
  </si>
  <si>
    <t xml:space="preserve">MM</t>
  </si>
  <si>
    <t xml:space="preserve">MMR</t>
  </si>
  <si>
    <t xml:space="preserve">N MARIANA IS</t>
  </si>
  <si>
    <t xml:space="preserve">MP</t>
  </si>
  <si>
    <t xml:space="preserve">MNP</t>
  </si>
  <si>
    <t xml:space="preserve">NAMIBIA</t>
  </si>
  <si>
    <t xml:space="preserve">NA</t>
  </si>
  <si>
    <t xml:space="preserve">NAM</t>
  </si>
  <si>
    <t xml:space="preserve">NAURU</t>
  </si>
  <si>
    <t xml:space="preserve">NR</t>
  </si>
  <si>
    <t xml:space="preserve">NRU</t>
  </si>
  <si>
    <t xml:space="preserve">NEPAL</t>
  </si>
  <si>
    <t xml:space="preserve">NP</t>
  </si>
  <si>
    <t xml:space="preserve">NPL</t>
  </si>
  <si>
    <t xml:space="preserve">NETHERLANDS</t>
  </si>
  <si>
    <t xml:space="preserve">NL</t>
  </si>
  <si>
    <t xml:space="preserve">NLD</t>
  </si>
  <si>
    <t xml:space="preserve">NETHERLANDS ANTILLES</t>
  </si>
  <si>
    <t xml:space="preserve">AN</t>
  </si>
  <si>
    <t xml:space="preserve">NEW CALEDONIA</t>
  </si>
  <si>
    <t xml:space="preserve">NC</t>
  </si>
  <si>
    <t xml:space="preserve">NCL</t>
  </si>
  <si>
    <t xml:space="preserve">NICARAGUA</t>
  </si>
  <si>
    <t xml:space="preserve">NI</t>
  </si>
  <si>
    <t xml:space="preserve">NIC</t>
  </si>
  <si>
    <t xml:space="preserve">NIGER</t>
  </si>
  <si>
    <t xml:space="preserve">NE</t>
  </si>
  <si>
    <t xml:space="preserve">NER</t>
  </si>
  <si>
    <t xml:space="preserve">NIGERIA</t>
  </si>
  <si>
    <t xml:space="preserve">NG</t>
  </si>
  <si>
    <t xml:space="preserve">NGA</t>
  </si>
  <si>
    <t xml:space="preserve">NIUE</t>
  </si>
  <si>
    <t xml:space="preserve">NU</t>
  </si>
  <si>
    <t xml:space="preserve">NIU</t>
  </si>
  <si>
    <t xml:space="preserve">NORFOLK ISLAND</t>
  </si>
  <si>
    <t xml:space="preserve">NF</t>
  </si>
  <si>
    <t xml:space="preserve">NFK</t>
  </si>
  <si>
    <t xml:space="preserve">NORWAY</t>
  </si>
  <si>
    <t xml:space="preserve">NO</t>
  </si>
  <si>
    <t xml:space="preserve">NOR</t>
  </si>
  <si>
    <t xml:space="preserve">NZ</t>
  </si>
  <si>
    <t xml:space="preserve">NZL</t>
  </si>
  <si>
    <t xml:space="preserve">OMAN</t>
  </si>
  <si>
    <t xml:space="preserve">OM</t>
  </si>
  <si>
    <t xml:space="preserve">OMN</t>
  </si>
  <si>
    <t xml:space="preserve">PAKISTAN</t>
  </si>
  <si>
    <t xml:space="preserve">PK</t>
  </si>
  <si>
    <t xml:space="preserve">PAK</t>
  </si>
  <si>
    <t xml:space="preserve">PALAU</t>
  </si>
  <si>
    <t xml:space="preserve">PW</t>
  </si>
  <si>
    <t xml:space="preserve">PLW</t>
  </si>
  <si>
    <t xml:space="preserve">PANAMA</t>
  </si>
  <si>
    <t xml:space="preserve">PA</t>
  </si>
  <si>
    <t xml:space="preserve">PAN</t>
  </si>
  <si>
    <t xml:space="preserve">PAP NEW GUINEA</t>
  </si>
  <si>
    <t xml:space="preserve">PG</t>
  </si>
  <si>
    <t xml:space="preserve">PNG</t>
  </si>
  <si>
    <t xml:space="preserve">PARAGUAY</t>
  </si>
  <si>
    <t xml:space="preserve">PY</t>
  </si>
  <si>
    <t xml:space="preserve">PRY</t>
  </si>
  <si>
    <t xml:space="preserve">PERU</t>
  </si>
  <si>
    <t xml:space="preserve">PE</t>
  </si>
  <si>
    <t xml:space="preserve">PER</t>
  </si>
  <si>
    <t xml:space="preserve">PHILIPPINES</t>
  </si>
  <si>
    <t xml:space="preserve">PH</t>
  </si>
  <si>
    <t xml:space="preserve">PHL</t>
  </si>
  <si>
    <t xml:space="preserve">PITCAIRN</t>
  </si>
  <si>
    <t xml:space="preserve">PN</t>
  </si>
  <si>
    <t xml:space="preserve">PCN</t>
  </si>
  <si>
    <t xml:space="preserve">POLAND</t>
  </si>
  <si>
    <t xml:space="preserve">PL</t>
  </si>
  <si>
    <t xml:space="preserve">POL</t>
  </si>
  <si>
    <t xml:space="preserve">PORTUGAL</t>
  </si>
  <si>
    <t xml:space="preserve">PT</t>
  </si>
  <si>
    <t xml:space="preserve">PRT</t>
  </si>
  <si>
    <t xml:space="preserve">PUERTO RICO</t>
  </si>
  <si>
    <t xml:space="preserve">PR</t>
  </si>
  <si>
    <t xml:space="preserve">PRI</t>
  </si>
  <si>
    <t xml:space="preserve">QATAR</t>
  </si>
  <si>
    <t xml:space="preserve">QA</t>
  </si>
  <si>
    <t xml:space="preserve">QAT</t>
  </si>
  <si>
    <t xml:space="preserve">REUNION</t>
  </si>
  <si>
    <t xml:space="preserve">RE</t>
  </si>
  <si>
    <t xml:space="preserve">REU</t>
  </si>
  <si>
    <t xml:space="preserve">ROMANIA</t>
  </si>
  <si>
    <t xml:space="preserve">RO</t>
  </si>
  <si>
    <t xml:space="preserve">ROU</t>
  </si>
  <si>
    <t xml:space="preserve">RUSSIAN FED</t>
  </si>
  <si>
    <t xml:space="preserve">RU</t>
  </si>
  <si>
    <t xml:space="preserve">RUS</t>
  </si>
  <si>
    <t xml:space="preserve">RWANDA</t>
  </si>
  <si>
    <t xml:space="preserve">RW</t>
  </si>
  <si>
    <t xml:space="preserve">RWA</t>
  </si>
  <si>
    <t xml:space="preserve">S GEORGIA</t>
  </si>
  <si>
    <t xml:space="preserve">GS</t>
  </si>
  <si>
    <t xml:space="preserve">SGS</t>
  </si>
  <si>
    <t xml:space="preserve">SAINT BARTHLEMY</t>
  </si>
  <si>
    <t xml:space="preserve">BL</t>
  </si>
  <si>
    <t xml:space="preserve">SAINT MARTIN FRENCH PART</t>
  </si>
  <si>
    <t xml:space="preserve">MF</t>
  </si>
  <si>
    <t xml:space="preserve">MAF</t>
  </si>
  <si>
    <t xml:space="preserve">SAMOA</t>
  </si>
  <si>
    <t xml:space="preserve">WS</t>
  </si>
  <si>
    <t xml:space="preserve">WSM</t>
  </si>
  <si>
    <t xml:space="preserve">SAN MARINO</t>
  </si>
  <si>
    <t xml:space="preserve">SM</t>
  </si>
  <si>
    <t xml:space="preserve">SMR</t>
  </si>
  <si>
    <t xml:space="preserve">SAO TOME</t>
  </si>
  <si>
    <t xml:space="preserve">ST</t>
  </si>
  <si>
    <t xml:space="preserve">STP</t>
  </si>
  <si>
    <t xml:space="preserve">SAUDI ARABIA</t>
  </si>
  <si>
    <t xml:space="preserve">SA</t>
  </si>
  <si>
    <t xml:space="preserve">SAU</t>
  </si>
  <si>
    <t xml:space="preserve">SENEGAL</t>
  </si>
  <si>
    <t xml:space="preserve">SN</t>
  </si>
  <si>
    <t xml:space="preserve">SEN</t>
  </si>
  <si>
    <t xml:space="preserve">SERBIA</t>
  </si>
  <si>
    <t xml:space="preserve">RS</t>
  </si>
  <si>
    <t xml:space="preserve">SRB</t>
  </si>
  <si>
    <t xml:space="preserve">SEYCHELLES</t>
  </si>
  <si>
    <t xml:space="preserve">SC</t>
  </si>
  <si>
    <t xml:space="preserve">SYC</t>
  </si>
  <si>
    <t xml:space="preserve">SIERRA LEONE</t>
  </si>
  <si>
    <t xml:space="preserve">SL</t>
  </si>
  <si>
    <t xml:space="preserve">SLE</t>
  </si>
  <si>
    <t xml:space="preserve">SINGAPORE</t>
  </si>
  <si>
    <t xml:space="preserve">SG</t>
  </si>
  <si>
    <t xml:space="preserve">SGP</t>
  </si>
  <si>
    <t xml:space="preserve">SINT MAARTEN DUTCH PART</t>
  </si>
  <si>
    <t xml:space="preserve">SX</t>
  </si>
  <si>
    <t xml:space="preserve">SXM</t>
  </si>
  <si>
    <t xml:space="preserve">SLOVAKIA</t>
  </si>
  <si>
    <t xml:space="preserve">SK</t>
  </si>
  <si>
    <t xml:space="preserve">SVK</t>
  </si>
  <si>
    <t xml:space="preserve">SLOVENIA</t>
  </si>
  <si>
    <t xml:space="preserve">SI</t>
  </si>
  <si>
    <t xml:space="preserve">SVN</t>
  </si>
  <si>
    <t xml:space="preserve">SOLOMON ISLANDS</t>
  </si>
  <si>
    <t xml:space="preserve">SB</t>
  </si>
  <si>
    <t xml:space="preserve">SLB</t>
  </si>
  <si>
    <t xml:space="preserve">SOMALIA</t>
  </si>
  <si>
    <t xml:space="preserve">SO</t>
  </si>
  <si>
    <t xml:space="preserve">SOM</t>
  </si>
  <si>
    <t xml:space="preserve">SOUTH AFRICA</t>
  </si>
  <si>
    <t xml:space="preserve">ZA</t>
  </si>
  <si>
    <t xml:space="preserve">ZAF</t>
  </si>
  <si>
    <t xml:space="preserve">SOUTH SUDAN</t>
  </si>
  <si>
    <t xml:space="preserve">SS</t>
  </si>
  <si>
    <t xml:space="preserve">SSD</t>
  </si>
  <si>
    <t xml:space="preserve">SPAIN</t>
  </si>
  <si>
    <t xml:space="preserve">ES</t>
  </si>
  <si>
    <t xml:space="preserve">ESP</t>
  </si>
  <si>
    <t xml:space="preserve">SRI LANKA</t>
  </si>
  <si>
    <t xml:space="preserve">LK</t>
  </si>
  <si>
    <t xml:space="preserve">LKA</t>
  </si>
  <si>
    <t xml:space="preserve">ST HELENA</t>
  </si>
  <si>
    <t xml:space="preserve">SH</t>
  </si>
  <si>
    <t xml:space="preserve">SHN</t>
  </si>
  <si>
    <t xml:space="preserve">ST KITTS NEVIS</t>
  </si>
  <si>
    <t xml:space="preserve">KN</t>
  </si>
  <si>
    <t xml:space="preserve">KNA</t>
  </si>
  <si>
    <t xml:space="preserve">ST LUCIA</t>
  </si>
  <si>
    <t xml:space="preserve">LC</t>
  </si>
  <si>
    <t xml:space="preserve">LCA</t>
  </si>
  <si>
    <t xml:space="preserve">ST PIERRE</t>
  </si>
  <si>
    <t xml:space="preserve">PM</t>
  </si>
  <si>
    <t xml:space="preserve">SPM</t>
  </si>
  <si>
    <t xml:space="preserve">ST VINCENT</t>
  </si>
  <si>
    <t xml:space="preserve">VC</t>
  </si>
  <si>
    <t xml:space="preserve">VCT</t>
  </si>
  <si>
    <t xml:space="preserve">STATE OF PALESTINE</t>
  </si>
  <si>
    <t xml:space="preserve">PS</t>
  </si>
  <si>
    <t xml:space="preserve">PSE</t>
  </si>
  <si>
    <t xml:space="preserve">SUDAN</t>
  </si>
  <si>
    <t xml:space="preserve">SD</t>
  </si>
  <si>
    <t xml:space="preserve">SDN</t>
  </si>
  <si>
    <t xml:space="preserve">SURINAME</t>
  </si>
  <si>
    <t xml:space="preserve">SR</t>
  </si>
  <si>
    <t xml:space="preserve">SUR</t>
  </si>
  <si>
    <t xml:space="preserve">SVALBARD</t>
  </si>
  <si>
    <t xml:space="preserve">SJ</t>
  </si>
  <si>
    <t xml:space="preserve">SJM</t>
  </si>
  <si>
    <t xml:space="preserve">SWAZILAND</t>
  </si>
  <si>
    <t xml:space="preserve">SZ</t>
  </si>
  <si>
    <t xml:space="preserve">SWZ</t>
  </si>
  <si>
    <t xml:space="preserve">SWEDEN</t>
  </si>
  <si>
    <t xml:space="preserve">SE</t>
  </si>
  <si>
    <t xml:space="preserve">SWE</t>
  </si>
  <si>
    <t xml:space="preserve">SWITZERLAND</t>
  </si>
  <si>
    <t xml:space="preserve">CH</t>
  </si>
  <si>
    <t xml:space="preserve">CHE</t>
  </si>
  <si>
    <t xml:space="preserve">SYRIA</t>
  </si>
  <si>
    <t xml:space="preserve">SY</t>
  </si>
  <si>
    <t xml:space="preserve">SYR</t>
  </si>
  <si>
    <t xml:space="preserve">TAIWAN</t>
  </si>
  <si>
    <t xml:space="preserve">TW</t>
  </si>
  <si>
    <t xml:space="preserve">TWN</t>
  </si>
  <si>
    <t xml:space="preserve">TAJIKISTAN</t>
  </si>
  <si>
    <t xml:space="preserve">TJ</t>
  </si>
  <si>
    <t xml:space="preserve">TJK</t>
  </si>
  <si>
    <t xml:space="preserve">TANZANIA</t>
  </si>
  <si>
    <t xml:space="preserve">TZ</t>
  </si>
  <si>
    <t xml:space="preserve">TZA</t>
  </si>
  <si>
    <t xml:space="preserve">THAILAND</t>
  </si>
  <si>
    <t xml:space="preserve">TH</t>
  </si>
  <si>
    <t xml:space="preserve">THA</t>
  </si>
  <si>
    <t xml:space="preserve">TIMORLESTE</t>
  </si>
  <si>
    <t xml:space="preserve">TL</t>
  </si>
  <si>
    <t xml:space="preserve">TLS</t>
  </si>
  <si>
    <t xml:space="preserve">TOGO</t>
  </si>
  <si>
    <t xml:space="preserve">TG</t>
  </si>
  <si>
    <t xml:space="preserve">TGO</t>
  </si>
  <si>
    <t xml:space="preserve">TOKELAU</t>
  </si>
  <si>
    <t xml:space="preserve">TK</t>
  </si>
  <si>
    <t xml:space="preserve">TKL</t>
  </si>
  <si>
    <t xml:space="preserve">TONGA</t>
  </si>
  <si>
    <t xml:space="preserve">TO</t>
  </si>
  <si>
    <t xml:space="preserve">TON</t>
  </si>
  <si>
    <t xml:space="preserve">TRINIDAD TOBAGO</t>
  </si>
  <si>
    <t xml:space="preserve">TT</t>
  </si>
  <si>
    <t xml:space="preserve">TTO</t>
  </si>
  <si>
    <t xml:space="preserve">TUNISIA</t>
  </si>
  <si>
    <t xml:space="preserve">TN</t>
  </si>
  <si>
    <t xml:space="preserve">TUN</t>
  </si>
  <si>
    <t xml:space="preserve">TURKEY</t>
  </si>
  <si>
    <t xml:space="preserve">TR</t>
  </si>
  <si>
    <t xml:space="preserve">TUR</t>
  </si>
  <si>
    <t xml:space="preserve">TURKMENISTAN</t>
  </si>
  <si>
    <t xml:space="preserve">TM</t>
  </si>
  <si>
    <t xml:space="preserve">TKM</t>
  </si>
  <si>
    <t xml:space="preserve">TURKS  CAICOS</t>
  </si>
  <si>
    <t xml:space="preserve">TC</t>
  </si>
  <si>
    <t xml:space="preserve">TCA</t>
  </si>
  <si>
    <t xml:space="preserve">TUVALU</t>
  </si>
  <si>
    <t xml:space="preserve">TV</t>
  </si>
  <si>
    <t xml:space="preserve">TUV</t>
  </si>
  <si>
    <t xml:space="preserve">UAE</t>
  </si>
  <si>
    <t xml:space="preserve">AE</t>
  </si>
  <si>
    <t xml:space="preserve">ARE</t>
  </si>
  <si>
    <t xml:space="preserve">UGANDA</t>
  </si>
  <si>
    <t xml:space="preserve">UG</t>
  </si>
  <si>
    <t xml:space="preserve">UGA</t>
  </si>
  <si>
    <t xml:space="preserve">UKRAINE</t>
  </si>
  <si>
    <t xml:space="preserve">UA</t>
  </si>
  <si>
    <t xml:space="preserve">UKR</t>
  </si>
  <si>
    <t xml:space="preserve">UNITED KINGDOM</t>
  </si>
  <si>
    <t xml:space="preserve">GB</t>
  </si>
  <si>
    <t xml:space="preserve">GBR</t>
  </si>
  <si>
    <t xml:space="preserve">UNKNOWN COUNTRY</t>
  </si>
  <si>
    <t xml:space="preserve">ZZ</t>
  </si>
  <si>
    <t xml:space="preserve">URUGUAY</t>
  </si>
  <si>
    <t xml:space="preserve">UY</t>
  </si>
  <si>
    <t xml:space="preserve">URY</t>
  </si>
  <si>
    <t xml:space="preserve">US MINOR OUT ISLAND</t>
  </si>
  <si>
    <t xml:space="preserve">UM</t>
  </si>
  <si>
    <t xml:space="preserve">UMI</t>
  </si>
  <si>
    <t xml:space="preserve">USA</t>
  </si>
  <si>
    <t xml:space="preserve">US</t>
  </si>
  <si>
    <t xml:space="preserve">UZBEKISTAN</t>
  </si>
  <si>
    <t xml:space="preserve">UZ</t>
  </si>
  <si>
    <t xml:space="preserve">UZB</t>
  </si>
  <si>
    <t xml:space="preserve">VANUATU</t>
  </si>
  <si>
    <t xml:space="preserve">VU</t>
  </si>
  <si>
    <t xml:space="preserve">VUT</t>
  </si>
  <si>
    <t xml:space="preserve">VATICAN</t>
  </si>
  <si>
    <t xml:space="preserve">VA</t>
  </si>
  <si>
    <t xml:space="preserve">VENEZUALA</t>
  </si>
  <si>
    <t xml:space="preserve">VE</t>
  </si>
  <si>
    <t xml:space="preserve">VEN</t>
  </si>
  <si>
    <t xml:space="preserve">VIETNAM</t>
  </si>
  <si>
    <t xml:space="preserve">VN</t>
  </si>
  <si>
    <t xml:space="preserve">VNM</t>
  </si>
  <si>
    <t xml:space="preserve">VIRGIN ISLANDSBRITISH</t>
  </si>
  <si>
    <t xml:space="preserve">VG</t>
  </si>
  <si>
    <t xml:space="preserve">VGB</t>
  </si>
  <si>
    <t xml:space="preserve">VIRGIN ISLANDSUS</t>
  </si>
  <si>
    <t xml:space="preserve">VI</t>
  </si>
  <si>
    <t xml:space="preserve">VIR</t>
  </si>
  <si>
    <t xml:space="preserve">WALLIS FUTUNA</t>
  </si>
  <si>
    <t xml:space="preserve">WF</t>
  </si>
  <si>
    <t xml:space="preserve">WLF</t>
  </si>
  <si>
    <t xml:space="preserve">WESTERN SAHARA</t>
  </si>
  <si>
    <t xml:space="preserve">EH</t>
  </si>
  <si>
    <t xml:space="preserve">ESH</t>
  </si>
  <si>
    <t xml:space="preserve">YEMEN</t>
  </si>
  <si>
    <t xml:space="preserve">YE</t>
  </si>
  <si>
    <t xml:space="preserve">YEM</t>
  </si>
  <si>
    <t xml:space="preserve">ZAMBIA</t>
  </si>
  <si>
    <t xml:space="preserve">ZM</t>
  </si>
  <si>
    <t xml:space="preserve">ZMB</t>
  </si>
  <si>
    <t xml:space="preserve">ZIMBABWE</t>
  </si>
  <si>
    <t xml:space="preserve">ZW</t>
  </si>
  <si>
    <t xml:space="preserve">ZWB</t>
  </si>
  <si>
    <t xml:space="preserve">Flow_1</t>
  </si>
  <si>
    <t xml:space="preserve">ms-powerautomate:/console/flow/run?workflowid=2e5455ef-1291-4211-aeb2-9558d2c49e6d</t>
  </si>
  <si>
    <t xml:space="preserve">Flow_Merge</t>
  </si>
  <si>
    <t xml:space="preserve">ms-powerautomate:/console/flow/run?environmentid=Default-9e17c3e3-ba51-4656-9767-5ba4c8c34f4b&amp;workflowid=f6eccbfd-02ab-4ac1-a749-9cb8dd3b8201&amp;source=Other</t>
  </si>
  <si>
    <t xml:space="preserve">Transaction ID</t>
  </si>
  <si>
    <t xml:space="preserve">Velocity Alert ID</t>
  </si>
  <si>
    <t xml:space="preserve">Alert Information</t>
  </si>
  <si>
    <t xml:space="preserve">Alert Type</t>
  </si>
  <si>
    <t xml:space="preserve">Is Alerted Transaction?</t>
  </si>
  <si>
    <t xml:space="preserve">Account No</t>
  </si>
  <si>
    <t xml:space="preserve">Ref No</t>
  </si>
  <si>
    <t xml:space="preserve">Transaction Code</t>
  </si>
  <si>
    <t xml:space="preserve">Transaction Code Description</t>
  </si>
  <si>
    <t xml:space="preserve">Currency</t>
  </si>
  <si>
    <t xml:space="preserve">Transaction Amount</t>
  </si>
  <si>
    <t xml:space="preserve">Transaction Date</t>
  </si>
  <si>
    <t xml:space="preserve">Dr Cr</t>
  </si>
  <si>
    <t xml:space="preserve">Beneficiary ID</t>
  </si>
  <si>
    <t xml:space="preserve">Beneficiary Name</t>
  </si>
  <si>
    <t xml:space="preserve">Beneficiary First Name</t>
  </si>
  <si>
    <t xml:space="preserve">Beneficiary Last Name</t>
  </si>
  <si>
    <t xml:space="preserve">Beneficiary Middle Name</t>
  </si>
  <si>
    <t xml:space="preserve">Beneficiary Address</t>
  </si>
  <si>
    <t xml:space="preserve">Beneficiary Country</t>
  </si>
  <si>
    <t xml:space="preserve">Beneficiary Type</t>
  </si>
  <si>
    <t xml:space="preserve">Beneficiary Corporation Or Individual Flag</t>
  </si>
  <si>
    <t xml:space="preserve">Originator ID</t>
  </si>
  <si>
    <t xml:space="preserve">Originator Name</t>
  </si>
  <si>
    <t xml:space="preserve">Originator First Name</t>
  </si>
  <si>
    <t xml:space="preserve">Originator Last Name</t>
  </si>
  <si>
    <t xml:space="preserve">Originator Middle Name</t>
  </si>
  <si>
    <t xml:space="preserve">Originator Address</t>
  </si>
  <si>
    <t xml:space="preserve">Originator Country</t>
  </si>
  <si>
    <t xml:space="preserve">Originator Corporation Or Individual Flag</t>
  </si>
  <si>
    <t xml:space="preserve">Counterparty</t>
  </si>
  <si>
    <t xml:space="preserve">2289948034</t>
  </si>
  <si>
    <t xml:space="preserve">ALERT2346979</t>
  </si>
  <si>
    <t xml:space="preserve">Large value card transactions for purchase</t>
  </si>
  <si>
    <t xml:space="preserve">Yes</t>
  </si>
  <si>
    <t xml:space="preserve">GAL47145578272</t>
  </si>
  <si>
    <t xml:space="preserve">GAL1000000001552277206</t>
  </si>
  <si>
    <t xml:space="preserve">GAL_D_VSA</t>
  </si>
  <si>
    <t xml:space="preserve">GAL - Pin Purchase</t>
  </si>
  <si>
    <t xml:space="preserve">USD</t>
  </si>
  <si>
    <t xml:space="preserve">DR</t>
  </si>
  <si>
    <t xml:space="preserve">900075IBE</t>
  </si>
  <si>
    <t xml:space="preserve">IBERIA LINEA0752114330312SAO PAULO    BR</t>
  </si>
  <si>
    <t xml:space="preserve">   ES</t>
  </si>
  <si>
    <t xml:space="preserve">CreditParty</t>
  </si>
  <si>
    <t xml:space="preserve">LUIZ ARAUJO</t>
  </si>
  <si>
    <t xml:space="preserve">LUIZ</t>
  </si>
  <si>
    <t xml:space="preserve">ARAUJO</t>
  </si>
  <si>
    <t xml:space="preserve">RUA CACILDA BECKER. 159.  06846600 US</t>
  </si>
  <si>
    <t xml:space="preserve">Date &amp; Time</t>
  </si>
  <si>
    <t xml:space="preserve">Analyst ID</t>
  </si>
  <si>
    <t xml:space="preserve">ECM Case ID</t>
  </si>
  <si>
    <t xml:space="preserve">Total Entities</t>
  </si>
  <si>
    <t xml:space="preserve">Total Searches</t>
  </si>
  <si>
    <t xml:space="preserve">Time Taken</t>
  </si>
  <si>
    <t xml:space="preserve">Tool Version</t>
  </si>
  <si>
    <t xml:space="preserve">Error Diagnostic</t>
  </si>
  <si>
    <t xml:space="preserve">CAPTCHA Flagged</t>
  </si>
  <si>
    <t xml:space="preserve">ssaha</t>
  </si>
  <si>
    <t xml:space="preserve">1 minute(s) and 59 second(s)</t>
  </si>
  <si>
    <t xml:space="preserve">2.4.1</t>
  </si>
  <si>
    <t xml:space="preserve">1 minute(s) and 9 second(s)</t>
  </si>
  <si>
    <t xml:space="preserve">4 minute(s) and 33 second(s)</t>
  </si>
  <si>
    <t xml:space="preserve">2.4.4</t>
  </si>
  <si>
    <t xml:space="preserve">5 minute(s) and 45 second(s)</t>
  </si>
  <si>
    <t xml:space="preserve">2.4.5</t>
  </si>
  <si>
    <t xml:space="preserve">6 minute(s) and 2 second(s)</t>
  </si>
  <si>
    <t xml:space="preserve">4 minute(s) and 16 second(s)</t>
  </si>
  <si>
    <t xml:space="preserve">56 second(s)</t>
  </si>
  <si>
    <t xml:space="preserve">48 second(s)</t>
  </si>
  <si>
    <t xml:space="preserve">1 minute(s) and 0 second(s)</t>
  </si>
  <si>
    <t xml:space="preserve">4 minute(s) and 29 second(s)</t>
  </si>
  <si>
    <t xml:space="preserve">2.5.0</t>
  </si>
  <si>
    <t xml:space="preserve">3 minute(s) and 11 second(s)</t>
  </si>
  <si>
    <t xml:space="preserve">4 minute(s) and 34 second(s)</t>
  </si>
  <si>
    <t xml:space="preserve">2.5.2</t>
  </si>
  <si>
    <t xml:space="preserve">6 minute(s) and 24 second(s)</t>
  </si>
  <si>
    <t xml:space="preserve">2.5.3</t>
  </si>
  <si>
    <t xml:space="preserve">6 minute(s) and 20 second(s)</t>
  </si>
  <si>
    <t xml:space="preserve">4 minute(s) and 44 second(s)</t>
  </si>
  <si>
    <t xml:space="preserve">2.5.5</t>
  </si>
  <si>
    <t xml:space="preserve">4 minute(s) and 47 second(s)</t>
  </si>
  <si>
    <t xml:space="preserve">2.5.6</t>
  </si>
  <si>
    <t xml:space="preserve">6 minute(s) and 58 second(s)</t>
  </si>
  <si>
    <t xml:space="preserve">2.5.7</t>
  </si>
  <si>
    <t xml:space="preserve">4 minute(s) and 20 second(s)</t>
  </si>
  <si>
    <t xml:space="preserve">2.5.9</t>
  </si>
  <si>
    <t xml:space="preserve">5 minute(s) and 24 second(s)</t>
  </si>
  <si>
    <t xml:space="preserve">3 minute(s) and 50 second(s)</t>
  </si>
  <si>
    <t xml:space="preserve">2.5.10</t>
  </si>
  <si>
    <t xml:space="preserve">2 minute(s) and 7 second(s)</t>
  </si>
  <si>
    <t xml:space="preserve">2.5.11</t>
  </si>
  <si>
    <t xml:space="preserve">3 minute(s) and 34 second(s)</t>
  </si>
  <si>
    <t xml:space="preserve">2.5.12</t>
  </si>
  <si>
    <t xml:space="preserve">49 second(s)</t>
  </si>
  <si>
    <t xml:space="preserve">4 minute(s) and 45 second(s)</t>
  </si>
  <si>
    <t xml:space="preserve">3 minute(s) and 10 second(s)</t>
  </si>
  <si>
    <t xml:space="preserve">1 minute(s) and 20 second(s)</t>
  </si>
  <si>
    <t xml:space="preserve">1 minute(s) and 26 second(s)</t>
  </si>
  <si>
    <t xml:space="preserve">2 minute(s) and 59 second(s)</t>
  </si>
  <si>
    <t xml:space="preserve">3 minute(s) and 56 second(s)</t>
  </si>
  <si>
    <t xml:space="preserve">3 minute(s) and 49 second(s)</t>
  </si>
  <si>
    <t xml:space="preserve">1 minute(s) and 49 second(s)</t>
  </si>
  <si>
    <t xml:space="preserve">3 minute(s) and 29 second(s)</t>
  </si>
  <si>
    <t xml:space="preserve">51 second(s)</t>
  </si>
  <si>
    <t xml:space="preserve">1 minute(s) and 39 second(s)</t>
  </si>
  <si>
    <t xml:space="preserve">1 minute(s) and 22 second(s)</t>
  </si>
  <si>
    <t xml:space="preserve">1 minute(s) and 10 second(s)</t>
  </si>
  <si>
    <t xml:space="preserve">1 minute(s) and 35 second(s)</t>
  </si>
  <si>
    <t xml:space="preserve">3 minute(s) and 4 second(s)</t>
  </si>
  <si>
    <t xml:space="preserve">1 minute(s) and 52 second(s)</t>
  </si>
  <si>
    <t xml:space="preserve">2 minute(s) and 58 second(s)</t>
  </si>
  <si>
    <t xml:space="preserve">3 minute(s) and 0 second(s)</t>
  </si>
  <si>
    <t xml:space="preserve">6 minute(s) and 8 second(s)</t>
  </si>
  <si>
    <t xml:space="preserve">8 minute(s) and 48 second(s)</t>
  </si>
  <si>
    <t xml:space="preserve">1 minute(s) and 38 second(s)</t>
  </si>
  <si>
    <t xml:space="preserve">5 minute(s) and 10 second(s)</t>
  </si>
  <si>
    <t xml:space="preserve">5 minute(s) and 21 second(s)</t>
  </si>
  <si>
    <t xml:space="preserve">1 minute(s) and 7 second(s)</t>
  </si>
  <si>
    <t xml:space="preserve">1 minute(s) and 46 second(s)</t>
  </si>
  <si>
    <t xml:space="preserve">3 minute(s) and 45 second(s)</t>
  </si>
  <si>
    <t xml:space="preserve">2 minute(s) and 19 second(s)</t>
  </si>
  <si>
    <t xml:space="preserve">4 minute(s) and 21 second(s)</t>
  </si>
  <si>
    <t xml:space="preserve">4 minute(s) and 10 second(s)</t>
  </si>
  <si>
    <t xml:space="preserve">ERROR</t>
  </si>
  <si>
    <t xml:space="preserve">Err 424: Object required [src: AML_Macro]</t>
  </si>
  <si>
    <t xml:space="preserve">5 minute(s) and 11 second(s)</t>
  </si>
  <si>
    <t xml:space="preserve">8 minute(s) and 46 second(s)</t>
  </si>
  <si>
    <t xml:space="preserve">2 minute(s) and 27 second(s)</t>
  </si>
  <si>
    <t xml:space="preserve">1 minute(s) and 24 second(s)</t>
  </si>
  <si>
    <t xml:space="preserve">1 minute(s) and 12 second(s)</t>
  </si>
  <si>
    <t xml:space="preserve">1 minute(s) and 28 second(s)</t>
  </si>
  <si>
    <t xml:space="preserve">4 minute(s) and 9 second(s)</t>
  </si>
  <si>
    <t xml:space="preserve">2 minute(s) and 55 second(s)</t>
  </si>
  <si>
    <t xml:space="preserve">1 minute(s) and 45 second(s)</t>
  </si>
  <si>
    <t xml:space="preserve">1 minute(s) and 14 second(s)</t>
  </si>
  <si>
    <t xml:space="preserve">2 minute(s) and 43 second(s)</t>
  </si>
  <si>
    <t xml:space="preserve">55 second(s)</t>
  </si>
  <si>
    <t xml:space="preserve">59 second(s)</t>
  </si>
  <si>
    <t xml:space="preserve">1 minute(s) and 36 second(s)</t>
  </si>
  <si>
    <t xml:space="preserve">53 second(s)</t>
  </si>
  <si>
    <t xml:space="preserve">1 minute(s) and 31 second(s)</t>
  </si>
  <si>
    <t xml:space="preserve">3 minute(s) and 17 second(s)</t>
  </si>
  <si>
    <t xml:space="preserve">1 minute(s) and 41 second(s)</t>
  </si>
  <si>
    <t xml:space="preserve">2 minute(s) and 24 second(s)</t>
  </si>
  <si>
    <t xml:space="preserve">Err -2147221080: Method 'Cells' of object '_Worksheet' failed [src: AML_Macro]</t>
  </si>
  <si>
    <t xml:space="preserve">2 minute(s) and 25 second(s)</t>
  </si>
  <si>
    <t xml:space="preserve">4 minute(s) and 25 second(s)</t>
  </si>
  <si>
    <t xml:space="preserve">1 minute(s) and 2 second(s)</t>
  </si>
  <si>
    <t xml:space="preserve">2 minute(s) and 34 second(s)</t>
  </si>
  <si>
    <t xml:space="preserve">1 minute(s) and 18 second(s)</t>
  </si>
  <si>
    <t xml:space="preserve">2 minute(s) and 26 second(s)</t>
  </si>
  <si>
    <t xml:space="preserve">2 minute(s) and 6 second(s)</t>
  </si>
  <si>
    <t xml:space="preserve">2 minute(s) and 17 second(s)</t>
  </si>
  <si>
    <t xml:space="preserve">2 minute(s) and 31 second(s)</t>
  </si>
  <si>
    <t xml:space="preserve">3 minute(s) and 39 second(s)</t>
  </si>
  <si>
    <t xml:space="preserve">3 minute(s) and 1 second(s)</t>
  </si>
  <si>
    <t xml:space="preserve">test</t>
  </si>
  <si>
    <t xml:space="preserve">43 second(s)</t>
  </si>
  <si>
    <t xml:space="preserve">6 minute(s) and 10 second(s)</t>
  </si>
  <si>
    <t xml:space="preserve">5 minute(s) and 39 second(s)</t>
  </si>
  <si>
    <t xml:space="preserve">2 minute(s) and 10 second(s)</t>
  </si>
  <si>
    <t xml:space="preserve">3 minute(s) and 33 second(s)</t>
  </si>
  <si>
    <t xml:space="preserve">2 minute(s) and 51 second(s)</t>
  </si>
  <si>
    <t xml:space="preserve">5 minute(s) and 19 second(s)</t>
  </si>
  <si>
    <t xml:space="preserve">1 minute(s) and 34 second(s)</t>
  </si>
  <si>
    <t xml:space="preserve">2 minute(s) and 20 second(s)</t>
  </si>
  <si>
    <t xml:space="preserve">2 minute(s) and 11 second(s)</t>
  </si>
  <si>
    <t xml:space="preserve">2 minute(s) and 46 second(s)</t>
  </si>
  <si>
    <t xml:space="preserve">3 minute(s) and 38 second(s)</t>
  </si>
  <si>
    <t xml:space="preserve">1 minute(s) and 15 second(s)</t>
  </si>
  <si>
    <t xml:space="preserve">1 minute(s) and 44 second(s)</t>
  </si>
  <si>
    <t xml:space="preserve">3 minute(s) and 37 second(s)</t>
  </si>
  <si>
    <t xml:space="preserve">5 minute(s) and 57 second(s)</t>
  </si>
  <si>
    <t xml:space="preserve">2 minute(s) and 33 second(s)</t>
  </si>
  <si>
    <t xml:space="preserve">2 minute(s) and 53 second(s)</t>
  </si>
  <si>
    <t xml:space="preserve">2 minute(s) and 28 second(s)</t>
  </si>
  <si>
    <t xml:space="preserve">2 minute(s) and 56 second(s)</t>
  </si>
  <si>
    <t xml:space="preserve">27 second(s)</t>
  </si>
  <si>
    <t xml:space="preserve">35 second(s)</t>
  </si>
  <si>
    <t xml:space="preserve">6 minute(s) and 13 second(s)</t>
  </si>
  <si>
    <t xml:space="preserve">4 minute(s) and 50 second(s)</t>
  </si>
  <si>
    <t xml:space="preserve">1 minute(s) and 53 second(s)</t>
  </si>
  <si>
    <t xml:space="preserve">4 minute(s) and 27 second(s)</t>
  </si>
  <si>
    <t xml:space="preserve">1 minute(s) and 47 second(s)</t>
  </si>
  <si>
    <t xml:space="preserve">5 minute(s) and 48 second(s)</t>
  </si>
  <si>
    <t xml:space="preserve">5 minute(s) and 26 second(s)</t>
  </si>
  <si>
    <t xml:space="preserve">4 minute(s) and 12 second(s)</t>
  </si>
  <si>
    <t xml:space="preserve">7 minute(s) and 18 second(s)</t>
  </si>
  <si>
    <t xml:space="preserve">8 minute(s) and 31 second(s)</t>
  </si>
  <si>
    <t xml:space="preserve">3 minute(s) and 40 second(s)</t>
  </si>
  <si>
    <t xml:space="preserve">6 minute(s) and 5 second(s)</t>
  </si>
  <si>
    <t xml:space="preserve">5 minute(s) and 17 second(s)</t>
  </si>
  <si>
    <t xml:space="preserve">5 minute(s) and 52 second(s)</t>
  </si>
  <si>
    <t xml:space="preserve">4 minute(s) and 17 second(s)</t>
  </si>
  <si>
    <t xml:space="preserve">3 minute(s) and 23 second(s)</t>
  </si>
  <si>
    <t xml:space="preserve">4 minute(s) and 30 second(s)</t>
  </si>
  <si>
    <t xml:space="preserve">3 minute(s) and 6 second(s)</t>
  </si>
  <si>
    <t xml:space="preserve">4 minute(s) and 31 second(s)</t>
  </si>
  <si>
    <t xml:space="preserve">3 minute(s) and 43 second(s)</t>
  </si>
  <si>
    <t xml:space="preserve">3 minute(s) and 42 second(s)</t>
  </si>
  <si>
    <t xml:space="preserve">1 minute(s) and 40 second(s)</t>
  </si>
  <si>
    <t xml:space="preserve">1 minute(s) and 23 second(s)</t>
  </si>
  <si>
    <t xml:space="preserve">39 second(s)</t>
  </si>
  <si>
    <t xml:space="preserve">1 minute(s) and 56 second(s)</t>
  </si>
  <si>
    <t xml:space="preserve">28 second(s)</t>
  </si>
  <si>
    <t xml:space="preserve">2.6.0</t>
  </si>
  <si>
    <t xml:space="preserve">16 minute(s) and 41 second(s)</t>
  </si>
  <si>
    <t xml:space="preserve">Product</t>
  </si>
  <si>
    <t xml:space="preserve">Input_Combined</t>
  </si>
  <si>
    <t xml:space="preserve">Escalation - Scenarios</t>
  </si>
  <si>
    <t xml:space="preserve">Template Tag</t>
  </si>
  <si>
    <t xml:space="preserve">Excel Data/Formula</t>
  </si>
  <si>
    <t xml:space="preserve">Escalation</t>
  </si>
  <si>
    <t xml:space="preserve">Wise</t>
  </si>
  <si>
    <t xml:space="preserve">Escalation_Wise</t>
  </si>
  <si>
    <t xml:space="preserve">Options</t>
  </si>
  <si>
    <t xml:space="preserve">[Escalation Narrative]</t>
  </si>
  <si>
    <t xml:space="preserve">Fluz</t>
  </si>
  <si>
    <t xml:space="preserve">Escalation_Fluz</t>
  </si>
  <si>
    <t xml:space="preserve">GREYED OUT</t>
  </si>
  <si>
    <t xml:space="preserve">[MASTER_SHELL]</t>
  </si>
  <si>
    <t xml:space="preserve">Crypto</t>
  </si>
  <si>
    <t xml:space="preserve">Escalation_Crypto</t>
  </si>
  <si>
    <t xml:space="preserve">[Subject Name]</t>
  </si>
  <si>
    <t xml:space="preserve">Non-Escalation</t>
  </si>
  <si>
    <t xml:space="preserve">Closure</t>
  </si>
  <si>
    <t xml:space="preserve">Non-Escalation_Closure</t>
  </si>
  <si>
    <t xml:space="preserve">[ECM ID]</t>
  </si>
  <si>
    <t xml:space="preserve">Non-Escalation_Crypto Closure</t>
  </si>
  <si>
    <t xml:space="preserve">[Alert ID]</t>
  </si>
  <si>
    <t xml:space="preserve">[Location]</t>
  </si>
  <si>
    <t xml:space="preserve">Input Power Automate URL</t>
  </si>
  <si>
    <t xml:space="preserve">[Counterparties]</t>
  </si>
  <si>
    <t xml:space="preserve">Instructions: Analysts to only update 'Blue' Cells and use the action button per their requirements. 'Utility Tool: User Manual V1.0' to be used for further step-by-step instructions. </t>
  </si>
  <si>
    <t xml:space="preserve">Airwallex</t>
  </si>
  <si>
    <t xml:space="preserve">[Monthly Average]</t>
  </si>
  <si>
    <t xml:space="preserve">Common</t>
  </si>
  <si>
    <t xml:space="preserve">[Num Trans]</t>
  </si>
  <si>
    <t xml:space="preserve">[Total Amount]</t>
  </si>
  <si>
    <t xml:space="preserve">[Start Date]</t>
  </si>
  <si>
    <t xml:space="preserve">[End Date]</t>
  </si>
  <si>
    <t xml:space="preserve">[Account Numbers]</t>
  </si>
  <si>
    <t xml:space="preserve">[Program Description]</t>
  </si>
  <si>
    <t xml:space="preserve">[Program Name]</t>
  </si>
  <si>
    <t xml:space="preserve">[CP 1]</t>
  </si>
  <si>
    <t xml:space="preserve">[CP 2]</t>
  </si>
  <si>
    <t xml:space="preserve">[CP 3]</t>
  </si>
  <si>
    <t xml:space="preserve">[CP 4]</t>
  </si>
  <si>
    <t xml:space="preserve">[CP 5]</t>
  </si>
  <si>
    <t xml:space="preserve">[CP 6]</t>
  </si>
  <si>
    <t xml:space="preserve">[Rule Name]</t>
  </si>
  <si>
    <t xml:space="preserve">[Min Amount]</t>
  </si>
  <si>
    <t xml:space="preserve">[Max Amount]</t>
  </si>
  <si>
    <t xml:space="preserve">[Cr]</t>
  </si>
  <si>
    <t xml:space="preserve">[Dr]</t>
  </si>
  <si>
    <t xml:space="preserve">[Num Cr]</t>
  </si>
  <si>
    <t xml:space="preserve">[Num Dr]</t>
  </si>
  <si>
    <t xml:space="preserve">Rule Code Rule Name</t>
  </si>
  <si>
    <t xml:space="preserve">Rule Code</t>
  </si>
  <si>
    <t xml:space="preserve">Rule Name</t>
  </si>
  <si>
    <t xml:space="preserve">RULE02 Large value card transactions for purchase</t>
  </si>
  <si>
    <t xml:space="preserve">RULE03 Large value cash withdrawals against card - Weekly</t>
  </si>
  <si>
    <t xml:space="preserve">RULE03A Large value cash withdrawals against card - Monthly</t>
  </si>
  <si>
    <t xml:space="preserve">RULE04 Repeated small value cash withdrawals against card</t>
  </si>
  <si>
    <t xml:space="preserve">RULE05 Large repetitive card usage at the same merchant</t>
  </si>
  <si>
    <t xml:space="preserve">RULE06 High value cash deposits in a month</t>
  </si>
  <si>
    <t xml:space="preserve">RULE07 High value cash withdrawals in a month</t>
  </si>
  <si>
    <t xml:space="preserve">RULE10 Sudden high value transaction for the client</t>
  </si>
  <si>
    <t xml:space="preserve">RULE11 Structuring: Splitting of cash withdrawal just below $10,000 in multiple accounts in a day</t>
  </si>
  <si>
    <t xml:space="preserve">RULE12 Structuring: Splitting cash deposits just below $10,000 in multiple accounts in a day</t>
  </si>
  <si>
    <t xml:space="preserve">RULE14 Frequent low cash deposits</t>
  </si>
  <si>
    <t xml:space="preserve">RULE15 Frequent low cash withdrawals</t>
  </si>
  <si>
    <t xml:space="preserve">RULE20 Early withdrawal of CD's</t>
  </si>
  <si>
    <t xml:space="preserve">RULE21 High value inward remittance</t>
  </si>
  <si>
    <t xml:space="preserve">RULE24 Alerts on Foreign Inward remittance of beyond a threshold limit</t>
  </si>
  <si>
    <t xml:space="preserve">RULE27A Many to One ACH</t>
  </si>
  <si>
    <t xml:space="preserve">RULE27A1 Many to One RDFI ACH</t>
  </si>
  <si>
    <t xml:space="preserve">RULE27A2 Many to One High Volume ACH</t>
  </si>
  <si>
    <t xml:space="preserve">RULE27B Many to one fund transfer - Wires</t>
  </si>
  <si>
    <t xml:space="preserve">RULE27C Many to one fund transfer - ACH E-Corp</t>
  </si>
  <si>
    <t xml:space="preserve">RULE27D Pseudo Debit Many to One</t>
  </si>
  <si>
    <t xml:space="preserve">RULE28A One to many fund transfer - ACH</t>
  </si>
  <si>
    <t xml:space="preserve">RULE28B One to many fund transfer - Wires</t>
  </si>
  <si>
    <t xml:space="preserve">RULE28C One to many fund transfer - ACH E-Corp</t>
  </si>
  <si>
    <t xml:space="preserve">RULE28D Pseudo Debit One to Many</t>
  </si>
  <si>
    <t xml:space="preserve">RULE30 High value transactions with a country with high ML risk</t>
  </si>
  <si>
    <t xml:space="preserve">RULE31 Inward and outward ACH of same amount on same day</t>
  </si>
  <si>
    <t xml:space="preserve">RULE37 Opening and closing of loan accounts within short period</t>
  </si>
  <si>
    <t xml:space="preserve">RULE43 High value cash transactions inconsistent with profile</t>
  </si>
  <si>
    <t xml:space="preserve">RULE45 High value transactions by high-risk customers compared to profile.</t>
  </si>
  <si>
    <t xml:space="preserve">RULE50 Cash Deposit of total $10,000 or above in a day</t>
  </si>
  <si>
    <t xml:space="preserve">RULE51 Cash withdrawal of total $10,000 or above in a day</t>
  </si>
  <si>
    <t xml:space="preserve">RULE54 Deviation from historical behaviors-All</t>
  </si>
  <si>
    <t xml:space="preserve">RULE54A1 Deviation from historical behaviors-Prepaid Consumer</t>
  </si>
  <si>
    <t xml:space="preserve">RULE54A2 Deviation from historical behaviors-Prepaid Corporate</t>
  </si>
  <si>
    <t xml:space="preserve">RULE56 Pattern of "funding" in pre-pay card and rapid "spending" - min pre-load "spend"</t>
  </si>
  <si>
    <t xml:space="preserve">RULE76 Structuring patterns for IN wires between certain amounts.</t>
  </si>
  <si>
    <t xml:space="preserve">RULE79 Incoming Activity from High Risk Jurisdiction</t>
  </si>
  <si>
    <t xml:space="preserve">RULE79A Incoming HR Jurisdiction High Volume Program</t>
  </si>
  <si>
    <t xml:space="preserve">RULE79B Incoming Activity from Prohibited Jurisdiction</t>
  </si>
  <si>
    <t xml:space="preserve">RULE80 Outgoing Activity to High-Risk Jurisdiction</t>
  </si>
  <si>
    <t xml:space="preserve">RULE80A Outgoing Activity to High-Risk Jurisdiction-TransferWise</t>
  </si>
  <si>
    <t xml:space="preserve">RULE80B Outgoing Activity to Prohibited Jurisdiction</t>
  </si>
  <si>
    <t xml:space="preserve">RULE85 Transactions Involving Restricted or Prohibited Industries</t>
  </si>
  <si>
    <t xml:space="preserve">RULE86 Incoming wires from High-Risk Business</t>
  </si>
  <si>
    <t xml:space="preserve">RULE87 Outgoing Wires from High-Risk Business</t>
  </si>
  <si>
    <t xml:space="preserve">RULE88 Frequent low cash deposits</t>
  </si>
  <si>
    <t xml:space="preserve">Airwallex is a global payments company offering multi-currency business accounts, payment acceptance, global money transfers, and virtual corporate cards. These services enable businesses to operate globally by simplifying foreign exchange, reducing transaction fees, and improving payment efficiency. Airwallex maintains accounts with CFSB to facilitate money remittances and process card payments via the processor i2C.</t>
  </si>
  <si>
    <t xml:space="preserve">Airwallex Hong Kong Ltd</t>
  </si>
  <si>
    <t xml:space="preserve">Airwallex Hong Kong Ltd. is a cross-border payment solutions provider that allows online merchants based in Hong Kong and China to receive funds from global buyers in their local currencies. Airwallex Hong Kong Ltd. is a customer of CFSB whereby CFSB maintains a payment services agreement with Airwallex Hong Kong Ltd. and its customers. Airwallex Hong Kong Ltd. is located at The Centre, 99 Queen's Road Central Suite 10/66F, Central Hong Kong.</t>
  </si>
  <si>
    <t xml:space="preserve">Alviere</t>
  </si>
  <si>
    <t xml:space="preserve">Mezu Inc dba Alviere is a licensed money transmitter and fintech company that provides financial services to customers, including products like banking, mobile payments, card issuance, payment processing, and cross border currency exchange. Alviere is an embedded finance provider offering digital wallets, card issuance, and deposit products to thirdcards and settling associated funds.</t>
  </si>
  <si>
    <t xml:space="preserve">ArroFi</t>
  </si>
  <si>
    <t xml:space="preserve">ArroFi offers credit-building tools via a secured credit card known as the Arro Card. CFSB serves as the card issuer and processes financial transactions for the Arro program.</t>
  </si>
  <si>
    <t xml:space="preserve">Balance Technologies</t>
  </si>
  <si>
    <t xml:space="preserve">Balance Technologies provides digital B2B payment solutions for merchants and marketplaces. CFSB issues business debit cards under the Balance program.</t>
  </si>
  <si>
    <t xml:space="preserve">Bambu</t>
  </si>
  <si>
    <t xml:space="preserve">MyBambu is a deposit account and Visa Debit Card program which is a mobile application that offers an array of financial solutions to provide convenient, reliable, and affordable services to everyone, regardless of their immigration status. Services include a demand deposit account, linked Visa debit card, direct deposit, cross-border payments, domestic and international bill payments, and mobile phone top-up. MyBambu is a customer of CFSB and MyBambu is not a bank. The MyBambu Visa Debit Card is issued by CFSB pursuant to a license from Visa USA and can be used anywhere Visa Debit Cards are accepted. MyBambu card funds are held or transferred by CFSB. CFSB does not offer international money transfers through this platform at this time.</t>
  </si>
  <si>
    <t xml:space="preserve">Banco XP</t>
  </si>
  <si>
    <t xml:space="preserve">Banco XP, through XP Investments US, offers investment and financial services to Brazilian clients. CFSB issues consumer debit cards as part of the Banco XP program.</t>
  </si>
  <si>
    <t xml:space="preserve">CardCash </t>
  </si>
  <si>
    <t xml:space="preserve">CardCash operates a platform for buying and selling discounted gift cards. CFSB processes ACH settlements to load funds to the CardCash platform.</t>
  </si>
  <si>
    <t xml:space="preserve">CFG Global </t>
  </si>
  <si>
    <t xml:space="preserve">CFG Global provides foreign exchange and treasury solutions for corporate clients. CFSB facilitates outgoing domestic and international transfers at the direction of CFG Global.</t>
  </si>
  <si>
    <t xml:space="preserve">Chipper Cash </t>
  </si>
  <si>
    <t xml:space="preserve">Chipper Cash is a settlement customer sponsored by CFSB as a remittance program allowing US Customers to send money to their family and friends in different parts of Africa. Most of their customers are African immigrants. Chipper Cash provides money remittance services with multicurrency wallet features. CFSB facilitates transactions related to wallet funding and cross-border transfers for Chipper Cash users.</t>
  </si>
  <si>
    <t xml:space="preserve">Clear Junction</t>
  </si>
  <si>
    <t xml:space="preserve">Clear Junction is a London-based financial technology company providing global payment and banking solutions. They specialize in enabling businesses, banks, and financial institutions to access domestic and international payment networks efficiently. The platform supports services such as account creation, virtual accounts, treasury and foreign exchange (FX), e-money accounts, and payment processing.
The company caters to various clients including payment service providers, open banking entities, remittance businesses, cryptocurrency firms, and marketplaces. Clear Junction’s offerings focus on facilitating cross-border payments, automating processes via API integrations. Their services are designed to streamline global fund transfers, enhance operational efficiency, and provide competitive pricing models. CFSB facilitates domestic and international remittances per instructions dictated by Clear Junction customers. </t>
  </si>
  <si>
    <t xml:space="preserve">Clearshift</t>
  </si>
  <si>
    <t xml:space="preserve">Clearshift is registered with the Department of Treasury as a Money Service Business and is licensed as a Money Transmitter by the New Jersey Department of Banking &amp; Insurance.Clearshift also has a European presence based in Lithuania and a Middle Eastern presence based in Israel. In Israel, Clearshift (Israel) Ltd is licensed by the Israeli Ministry of Finance - Capital Markets, Insurance and Savings Authority as a Provider of Regulated Financial Services. In 2020, Clearshift obtained an E-Money Institution (EMI) license from the Bank of Lithuania. Pursuant to the European Union’s PSD2 regulation. Clearshift’s license gives it the ability to serve customers throughout the EU. Clearshift is a customer of Community Federal Savings Bank (CFSB) wherein CFSB maintains accounts for Clearshift and provides funds transfer services for Clearshift and its customers. Clearshift offers foreign exchange and money transmission services with flat fees to businesses and individuals located within the US and internationally.</t>
  </si>
  <si>
    <t xml:space="preserve">Cogni</t>
  </si>
  <si>
    <t xml:space="preserve">Cogni is a lifestyle banking platform based in New York City. In addition to a free multi-currency bank account, Cogni uses big data and machine learning to analyze users' income volatility, transactions, financial data, and geo-location. Utilizing this data, Cogni provides personalized, value-added banking and payments services, helping customers save time, cost, and effort. Cogni offers a VISA card for their mobile application to individual consumers in the US.
COGNI is a digital banking platform that brings you curated brands and experiences while helping manage your spending. The COGNI Visa Card is a prepaid debit card. The Cogni Visa(r) Debit Card is issued by Community Federal Savings Bank, a member of FDIC, pursuant to a license from Visa U.S.A. Inc. The Card allows you to access funds loaded or deposited into your Account by you or on your behalf. The funds in your Account will be insured up to the limit established by the Federal Deposit Insurance Corporation ("FDIC") once the Servicer has been able to verify your identity. You may access the funds in your Account by using your Card, Card Number, or by automated clearinghouse (ACH) debit using an account number provided to you by us. The Card is neither a credit card nor a gift card and is not intended for gifting purposes. You will not receive any interest on your funds on the Card or in the Account. The funds in your Account will not expire, regardless of the expiration date on the front of your Card. (https://getcogni.com/)</t>
  </si>
  <si>
    <t xml:space="preserve">Comun</t>
  </si>
  <si>
    <t xml:space="preserve">Comun is a challenger bank focused on the U.S. Hispanic-Latino audience. Comun’s mission is to create an affordable digital financial solution for immigrants living in the U.S. The solution will allow these customers to remit funds to friends and family abroad. Comun offers a checking account and debit card through CFSB under a program sponsorship arrangement.</t>
  </si>
  <si>
    <t xml:space="preserve">Credit Sesame/SesameCash</t>
  </si>
  <si>
    <t xml:space="preserve">Sesame Cash is a prepaid debit card issued by Community Federal Savings Bank (CFSB). To build credit with Sesame Cash, you must also open a virtual secured account with CFSB that is reported to the credit bureaus. There is no upfront security deposit required. Instead, the balance on your virtual secured account will be secured around the time of each transaction. To start building credit, deposit money into your Sesame Cash account and start using your debit card. Your debit card purchases will then create a balance on your virtual secured account, and funds in your Sesame Cash account, equal to this balance, will be set aside as a security deposit to pay off the balance at the end of each month.</t>
  </si>
  <si>
    <t xml:space="preserve">Crypto.com (Foris Inc/Foris Dax Inc)</t>
  </si>
  <si>
    <t xml:space="preserve">Foris Inc operates under the DBA of Crypto.com. Foris Inc is a registered MSB with FinCEN. Foris Inc provides consumers the ability to buy and sell cryptocurrency using an app. Community Federal Savings Bank (“CFSB”) provides settlement services for USD collection to fund Crypto.com customer accounts (e-wallets). Funds are credited to Foris’ demand deposit account held with CFSB. Once credited to Foris’ CFSB account, Foris maintains ownership of the funds and processes them according to their customer's instructions. / Foris Dax, Inc operates under the DBA of Crypto.com. Foris Dax, Inc is a registered MSB with FinCEN. Foris Dax, Inc provides consumers the ability to buy and sell crypto currency using an app. Community Federal Savings Bank ("CFSB") provides settlement services for USD collection to fund Crypto.com customer accounts (e-wallets). Funds are credited to Foris' demand deposit account held with CFSB. Once credited to Foris' CFSB account, Foris maintains ownership of the funds and processes them according to their customer's instructions.</t>
  </si>
  <si>
    <t xml:space="preserve">Currencycloud</t>
  </si>
  <si>
    <t xml:space="preserve">Currencycloud Limited is a direct client of Community Federal Savings Bank (CFSB). CFSB provides electronic funds settlement services for Currencycloud Limited. Currencycloud Limited is authorized by the Financial Conduct Authority under the Electronic Money Regulations 2011 and the Payment Services Regulations for issuing of electronic money and the provision of payment services with FCA registration number 900199. Currencycloud Limited has an address of The Steward Building 12 Steward Street in London E1 6FQ. Currencycloud Limited has a sister company named Currencycloud Inc., which has an address of 104 5th Avenue, 20th Floor, New York, NY 10010 and is a state licensed and FinCEN registered money service business (MSB) (MSB Registration Number 31000112572477). Currencycloud Limited and Currencycloud Inc. together offer foreign exchange, money transmission, and other payment and technology global services, primarily to businesses located within the US and internationally. Community Federal Savings Bank (CFSB) maintains a relationship with Currencycloud Inc. to offer businesses located in the United States the ability to remit funds from their non-US bank accounts through CFSB for further credit to their accounts held with Currency Cloud Limited in the UK. </t>
  </si>
  <si>
    <t xml:space="preserve">CurrencyFair </t>
  </si>
  <si>
    <t xml:space="preserve">CurrencyFair offers international money transfer services for individuals and businesses. CFSB processes incoming and outgoing wire and ACH remittances for CurrencyFair clients. </t>
  </si>
  <si>
    <t xml:space="preserve">Currenxie, Ltd</t>
  </si>
  <si>
    <t xml:space="preserve">Currenxie Limited is a Limited Company organized under the laws of Hong Kong. Currenxie provides global payments services together with CFSB that assists merchants outside of the United States in sending cross-border payments to its suppliers or service providers in the United States and facilitates the collection of payments from the Merchant Supplier within the United States through the use of a virtual account number. CFSB has established one or more non-interest-bearing commercial deposit accounts into which funds received from Senders via ACH credit transfers are deposited in connection with Currenxie. This is a pooled account and is established in Currenxie's name for the benefit of Currenxie's customers. CFSB holds no customer relationship with Currenxie senders or payees and Currenxie is solely responsible for making payments to Payees designated by senders of their program. Additionally, Currenxie may instruct CFSB to wire transfer funds in U.S. Dollars from the Account to Company's Non-U.S. Account to facilitate payments received by Senders in the U.S. to Payees outside the U.S.</t>
  </si>
  <si>
    <t xml:space="preserve">DollarSmart Global PTE LTD</t>
  </si>
  <si>
    <t xml:space="preserve">DollarSmart Global PTE. LTD. is a registered money service operator in Hong Kong (License number 15-08-01682). DollarSmart Global was founded in 2014 in Singapore, with international presence across Asia and Australia. DollarSmart Global provides a range of services, including real-time payments to bank accounts, digital wallets, or cash payouts, as well as real-time collections using various payment rails and technologies like QR codes. They offer multi-currency virtual accounts in Asia for individuals or business entities, enabling the customer to receive funds from both local payment networks and SWIFT. Funds can then be settled back to main bank accounts in a customer’s home country via SWIFT.</t>
  </si>
  <si>
    <t xml:space="preserve">EarnUp </t>
  </si>
  <si>
    <t xml:space="preserve">EarnUp is a financial wellness provider automating debt paydown and savings. CFSB processes ACH transfers to lenders and servicers at EarnUp’s direction. </t>
  </si>
  <si>
    <t xml:space="preserve">Ebury </t>
  </si>
  <si>
    <t xml:space="preserve">Ebury provides global payments and FX services for businesses. CFSB facilitates wire and ACH payments as instructed by Ebury. </t>
  </si>
  <si>
    <t xml:space="preserve">Epay </t>
  </si>
  <si>
    <t xml:space="preserve">Epay is a global payment platform offering multi-currency solutions. CFSB issues reloadable prepaid cards as part of the Epay program. </t>
  </si>
  <si>
    <t xml:space="preserve">Euro Exchange International Bank</t>
  </si>
  <si>
    <t xml:space="preserve">Euro Exchange International Bank provides online personal and corporate accounts and foreign currency services. CFSB facilitates domestic and international remittances for Euro Exchange clients.</t>
  </si>
  <si>
    <t xml:space="preserve">EUROEXCHANGE SECURITIES UK LTD </t>
  </si>
  <si>
    <t xml:space="preserve">EUROEXCHANGE SECURITIES UK LTD is a licensed E-money institution based in the UK, offering services such as international payment processing and multi-currency accounts (https://euroexchange.uk/). CFSB offers settlement services for EUROEXCHANGE SECURITIES UK LTD. </t>
  </si>
  <si>
    <t xml:space="preserve">Experian</t>
  </si>
  <si>
    <t xml:space="preserve">ConsumerInfo.com, Inc. (also known as Experian Consumer Services) is a subsidiary of Experian Plc, a public company, which was incorporated on May 24, 1993, in the state of California. Experian is a global information services company, which engages in Credit Services, Decision Services, Marketing Services and Consumer Services. Experian collects and aggregates information on about 235 million individual U.S. consumers and more than 25 million U.S. businesses. Experian offers a digital banking solution to US residents. This solution is consumer debit card access. The program is offered only through the mobile application.</t>
  </si>
  <si>
    <t xml:space="preserve">FasterPay </t>
  </si>
  <si>
    <t xml:space="preserve">FasterPay offers digital wallet and international payment services. CFSB processes ACH and wire transactions for FasterPay clients. </t>
  </si>
  <si>
    <t xml:space="preserve">Felix Pago </t>
  </si>
  <si>
    <t xml:space="preserve">Felix Pago provides international remittance services to Latin American countries via WhatsApp. CFSB facilitates domestic and international remittances at Felix’s direction. </t>
  </si>
  <si>
    <t xml:space="preserve">FLUZ</t>
  </si>
  <si>
    <t xml:space="preserve">Fluz is a financial technology company, not a bank with banking services provided by partner banks that are members of the FDIC, such as Community Federal Savings Bank. Fluz is a collaborative earning app that allows users to earn cashback on everyday spending. Fluz allows consumers to earn cash back instantly on their entire purchase amount when they pay at checkout through the Fluz App. With Fluz, the consumer buys gift cards from the app and once they've bought a gift card for their desired amount, they immediately get cash back which stays in their Fluz wallet until they withdraw it or use it to purchase more gift cards. Once they have purchased the gift cards, they can then use these in-store or online to pay for items.</t>
  </si>
  <si>
    <t xml:space="preserve">GenialAI </t>
  </si>
  <si>
    <t xml:space="preserve">GenialAI provides audit automation tools for accounting professionals. CFSB issues debit cards tied to Genial’s user services.</t>
  </si>
  <si>
    <t xml:space="preserve">Global M2C (Skyee)</t>
  </si>
  <si>
    <t xml:space="preserve">Global M2C provides cross-border fund collection and remittance services for merchants that conduct business on global online marketplaces. The merchants’ customers are based in China and its Special Administrative Region of Hong Kong. The company serves as agent of payee for its merchant customers. Global M2C supports cross-border financial services for businesses and expats. CFSB processes international payments and remittances for Skyee clients.</t>
  </si>
  <si>
    <t xml:space="preserve">Global66 </t>
  </si>
  <si>
    <t xml:space="preserve">Global66 offers international money transfers for individuals in Latin America. CFSB processes ACH and wire remittances on behalf of Global66 customers.</t>
  </si>
  <si>
    <t xml:space="preserve">GoCardless LTD</t>
  </si>
  <si>
    <t xml:space="preserve">GoCardless LTD is a UK-based company specializing in bank payment solutions, particularly Direct Debit and ACH payments. They are authorized to provide payment services by the Financial Conduct Authority. GoCardless LTD and Community Federal Savings Bank (CFSB) are partners in providing payment services, specifically focusing on ACH (Automated Clearing House) payments. CFSB, a U.S. bank, provides the regulated payment services needed to execute transactions for GoCardless customers. GoCardless uses CFSB to enable businesses to pull payments directly from their customers' bank accounts via ACH, offering a more efficient and potentially lower-cost alternative to card payments.</t>
  </si>
  <si>
    <t xml:space="preserve">GoHenry</t>
  </si>
  <si>
    <t xml:space="preserve">GoHenry is prepaid Child spending Card that allows parents to easily pay pocket money and set safe spending rules for children using beautifully designed mobile and web apps. Parents can decide how much can be spent and where the card can be used (e.g., online, high street and cash machines). When a child makes a purchase, GoHenry interrupts the authentication signal and runs the pre-set parent-devised rules over the proposed purchase. Only if the purchase meets those rules is it passed, and the child can complete their transaction. Parents receive immediate notifications telling them when, where and how much their children have spent. Parents also receive notifications with clear reasons for declined spending where their rules were broken. Community Federal Savings Bank (CFSB) provides settlement services and CFSB is also the prepaid card issuer. GoHenry's demand deposit account for settlement and processing is 2715300305.</t>
  </si>
  <si>
    <t xml:space="preserve">Greenlight Financial Technology, Inc (Greenlight)</t>
  </si>
  <si>
    <t xml:space="preserve">Greenlight Financial Technology, Inc (also known as Greenlight) provides Greenlight services under a card program where a prepaid account service that is operated by Greenlight provides a Primary Accountholder with an ability to control and monitor any various aspects of a Primary Account, Secondary Account, and Supported Adult Account. This includes an ability to set spending parameters and approve purchases in Secondary and Supporting Adult Accounts. Greenlight does not hold consumer funds and any funds added to the Greenlight account are primarily held by CFSB.</t>
  </si>
  <si>
    <t xml:space="preserve">Grit Financial </t>
  </si>
  <si>
    <t xml:space="preserve">Grit Financial provides earned wage access and spending tools. CFSB supports card issuance and facilitates payroll-related funding. </t>
  </si>
  <si>
    <t xml:space="preserve">Hamro Patro</t>
  </si>
  <si>
    <t xml:space="preserve"> Hamro Patro is a Nepalese platform offering digital content and financial tools. CFSB supports relevant payment services, including card issuance.</t>
  </si>
  <si>
    <t xml:space="preserve">Harbour and Hills</t>
  </si>
  <si>
    <t xml:space="preserve">Headquartered in Hong Kong, Harbour and Hills Financial Services Ltd emerged as a fintech company in 2010. Harbour and Hills is a registered money services operator, licensed by the HK Customs and Excise Department. In Australia, Harbour and Hills Financial Services Pty Limited is registered with Australian Securities and Investments Commission. They primarily facilitate cross-border payment processing for business clients. Currently, they have offices in Hong Kong, Australia, and India. CFSB facilitates related domestic and international wire activity.</t>
  </si>
  <si>
    <t xml:space="preserve">Highnote</t>
  </si>
  <si>
    <t xml:space="preserve">Highnote is an integrated platform built to handle payment needs seamlessly. They are a card issuer, payment processor, and program manager that helps streamline customer financial operations as an intermediary provider. The Highnote platform offers product and engineering teams at digital enterprises the ability to embed virtual and physical payment cards (commercial and consumer prepaid, debit, credit, and charge), ledger, and wallet capabilities into their existing products. Highnote works with Mastercard to leverage the scale of their network, technology, and services to deliver a product that promises enhanced operational efficiency and improved cost management for businesses including offering a platform for Fleet Spending Management. The card is issued by Community Federal Savings Bank.</t>
  </si>
  <si>
    <t xml:space="preserve">iBanFirst </t>
  </si>
  <si>
    <t xml:space="preserve">iBanFirst provides cross-border payments and FX solutions to European businesses. CFSB facilitates related wire activity for U.S.-based remittances.</t>
  </si>
  <si>
    <t xml:space="preserve">Inter&amp;Co </t>
  </si>
  <si>
    <t xml:space="preserve">Inter&amp;Co offers a digital financial platform for Brazilian and U.S. clients. CFSB issues debit cards and supports cross-border remittance services. </t>
  </si>
  <si>
    <t xml:space="preserve">IPAYLINKS US INC</t>
  </si>
  <si>
    <t xml:space="preserve">iPayLinks is a FinTech company in China delivering one stop cross-border payment solutions including online acquiring, marketplace payout, billing &amp; settlement, customized solutions, covering China, the United States, Europe, Southeast Asia, Middle East, Russia, India, Japan, and South Korea. iPayLinks US INC US, INC supports Chinese marketplace sellers who sell their goods through marketplaces (Amazon, eBay, Wish.com), providing them local bank accounts to collect their settlement funds and remitting back to their local domestic accounts. Transactions can be processed in 130 currencies and settled in 12 currencies (https://www.ipaylinks.com).</t>
  </si>
  <si>
    <t xml:space="preserve">iSend Global </t>
  </si>
  <si>
    <t xml:space="preserve">iSend Global offers money transfer and payout platforms across over 100 countries. CFSB supports international wire activity and platform-based remittances.</t>
  </si>
  <si>
    <t xml:space="preserve">Kabayan Remit </t>
  </si>
  <si>
    <t xml:space="preserve">Kabayan Remit offers digital remittances to the Philippines. CFSB processes wire and ACH transfers under Kabayan’s instructions. </t>
  </si>
  <si>
    <t xml:space="preserve">Keeta</t>
  </si>
  <si>
    <t xml:space="preserve">Keeta provides real-time cross-border payments using blockchain-based infrastructure. CFSB issues debit cards to support consumer access to funds.</t>
  </si>
  <si>
    <t xml:space="preserve">LEATHERBACK LTD</t>
  </si>
  <si>
    <t xml:space="preserve">LEATHERBACK LTD is a financial solutions company with a focus on simplifying global trade and cross-border payments. LEATHERBACK is a Payment Services Customer of CFSB wherein CFSB acts as the RDFI to receive funds on behalf of their consumer and corporate customers from LEATHERBACK’s international bank partners (Clear Bank, European Merchant Bank, Rails Bank, Yes Bank and Silvergate Bank). LEATHERBACK offers a range of services including multicurrency accounts, money transfers, mass collection and payouts, and tools for invoices, expenses, and payroll. Leatherback primarily serves individuals and businesses engaged in international trade. It was founded in 2019 and is based in London, England. (https://leatherback.co/). </t>
  </si>
  <si>
    <t xml:space="preserve">LianLian Global</t>
  </si>
  <si>
    <t xml:space="preserve">LianLian Global supports cross-border eCommerce payments for sellers on platforms like Amazon and Shopify. CFSB facilitates ACH and wire settlements.</t>
  </si>
  <si>
    <t xml:space="preserve">Liberty Cooperative Credit Union (LCCU) </t>
  </si>
  <si>
    <t xml:space="preserve">LCCU is a credit union based in Anguilla. CFSB supports debit card issuance to members through the credit union.</t>
  </si>
  <si>
    <t xml:space="preserve">MAJORITY</t>
  </si>
  <si>
    <t xml:space="preserve">MAJORITY is an all-in-one mobile financial service dedicated to serving migrants. MAJORITY’s key market is the US, where the company operates across all states. MAJORITY offers access to a variety of integral banking and international services including an FDIC-insured account (through its Sponsor Bank) with early direct deposit, a Visa® debit card with cashback on purchases, remittances, at-cost international calling, and the ability to send mobile credits to support loved ones back home. MAJORITY’s offerings are tailored for specific communities depending on location, with advisors from members’ home countries available for in-person advice and consultations.</t>
  </si>
  <si>
    <t xml:space="preserve">Marygold &amp; Co</t>
  </si>
  <si>
    <t xml:space="preserve">Marygold &amp; Co. is a financial technology company that offers an all-in-one app for all mobile banking and payment needs. Marygold &amp; Co offer a Mastercard debit card with additional features of the app that includes unlimited money pool investing, with customized portfolios and user-selected time-based objectives; PayAnyone™ capability, which authorizes clients to send payments to anyone in the U.S., regardless of whether they have a Marygold &amp; Co. account; and contactless payment options utilizing technology that allows touch-free tap-to-pay transactions from the Marygold &amp; Co. debit card.</t>
  </si>
  <si>
    <t xml:space="preserve">More Payment Evolution </t>
  </si>
  <si>
    <t xml:space="preserve">More provides global remittances and payout services across LATAM, EMEA, and APAC. CFSB facilitates domestic and international payments with More customer instructions. </t>
  </si>
  <si>
    <t xml:space="preserve">MSBB Money Ltd</t>
  </si>
  <si>
    <t xml:space="preserve">MSBB Money Ltd is an E-money Institution authorized and regulated by the FCA that facilitates the exchange, conversion, or transmission of money for customers. The company was established in 2007 and has been working with global payments, FX services, and money remittances. MSBB Money is specialized in the Brazilian market providing solutions on mass payments to and from Brazil, API Connectivity, transparency, and efficiency. MSBB Money is also a SWIFT Network participant and has extensive experience in global payments.</t>
  </si>
  <si>
    <t xml:space="preserve">Ncubo </t>
  </si>
  <si>
    <t xml:space="preserve">Ncubo offers fintech infrastructure and customized card programs. CFSB issues prepaid and debit cards for Ncubo’s partner programs. </t>
  </si>
  <si>
    <t xml:space="preserve">Neosurf </t>
  </si>
  <si>
    <t xml:space="preserve">Neosurf offers prepaid vouchers for online purchases without bank accounts. CFSB supports voucher redemption and remittance processing.</t>
  </si>
  <si>
    <t xml:space="preserve">NIUM</t>
  </si>
  <si>
    <t xml:space="preserve">NIUM INC (formerly “INSTAREM USA”) is a registered money service business (MSB Registration 31000163937027), with a registered address of 90 WASHINGTON VALLEY ROAD, BEDMINSTER, NJ 07921. NIUM INC provides a white label solution to business entities that engage in payment processing and marketers that promote money remittance services to consumers and business entities. Corporate customers will offer services to individuals and other businesses via online, web based and mobile applications which are powered by NIUM’s payment platform. Funds will be received via ACH credit to NIUM’s CFBS settlement account # (2715100653) and for further transfer to US payees’ bank accounts and beneficiaries in foreign jurisdictions where NIUM hold the requisite licenses and banking relationships. No currency conversion will be performed by CFSB.</t>
  </si>
  <si>
    <t xml:space="preserve">Nomad </t>
  </si>
  <si>
    <t xml:space="preserve">Nomad provides U.S. bank accounts and debit cards to Brazilian customers. CFSB issues Nomad branded debit cards and facilitates currency exchange remittances.</t>
  </si>
  <si>
    <t xml:space="preserve">Pana </t>
  </si>
  <si>
    <t xml:space="preserve">Pana is a digital financial service provider for the U.S. Latino community. CFSB supports debit card issuance and remittances.</t>
  </si>
  <si>
    <t xml:space="preserve">Panda Remit</t>
  </si>
  <si>
    <t xml:space="preserve">Panda Remit is a Money Services Business regulated by FinCEN that is headquartered in Singapore and offers remittance services in more than 40 countries/regions. Panda Remit is completed online, with no offline costs, and no middlemen. Money can be sent with Money Transmission Services provided by Community Federal Savings Bank. (About Us | Global Cross-border Money Transfer from United States | Panda Remit)</t>
  </si>
  <si>
    <t xml:space="preserve">PayFacto </t>
  </si>
  <si>
    <t xml:space="preserve">PayFacto provides payment gateway services and point-of-sale solutions. CFSB supports merchant acquiring services and POS settlement.</t>
  </si>
  <si>
    <t xml:space="preserve">Payoneer Inc.</t>
  </si>
  <si>
    <t xml:space="preserve">Payoneer Inc. ("Payoneer") is a state licensed and FinCEN registered money service business (MSB Registration Number 31000110323072). PAYONEER is a customer of CFSB whereby CFSB provides payment services for PAYONEER and its customers. Payoneer is located at 150 W 30th Street, New York, NY 10001, and has an EIN of 35-2254039. Payoneer offers foreign exchange, money transmission, and prepaid access services, including Borderless Accounts, to businesses and individuals located within the US and internationally. A Borderless Account allows an individual or business to accept payments or transactions in a specific currency, in this case US dollars, and then as necessary, exchange that currency for other currencies or remit the funds to other countries in a specific currency. Funds received by CFSB for the benefit of [indirect customer]’s Payoneer Account (#PseudoDDA) were credited to Payoneer's demand deposit account held with CFSB (account #140003781). Once credited to Payoneer's CFSB account, Payoneer maintains ownership of the funds and processes them according to their customer's instructions.</t>
  </si>
  <si>
    <t xml:space="preserve">Payscout </t>
  </si>
  <si>
    <t xml:space="preserve">Payscout delivers global payment processing solutions for eCommerce and retail businesses. CFSB supports merchant acquiring and transaction settlement services. </t>
  </si>
  <si>
    <t xml:space="preserve">Payverse </t>
  </si>
  <si>
    <t xml:space="preserve">Payverse offers UnionPay card acceptance and international remittance services. CFSB processes ACH and wire transactions in support of Payverse operations. </t>
  </si>
  <si>
    <t xml:space="preserve">PaymentEarth </t>
  </si>
  <si>
    <t xml:space="preserve">PaymentEarth provides international payments and FX risk management tools. CFSB facilitates ACH and wire transfers per PaymentEarth instructions.</t>
  </si>
  <si>
    <t xml:space="preserve">Placid Transfers Corp</t>
  </si>
  <si>
    <t xml:space="preserve">Placid Transfers Corporation DBA Placid ("Placid") was incorporated in NY on July 15, 2022. Placid was formed to exclusively provide digital remittance/payment services to individuals and businesses in the US. Placid's client base consists of 90% consumer clients, and 10% corporate clients. All necessary licenses are used under their parent company Placid NK Corporation ("Placid NK"). Placid NK was founded in 1996 and provides an affordable and efficient alternative for consumers sending money to their loved ones living in over 30 countries. Placid NK is licensed in 30 states located in the USA, Italy, and Malaysia. Customers currently served via Placid NK Corp's licenses will be transitioned into the bank sponsored program. Individuals can remit funds to India, Bangladesh, Philippines, Europe, and Africa. Businesses can pay vendors, freelancers, and contractors with low fees and great FX rates.</t>
  </si>
  <si>
    <t xml:space="preserve">Pomelo (Lemonade/LemFi) </t>
  </si>
  <si>
    <t xml:space="preserve">Pomelo offers remittance services and credit-building tools through a prepaid card. CFSB facilitates card issuance and international remittance processing.</t>
  </si>
  <si>
    <t xml:space="preserve">Privat3 Money Ltd</t>
  </si>
  <si>
    <t xml:space="preserve">Privat3 Money Ltd is a United Kingdom-based Electronic Money Institution (EMI) regulated by the FCA (Financial Conduct Authority) under FRN 900989. Founded in 2018 by Reda Bedjaoui, the company provides fintech solutions for global citizens and corporations, including multi-currency accounts, debit and prepaid cards, and FX services. Privat3 Money also offers tailored treasury solutions for sectors like yacht and aviation management and serves high-net-worth individuals with advanced financial services. </t>
  </si>
  <si>
    <t xml:space="preserve">Pronto Money Transfer Inc</t>
  </si>
  <si>
    <t xml:space="preserve">Pronto Money Transfer Inc is a finance startup established in 2005, specializing in providing fast and reliable money transfer services. Pronto developed a cloud-based payment processing platform intended to transfer money from the USA to Brazil and vice versa. The company's platform provides a seamless API integration to automate global mass payouts directly, process transactions, as well as secure web-based applications with data encryption, enabling clients to save money on transfer fees and rates without payment traffic interruptions. Pronto Money Transfer is in Manhattan Beach, California, United States.</t>
  </si>
  <si>
    <t xml:space="preserve">Quid </t>
  </si>
  <si>
    <t xml:space="preserve">Quid provides liquidity solutions for employees holding equity in pre-IPO companies. CFSB processes domestic remittances tied to equity loan funding. </t>
  </si>
  <si>
    <t xml:space="preserve">Sakon </t>
  </si>
  <si>
    <t xml:space="preserve">Sakon provides telecom and device management services to enterprises. CFSB issues prepaid commercial debit cards to support expense programs. </t>
  </si>
  <si>
    <t xml:space="preserve">SentBe </t>
  </si>
  <si>
    <t xml:space="preserve">SentBe offers low-cost remittance services focused on South Korea and APAC. CFSB processes international wires and ACH transfers for SentBe users.</t>
  </si>
  <si>
    <t xml:space="preserve">Skrill</t>
  </si>
  <si>
    <t xml:space="preserve">Skrill USA, Inc. is a licensed money transmitter within the US that enables payments and money transfers to be made through the Internet via a digital wallet. Skrill is in the process of partnering with Neteller, which is an e-money transfer service used to transfer money to and from merchants and other Neteller customers. Neteller is owned and operated by British global payments company Paysafe Group, which is also in the process of acquiring Skrill USA, Inc. Skrill USA, Inc. will begin supporting the Neteller US branded e-wallet and the accounts will be used to process payments to online gambling merchants, where such gambling is legal. This product is used for payments to merchants and for money remittance and can be used for online gambling where such gambling is legal. www.skrill.com.</t>
  </si>
  <si>
    <t xml:space="preserve">Speedchain </t>
  </si>
  <si>
    <t xml:space="preserve">Speedchain provides real-time spend and payment management tools for businesses. CFSB supports domestic payment settlement and card issuance under Speedchain programs.</t>
  </si>
  <si>
    <t xml:space="preserve">Sunrate Solutions</t>
  </si>
  <si>
    <t xml:space="preserve">Sunrate provides services which include merchant settlement services, business to business transactions, online payments, and transfers between the US, UK, EEA region, Indonesia, Japan, Thailand, Hong Kong, and mainland China. Sunrate customers can access Sunrate’s services via their online platform where they can register and process payment orders in over 50 currencies. CFSB receives payments on behalf of Sunrate customers, then CFSB issues virtual accounts to each of Sunrate’s customers and facilitates the pay-ins and payout of these customers’ funds. </t>
  </si>
  <si>
    <t xml:space="preserve">Tomo Mortgage </t>
  </si>
  <si>
    <t xml:space="preserve">Tomo Mortgage provides tech-enabled residential mortgage lending services. CFSB supports related remittance and settlement functions for borrower transactions. </t>
  </si>
  <si>
    <t xml:space="preserve">URemit International </t>
  </si>
  <si>
    <t xml:space="preserve">URemit is a remittance platform serving over 130 countries. CFSB facilitates domestic and international payments on behalf of URemit customers.</t>
  </si>
  <si>
    <t xml:space="preserve">Unlimit </t>
  </si>
  <si>
    <t xml:space="preserve">Unlimit offers global payment infrastructure supporting card, wallet, and crypto payments. CFSB facilitates ACH and wire settlements on behalf of Unlimit clients.</t>
  </si>
  <si>
    <t xml:space="preserve">VertoFX</t>
  </si>
  <si>
    <t xml:space="preserve">VertoFx LTD is authorized by the Financial Conduct Authority under the Electronic Money Regulations 2011, Firm Reference 901073, for the issuing of electronic money. VertoFX works by providing businesses with a digital platform for cross-border payments and foreign exchange (FX) services, simplifying international transactions through features like a multi-currency digital wallet, local accounts in various countries, and a peer-to-peer marketplace for trading currencies at competitive rates. Businesses can hold and manage funds in different currencies, receive payments from global partners, and conduct fast, secure, and cost-effective transactions to facilitate global trade.</t>
  </si>
  <si>
    <t xml:space="preserve">Vitesse PSP Origination</t>
  </si>
  <si>
    <t xml:space="preserve">Vitesse is a treasury and payment service provider that specializes in the insurance industry, founded in 2014. Its platform is designed to streamline claims payments and treasury management, providing insurers, claims administrators, and service providers with real-time visibility and control over funds, ensuring faster, full-value payouts to claimants across 200+ countries. Vitesse integrates a global payments network and offers solutions that enhance customer experience, reduce manual processes, and optimize capital management for claims. In addition to claims payments, the company provides services such as claim funds management, digital payee options, and bulk supplier payments, all aimed at increasing efficiency and transparency in the insurance sector. CFSB offers Vitesse ACH settlement services to facilitate payments.</t>
  </si>
  <si>
    <t xml:space="preserve">WAVE MONEY</t>
  </si>
  <si>
    <t xml:space="preserve">Wave Financial (Wave) is a company that provides financial services and software for small businesses. Wave is headquartered in the Leslieville neighborhood in Toronto, Canada. Wave Financial USA Inc is located in Denver, Colorado. Wave Money is a customer of Community Federal Savings Bank (CFSB). The Bank processes settlement transactions for the services offered by Wave Money.</t>
  </si>
  <si>
    <t xml:space="preserve">Wingo Markets </t>
  </si>
  <si>
    <t xml:space="preserve">Wingo Markets is a brokerage platform offering access to financial instruments including forex and crypto. CFSB supports account settlement and funding transactions. </t>
  </si>
  <si>
    <t xml:space="preserve">WireBarley </t>
  </si>
  <si>
    <t xml:space="preserve">WireBarley provides affordable international remittance services, especially within the AsiaPacific region. CFSB facilitates global remittance flows and card funding.</t>
  </si>
  <si>
    <t xml:space="preserve">Wise Inc</t>
  </si>
  <si>
    <t xml:space="preserve">Wise Inc. is a state-licensed FinCEN registered money service business (MSB) (MSB Registration Number 31000121406521). Wise is a customer of Community Federal Savings Bank (CFSB) wherein CFSB maintains accounts for Wise and provides fund transfer services for Wise and its customers. Wise is located at 19 W. 24th Street, New York, NY, 10010. Wise offers foreign exchange, money transmission, and prepaid access services, including Borderless Accounts, to businesses and individuals located within the US and internationally. A Borderless Account allows an individual or business to accept payments or transactions in a specific currency, in this case US dollars, and then as necessary, exchange that currency for other currencies or remit the funds to other countries in a specific currency. </t>
  </si>
  <si>
    <t xml:space="preserve">Zolve</t>
  </si>
  <si>
    <t xml:space="preserve">Zolve Innovations Inc, ("Zolve") is a fintech company that was founded in Bangalore, India in December 2020. Their operations consist of mostly marketing strategies to create customer acquisition. In the United States, the company is registered in the state of Delaware with offices in Houston, Texas. CFSB sponsor's Zolve as a Program Manager for the issuance of debit and credit cards primarily for Indian migrants moving to the US. Community Federal Savings Bank ("CFSB") provides settlement services and is also the card issuer for Zolve.</t>
  </si>
  <si>
    <t xml:space="preserve">Template Key</t>
  </si>
  <si>
    <t xml:space="preserve">Template Body</t>
  </si>
  <si>
    <t xml:space="preserve">This case is being escalated to Community Federal Savings Bank (“CFSB” the “Bank”) to report [Num Trans] transactions totaling $[Total Amount] conducted by subject [Subject Name] through [Program Name] accounts.
Community Federal Savings Bank ("CFSB") is filing this Suspicious Activity Report ("SAR") to report suspicious activity associated with the following:
1. Subject: [Subject Name]
2. Type of Suspicious Activity: Suspicion concerning the source of funds, Suspicious EFT/wire transfers, Transaction with no apparent economic, business, or lawful purpose, Transaction(s) involving foreign high-risk jurisdiction, Other: Higher dollar, higher volume
3. Total Suspicious Dollar Amount: $[Total Amount]
4. Date Range of Suspicious Activity: [Start Date] through [End Date]
5. Associated Program Partners: [Program Name]
6. Financial institutions and accounts involved: CFSB, [Account Numbers]
Based on CFSB's knowledge, [Subject Name] is an indirect customer of CFSB and is instead a client of [Program Name] program. [Program Description]
Between [Start Date] and [End Date], [Subject Name] received [Num Trans] wire transfers totaling $[Total Amount], with individual transaction amounts ranging from [Min Amount] to [Max Amount]. These wires were received from [Counterparties]. [Counterparty Name] with an address in [Country] sent [Num Trans] wire(s) totaling $[Total] to [Subject Name]. [Repeat block per additional counterparty.] [List each high-risk jurisdiction by name] is/are classified as a high-risk jurisdiction(s). [Edit as per case-to-case basis]
[If clustering present:] Multiple transactions were conducted on the same or near-consecutive days. Specifically, [Counterparty Name] sent [Num Trans] wires totaling $[Amount] on [Date(s)]. [Repeat block per clustering event per counterparty.] [Edit as per case-to-case basis]
[If round/high dollar amounts:] Transaction amounts were for high and/or round dollar values.
Internal records indicate that [Subject Name] operates in [Industry/Business Activity].
Open-source due diligence (“OSDD”) identified this entity's website identified [Subject Name]'s website at [Website URL] and a [business registration record / government-issued identification record] in [Country]. Per open sources, [Subject Name] is a [Entity Type, e.g., private limited liability company / individual] [established in / born in / residing in] [Country] on/as of [Incorporation Date / Date of Birth] and [active in / employed in / associated with] [Industry / Employer / Business Activity]. OSDD conducted on [Counterparties] did not identify conclusive information regarding [this entity's / this individual's / these entities' / these individuals'] business profile(s) [or / and] background(s). Therefore, the source of funds and purpose of the transactions remain unknown. [Edit as per case-to-case basis]
No negative news has been identified on [Subject Name] and its counterparties.
Based on this investigation, [Subject Name] appears engaged in potentially questionable activity indicative of a pattern of high volume and high dollar transactions with counterparties with unidentified business profiles and located in high-risk jurisdictions indicates potentially suspicious EFT/wire transfers with unknown source of funds.</t>
  </si>
  <si>
    <t xml:space="preserve">This case is being escalated to Community Federal Savings Bank (“CFSB” the “Bank”) to report [Num Trans] transactions totaling $[Total Amount] conducted by subject [Subject Name] through [Program Name] accounts.
Community Federal Savings Bank ("CFSB") is filing this Suspicious Activity Report ("SAR") 
to report suspicious activity associated with the following:
1. Subject: [Subject Name]
2. Type of Suspicious Activity: High-frequency transactions to unknown counterparties.
3. Total Suspicious Dollar Amount: $[Total Amount]
4. Date Range of Suspicious Activity: [Start Date] through [End Date]
5. Associated Program Partner: [Program Name]
Fluz is designed for routine prepaid spending that reflects normal consumer or business purchase behavior and is not intended for large, repeated loads and redemptions within short timeframes. A rapid load and spend pattern involving high aggregate amounts on the same or consecutive days departs from expected use patterns and raises suspicion that the product may be used as a fund movement or value cycling mechanism rather than as a payment tool.
Fluz is a financial technology company, not a bank with banking services provided by partner banks that are members of the FDIC, such as Community Federal Savings Bank. Fluz is a collaborative earning app that allows users to earn cashback on everyday spending. Fluz allows consumers to earn cash back instantly on their entire purchase amount when they pay at checkout through the Fluz App. With Fluz, the consumer buys gift cards from the app and once they've bought a gift card for their desired amount, they immediately get cash back which stays in their Fluz wallet until they withdraw it or use it to purchase more gift cards. Once they have purchased the gift cards, they can then use these in-store or online to pay for items.
A review of the alerted transactions (and in scope transactions) was conducted covering the period from [Start Date] to [End Date]. The review yielded the following results:
Between [Start Date] and [End Date], [Subject Name] sent [Num Trans] transactions totaling $[Total Amount], which are indicative of suspicious activity pattern. The customer sent an average amount of $[Monthly Average] across [Num Trans] transactions, primarily in amounts ranging from [Min Amount] to [Max Amount]. These transactions were often sent in round dollars and involved the movement of funds through payment service provider, including [Counterparties]. [Edit as per case-to-case basis]
Furthermore, the actual beneficiary remains unknown, and due diligence has failed to identify any occupational details or a verifiable source of income for the customer. The transactions were sent in round dollar amounts majorly, which is inconsistent with expected Fluz prepaid purchase behavior and suggests potentially suspicious activity or misuse of the platform. Based on the above information, the alert is recommended for further review. [Edit as per case-to-case basis]
The focal entity, [Subject Name], is [Age] years old (DOB: [DOB]) and is located at [Location].
Due diligence did not yield conclusive information on [Subject Name]. The lack of identifiable information on the Subject, while transacting at such high values and volumes, further compounds the concern raised by the value, volume, and structure of the transactions observed. Additionally, no derogatory information was identified through negative media or sanctions searches.
It is noted that between [Start Date] and [End Date], [Subject Name] sent [Num Trans] transactions totaling $[Total Amount], wherein the customer debited an average amount of $[Monthly Average] across the transactions, primarily in amounts ranging from [Min Amount] to [Max Amount]. These transactions were often sent in round dollars and involved the movement of funds through payment service provider, [Counterparties]. The rapid spending pattern in high aggregate amounts is inconsistent with the [Program Name] prepaid purchase behavior and suggests potentially suspicious behavior, or misuse of the platform. Furthermore, the actual beneficiary remains unknown, and external due diligence has failed to identify any occupational details or a verifiable source of income for the customer. [Edit as per case-to-case basis]
Given the structured transaction pattern and the inability to establish a clear economic purpose, this case is recommended to be escalated and warrants further investigation.</t>
  </si>
  <si>
    <t xml:space="preserve">ALERT REVIEW SUMMARY
[ECM ID]_[Alert ID] was investigated as part of a targeted review of the [Program Name] program. This review consists solely of alerted accounts and transactions associated with the customer’s use of the program.
Alert ID: [Alert ID]
Customer: [Subject Name]
Program: [Program Name]
Rule(s) Triggered: [Rule Name]
Country Risk Rating:
________________________________________
CUSTOMER PROFILE AND PROGRAM AFFILIATION
[Subject Name] is a customer enrolled in the [Program Name] program. [Program Description].
The customer is located at [Location]. An external search of the address indicates that it is a (residential/commercial) property. An internet search for [Subject Name] returned results that align with the customer’s provided details, including [Customer Business Description], and reasonably corroborate the customer’s identity and business profile / An internet search for [Subject Name] returned multiple results; however, no definitive match to the customer could be identified based on the available information ([Customer Business Description]) [Edit as per case-to-case basis]
A negative news search did not return any adverse or derogatory information. 
________________________________________
ALERT TRIGGER AND TRANSACTION REVIEW
[Alert ID] alerted due to [RULE NAME]
A review of the alerted transactions (and in scope transactions) was conducted covering the period from [Start Date] to [End Date]. The review yielded the following results:
Between [Start Date] and [End Date], there were [Num Trans] incoming and outgoing wire transfers totaling $[Total Amount]. These transactions were sent and received by [Subject Name] through their [Program Name] account #[Account Numbers] with the following counterparties: [Counterparties]. [Edit as per case-to-case basis]
The alerted activity is consistent with the customer’s expected financial behavior and does not appear to be inconsistent with the stated purpose of the account. [Subject Name] received payments from the identified counterparties in connection with [Activity Description]. [Edit as per case-to-case basis]
________________________________________
COUNTERPARTY REVIEW
The following counterparties were selected for review based on transaction volume and monetary value observed in the alerted transaction activity:
• Counterparty 1: [CP 1]
• Counterparty 2: [CP 2]
• Counterparty 3: [CP 3]
• Counterparty 4: [CP 4]
• Counterparty 5: [CP 5]
• Counterparty 6: [CP 6]
________________________________________
CONCLUSION
Based on the review conducted, the activity under investigation appears consistent with the customer’s established financial profile and known business involvement. The transactions reviewed align with the nature and purpose of the [Program Name] program. There is no evidence of structuring, layering, or misuse of third-party accounts. No adverse media or negative information was identified for the customer.
Currently, there are no red flags indicative of potential illicit or suspicious activity. Accordingly, it is recommended that this alert be closed, and no further review is warranted.</t>
  </si>
  <si>
    <t xml:space="preserve">Crypto_Escalation</t>
  </si>
  <si>
    <t xml:space="preserve">This case is being escalated to Community Federal Savings Bank (“CFSB” the “Bank”) to report [Num Trans] transactions totaling $[Total Amount] conducted by subject [Subject Name] through [Program Name] accounts.
Community Federal Savings Bank ("CFSB") is filing this Suspicious Activity Report ("SAR") to report suspicious activity associated with the following:
1. Subject: [Subject Name]
2. Type of Suspicious Activity: Suspicion concerning the source of funds, Other: High Volume
3. Total Suspicious Dollar Amount: $[Total Amount] (rounded to nearest dollar)
4. Date Range of Suspicious Activity: [Start Date] through [End Date]
5. Associated Program Partner: [Program Name]
6. Financial Institution and Account Number: CFSB, [Account Numbers]
Based on CFSB's knowledge, [Subject Name] is an indirect customer of CFSB and is instead a client of [Program Name] program. [Program Description]
Between [Start Date] and [End Date], [Subject Name] conducted [Num Trans] transactions totaling $[Total Amount], all of which were conducted with [Counterparties]. The activity included repeated rapid same-day or near-consecutive day point of sale purchases at various [Counterparties] locations across multiple [states / countries / jurisdictions]. For example, on [Date 1], [Subject Name] conducted [Num Trans] transactions totaling $[Amount 1] at [Counterparties] locations in [Location 1] and [Location 2], representing a high volume of activity within a single day. This pattern occurred numerous times throughout the review period, with transactions taking place at [Counterparties] locations across [List of States / Countries / Jurisdictions]. [Edit as per case-to-case basis]
Open-source due diligence (“OSDD”) [was unable to identify / identified] [Subject Name]'s [occupation / employment / business activity], [thus raising concerns regarding the source of funding / and no concerns regarding the source of funding were identified]. No additional negative news or sanctions-related concerns were identified. [Edit as per case-to-case basis]
Based on this investigation, [Subject Name] appears engaged in potentially questionable activity involving a high volume of activity occurring across the same day or consecutive days with additional concerns related to the source of the funding of the activity.</t>
  </si>
  <si>
    <t xml:space="preserve">Crypto_Non_Escalation</t>
  </si>
  <si>
    <t xml:space="preserve">ALERT REVIEW SUMMARY
[ECM ID]_[Alert ID] has been investigated in a targeted review of the Crypto program. As such, this review consists of alerted accounts and transactions tied solely to this customer's use of the program.
Program: [Program Name]
Customer: [Subject Name]
Customer accounts: [Account Numbers] (Open/Close Date)
Review Period: [Start Date] through [End Date]
Aggregate value of Alerts: $[Total Amount]
Associated Alerts: [Alert ID]
Rule(s) Triggered: [Rule Name]
[Alert ID] has/have been investigated in a targeted review of the [Program Name]program. As such, this review consists of alerted accounts and transactions tied solely to this customer's use of the program.
________________________________________
PROGRAM DESCRIPTION
Based on CFSB's knowledge, [Subject Name] is an indirect customer of CFSB and is instead a client of [Program Name]program. [Program Description]
________________________________________
ALERTED TRANSACTION DESCRIPTION
A review of alerted transaction(s) triggered between [Start Date] and [End Date] period was conducted and returned the following results:
Reasonable transaction volume and value
Between [Start Date] and [End Date], [Subject Name] alerted on [Num Trans] totaling an aggregate amount of $[Total Amount], in which there were [Num Cr] credit transactions totaling $[Cr] and [Num Dr] debit transactions totaling $[Dr]. [Edit as per case-to-case basis]
The transactions were of code [insert description of the movement type based on transaction code]. While the transactions reflect funding and spending in quick succession, it appears normal and expected for a cryptocurrency holder to utilize proceeds from crypto sales and purchase additional cryptocurrency; therefore, these transactions appear to be reasonable and consistent. [Edit as per case-to-case basis]
________________________________________
CUSTOMER DESCRIPTION
Research yields information:
The focal entity, [Subject Name], is [Age] years old (DOB: [DOB]) and is located at [Location].
Due diligence indicated that [Subject Name] operates within the [stated occupation].
Additionally, no derogatory information was identified through negative media or sanctions searches [if adverse media identified, change statement to address it].
Research does not yield information:
The focal entity, [Subject Name], is [Age] years old (DOB: [DOB]) and is located at [Location].
Due diligence did not yield conclusive information on [Subject Name].
Additionally, no derogatory information was identified through negative media or sanctions searches [if adverse media identified, change statement to address it]. [Edit as per case-to-case basis]
________________________________________
COUNTERPARTY SEARCH
(If no counterparties, do not include this section)
The counterparties reviewed include recognizable payment processors and financial institutions such as [Counterparties].
Research yields information:
Due diligence indicated that [Counterparty name] operates within the [stated occupation].
Additionally, no derogatory information was identified through negative media or sanctions searches [if adverse media identified, change statement to address it].
Research does not yield information:
Due diligence did not yield conclusive information on [Counterparty name].
Additionally, no derogatory information was identified through negative media or sanctions searches [if adverse media identified, change statement to address it]. [Edit as per case-to-case basis]
________________________________________
CONCLUSION
Based on this investigation, no evidence of suspicious patterns of activity was identified for [Subject Name] regarding usage of the Crypto.com account. [Explain in detail]
________________________________________</t>
  </si>
  <si>
    <t xml:space="preserve">RFI_Wise</t>
  </si>
  <si>
    <t xml:space="preserve">			Financial Crimes Compliance Unit
			AML / TM Department
To: rfi@wise.com
Cc: AMLRequests@cfsb.com; RFI@CFSB.com
Subject: CFSB Request for Information - [Subject Name] ALERT# [Alert ID]) cfsbencrypt
Good Morning / Afternoon,
CFSB requires additional information regarding the transaction(s) and/or customer relationship(s) noted below:
• We are reviewing transactions for your customer, [Subject Name] (account # [Account Numbers]). [INSERT DESCRIPTION OF THE ACTIVITY YOU ARE REVIEWING NEED ADDITIONAL INFORMATION ABOUT]
Credit Transactions
• Between [Start Date] to [End Date] there are [Num Cr] incoming credit transactions totaling $[Cr] from [Counterparties]. The purpose of this activity and relationship between the customer and the counterparty appears to be unknown.
Debit Transactions
• Between [Start Date] to [End Date] there are [Num Dr] outgoing debit transactions totaling [Dr] going to [Counterparties]. The purpose of this activity and relationship between the customer and the counterparty appears to be unknown.
To proceed appropriately, we kindly request additional information regarding your customer and the transactions outlined below on or before close of business day, [RFI Due Date].
Information Requested:
1. Account Type and Expected Usage
2. Line of Business
3. Physical operating address and US registered address
4. Website
5. Documentation used to validate business (formation documents, etc.)
6. Evidence of Operations (i.e., invoices, contracts, etc.)
7. Have any Alert or CDD/EDD reviews been conducted for this customer? If so, what material information was identified
8. Current status of the account. If closed, please provide reason
9. Purpose of the noted transactions
10. Relationship between CUSTOMER and COUNTERPARTY/ORIGINATOR/BENEFICIARY
Your prompt response will allow us to complete our review in a timely manner.
Thank you,
[Deloitte RFI Coordinator Name]
send cfsbencrypt</t>
  </si>
  <si>
    <t xml:space="preserve">RFI_Airwallex</t>
  </si>
  <si>
    <t xml:space="preserve">			Financial Crimes Compliance Unit
			AML / TM Department
To: external.rfi@airwallex.com
Cc: AMLRequests@cfsb.com; RFI@CFSB.com
Subject: CFSB Request for Information - [Subject Name] (ALERT# [Alert ID]) cfsbencrypt
Good Morning / Afternoon,
CFSB requires additional information regarding the transaction(s) and/or customer relationship(s) noted below:
• We are reviewing transactions for your customer, [Subject Name] (account # [Account Numbers]).
Credit Transactions
• Between [Start Date] to [End Date] there are [Num Cr] incoming credit transactions totaling $[Cr] from [Counterparties]. The purpose of this activity and relationship between the customer and the counterparty appears to be unknown.
Debit Transactions
• Between [Start Date] to [End Date] there are [Num Dr] outgoing debit transactions totaling [Dr] going to [Counterparties]. The purpose of this activity and relationship between the customer and the counterparty appears to be unknown.
To proceed appropriately, we kindly request additional information regarding your customer and the transactions outlined below on or before close of business day, Month Date, 202X.
Information Requested:
1. Account Type and Expected Usage
2. Line of Business
3. Physical operating address and US registered address
4. Website
5. Documentation used to validate business (formation documents, etc.)
6. Evidence of Operations (i.e., invoices, contracts, etc.)
7. Have any Alert or CDD/EDD reviews been conducted for this customer? If so, what material information was identified
8. Current status of the account. If closed, please provide reason
9. Purpose of the noted transactions
10. Relationship between CUSTOMER and COUNTERPARTY/ORIGINATOR/BENEFICIARY
Your prompt response will allow us to complete our review in a timely manner.
Thank you,
[Deloitte RFI Coordinator Name]
send cfsbencrypt</t>
  </si>
  <si>
    <t xml:space="preserve">RFI_Common</t>
  </si>
  <si>
    <t xml:space="preserve">			Financial Crimes Compliance Unit
			AML / TM Department
To: [Program Contact from list]
Cc: AMLRequests@cfsb.com
Subject: CFSB Request for Information - [Subject Name] (ALERT# [Alert ID]) cfsbencrypt
Good Morning / Afternoon,
CFSB requires additional information regarding the transaction(s) and/or customer relationship(s) noted below:
• We are reviewing transactions for your customer, [Subject Name] (account # [Account Numbers]). [INSERT DESCRIPTION OF THE ACTIVITY YOU ARE REVIEWING NEED ADDITIONAL INFORMATION ABOUT]
Credit Transactions
• Between [Start Date] to [End Date] there are [Num Cr] incoming credit transactions totaling $[Cr] from [Counterparties]. The purpose of this activity and relationship between the customer and the counterparty appears to be unknown.
Debit Transactions
• Between [Start Date] to [End Date] there are [Num Dr] outgoing debit transactions totaling [Dr] going to [Counterparties]. The purpose of this activity and relationship between the customer and the counterparty appears to be unknown.
To proceed appropriately, we kindly request additional information regarding your customer and the transactions outlined below on or before close of business day, Month Date, 202x.
Information Requested:
1. Account Type and Expected Usage
2. Line of Business
3. Physical operating address and US registered address
4. Website
5. Documentation used to validate business (formation documents, etc.)
6. Evidence of Operations (i.e., invoices, contracts, etc.)
7. Have any Alert or CDD/EDD reviews been conducted for this customer? If so, what material information was identified
8. Current status of the account. If closed, please provide reason
9. Purpose of the noted transactions
10. Relationship between CUSTOMER and COUNTERPARTY/ORIGINATOR/BENEFICIARY
Your prompt response will allow us to complete our review in a timely manner.
Thank you,
[Deloitte RFI Coordinator Name]
send cfsbencrypt</t>
  </si>
  <si>
    <t xml:space="preserve">Scenario Key</t>
  </si>
  <si>
    <t xml:space="preserve">Narrative Template</t>
  </si>
  <si>
    <t xml:space="preserve">Wise_Escalation_E-Commerce_Yes_Moderate</t>
  </si>
  <si>
    <t xml:space="preserve">Between [Start Date] and [End Date], [Subject Name] alerted [Num Trans] transactions totaling to an aggregate amount of $[Total Amount], averaging approximately $[Monthly Average].
These transactions appear to be related to [Activity Description] between [Subject Name] and large, established e-commerce or marketplace platforms such as [Platforms].
Transaction risk indicators were present in the alerted activity, including [Risk Indicator Details].
External research identified only moderate operational visibility, including [Footprint Findings]. Given the large value of the alerted activity a web presence is expected. 
This activity is being escalated as it is potentially indicative of trade-based money laundering through eCommerce platforms. The presence of usual transaction patterns is not indicative of normal business behavior and the lack of operational visibility available on [Subject Name] is inconsistent relative to transaction scale</t>
  </si>
  <si>
    <t xml:space="preserve">Wise_Escalation_E-Commerce_No_Moderate</t>
  </si>
  <si>
    <t xml:space="preserve">Between [Start Date] and [End Date], [Subject Name] alerted [Num Trans] totaling to an aggregate amount of $[Total Amount], averaging approximately $[Monthly Average].
These transactions appear to be related to [Activity Description] between [Subject Name] and large, established e-commerce or marketplace platforms such as [Platforms]
A review of the amounts and patterns of activity was reasonably consistent with commercial activity; however, the aggregate value of activity is large.
External research identified only moderate / weak operational footprint, including [Footprint Findings]. Given the large value of the alerted activity a web presence is expected. 
Despite appearing as normal business transactional amounts and patterns, the alerted activity is being escalated for potential trade-based money laundering through eCommerce platforms given conflicting nature of large aggregate alerting transaction value and limited operational visibility relative to transaction scale.</t>
  </si>
  <si>
    <t xml:space="preserve">Wise_Escalation_Vendor/Payroll_Yes_Moderate</t>
  </si>
  <si>
    <t xml:space="preserve">Between [Start Date] and [End Date], [Subject Name] alerted [Num Trans] totaling to an aggregate amount of $[Total Amount], averaging approximately $[Monthly Average].
These transactions appear to be [Activity Description] for [Subject Name], as evidenced by [Counterparties]; however transactional risk Indicators were observed, including [Risk Indicator Details], that did not align with structured payroll or vendor batching cycles. 
External research identified moderate / weak operational footprint, including [Footprint Findings].  Furthermore, research on the payees revealed limited information.  Given the large value of the alerted activity a web presence is expected. 
While the payments appear to mimic a typical [vendor or payroll] pattern, the activity is being escalated as the payment intervals and amounts are inconsistent with structured batching cycles. Furthermore, the lack of operational visibility available on [Subject Name] is inconsistent relative to transaction scale.</t>
  </si>
  <si>
    <t xml:space="preserve">Wise_Escalation_Vendor/Payroll_No_Moderate</t>
  </si>
  <si>
    <t xml:space="preserve">Between [Start Date] and [End Date], [Subject Name] alerted on [Num Trans] totaling to an aggregate amount of $[Total Amount], averaging approximately $[Monthly Average].
These transactions appear to be [Activity Description] for [Subject Name], as evidenced by [Counterparties]. 
External research identified only moderate / weak business footprint, including [Footprint Findings]. Given the large value of the alerted activity a web presence is expected. 
Despite mimicking normal payroll, and vendor payment behavior, the activity is being escalated given conflicting nature of large aggregate alerting transaction value and limited operational visibility relative to transaction scale</t>
  </si>
  <si>
    <t xml:space="preserve">Wise_Escalation_Same-Name_Yes_Moderate</t>
  </si>
  <si>
    <t xml:space="preserve">Between [Start Date] and [End Date], [Subject Name] alerted [Num Trans] totaling to an aggregate amount of $[Total Amount], averaging approximately $[Monthly Average].
Transaction review of [Subject Name] identified transfers between accounts held in the same legal name, including movement between [Account Name A] and [Account Name B]. 
Transactional risk indicators were observed, including [Risk Indicator Details], inconsistent with business operational purposes.
External research identified only moderate / weak business footprint, including [Footprint Findings]. Given the large value of the alerted activity a web presence is expected. 
This activity is being escalated as the amounts and patterns of transfer between accounts activity are inconsistent with normal business behavior and the lack of operational visibility available on [Subject Name] is inconsistent relative to transaction scale.</t>
  </si>
  <si>
    <t xml:space="preserve">Wise_Escalation_Same-Name_No_Moderate</t>
  </si>
  <si>
    <t xml:space="preserve">Between [Start Date] and [End Date], [Subject Name] alerted [Num Trans] totaling to an aggregate amount of $[Total Amount], averaging approximately $[Monthly Average].
Transaction review of [Subject Name] identified transfers between accounts held in the same legal name, including movement between [Account Name A] and [Account Name B]. 
External research identified only moderate / weak business footprint, including [Footprint Findings]. Given the large value of the alerted activity a web presence is expected. 
This activity is being escalated as there is a lack of operational visibility available on [Subject Name] is inconsistent relative to transaction scale</t>
  </si>
  <si>
    <t xml:space="preserve">Wise_Escalation_General Business_Yes_Moderate</t>
  </si>
  <si>
    <t xml:space="preserve">Between [Start Date] and [End Date], [Subject Name] alerted [Num Trans] totaling to an aggregate amount of $[Total Amount], averaging approximately $[Monthly Average]. 
These transactions appear to be related to [Activity Description] between [Subject Name] and counterparties that appear to be [Counterparties]. 
Transaction risk indicators were present in the alerted activity, including [Risk Indicator Details]. 
External research identified only moderate / weak operational visibility, including [Footprint Findings]. Given the large value of the alerted activity a web presence is expected.  
This activity is being escalated as it is inconsistent with normal business behavior and the lack of operational visibility available on [Subject Name] is inconsistent relative to transaction scale.</t>
  </si>
  <si>
    <t xml:space="preserve">Wise_Escalation_General Business_No_Moderate</t>
  </si>
  <si>
    <t xml:space="preserve">Between [Start Date] and [End Date], [Subject Name] alerted [Num Trans] totaling to an aggregate amount of $[Total Amount], averaging approximately $[Monthly Average]. 
These transactions appear to be related to [Activity Description] between [Subject Name] and counterparties that appear to be [Counterparties] 
A review of the amounts and patterns of activity was reasonably consistent with commercial activity; however, the aggregate value of activity is large. 
External research identified only moderate / weak operational visibility, including [Footprint Findings]. Given the large value of the alerted activity a web presence is expected.  
This activity is being escalated as there is a lack of operational visibility available on [Subject Name] is inconsistent relative to transaction scale.</t>
  </si>
  <si>
    <t xml:space="preserve">Between [Start Date] and [End Date], [Subject Name] alerted [Num Trans] totaling to an aggregate amount of $[Total Amount], averaging approximately $[Monthly Average].
These transactions appear to be related to [Activity Description] between [Subject Name] and large, established e-commerce or marketplace platforms such as [Platforms].
Transaction risk indicators were present in the alerted activity, including [Risk Indicator Details].
External research identified a prolific and well-developed business presence, including [Footprint Findings], consistent with an actively operating entity.
However, the presence of material transactional risk indicators such as[Risk Indicator Details] is inconsistent with normal commercial variability and materially elevates risk independent of footprint strength. Therefore this activity is being escalated as potentially suspicious.</t>
  </si>
  <si>
    <t xml:space="preserve">[ECM ID]_[Alert ID] has been investigated in a targeted review of the Crypto program. As such, this review consists of alerted accounts and transactions tied solely to this customer's use of the program.
Program: Crypto.com
Customer: [Subject Name]
Customer accounts: [Account Numbers] (Open/Close Date)
Review Period: [Start Date] through [End Date]
Aggregate value of Alerts: $[Total Amount]
Associated Alerts: [Alert ID]
Rule(s) Triggered:
• [Rule Name]
This case is being escalated to Community Federal Savings Bank (“CFSB” the “Bank”) to report [Num Trans] transactions totaling $[Total Amount] conducted by the subject [Subject Name] through Foris Inc (Crypto.com) accounts.
________________________________________
PROGRAM DESCRIPTION
Based on CFSB’s knowledge, the consumer does not maintain accounts with CFSB and is instead a client of Foris Inc. Foris Inc operates under the DBA of Crypto.com. Foris Inc is a registered MSB with FinCEN and provides consumers with the ability to buy and sell cryptocurrency using an app. There are no crypto exchanges processed involving CFSB. CFSB receives wire transfers from other U.S. bank accounts, and the funds go into Crypto.com’s virtual account with CFSB.
________________________________________
ALERTED TRANSACTION DESCRIPTION
A review of alerted transaction(s) triggered between [Start Date] and [End Date] was conducted and returned the following results:
Unusual volume and value
Between [Start Date] and [End Date], [Subject Name] generated [Num Trans] alerts totaling an aggregate amount of $[Total Amount], in which there were [Num Cr] credit transactions totaling $[Cr] and [Num Dr] debit transactions totaling $[Dr].
A transaction review of [Subject Name] identified [discuss transaction code types and what they reflect].
Transactional risk indicators were observed, including [repeated high-value round-dollar transfers and/or rapid same-day or consecutive-day cycling], that appeared to indicate red flags, such as excessive or unusual frequency and unreasonably high volume.
This activity is being escalated as it is potentially indicative of suspicious activity. The presence of unusual transaction patterns, including [restate the unusual pattern of activity], is not indicative of normal cryptocurrency behavior. Therefore, this activity is being escalated as potentially suspicious.
________________________________________
SUPPORTING INFORMATION AND RESEARCH
CUSTOMER DESCRIPTION
Research yields information:
The focal entity, [Subject Name], is [Age] years old (DOB: [DOB]) and is located at [Location]. Due diligence indicated that [Subject Name] operates within the [stated occupation]; the due diligence findings neither explain nor mitigate the observed activity and were not a contributing factor, as the value, volume, and structure of the transactions alone are sufficient to warrant concern. Additionally, no derogatory information was identified through negative media or sanctions searches.
Research does not yield information:
Due diligence did not yield conclusive information on [Subject Name]. The lack of identifiable information on the focal entity, while transacting at such high values and volumes, further compounds the concern raised by the value, volume, and structure of the transactions observed. Additionally, no derogatory information was identified through negative media or sanctions searches.
________________________________________
COUNTERPARTY SEARCH
(If no counterparties, do not include this section)
The counterparties reviewed include recognizable payment processors and financial institutions such as [Counterparties].
Research yields information:
Due diligence indicated that [Counterparty Name] operates within the [stated occupation]; the due diligence findings neither explain nor mitigate the observed activity and were not a contributing factor, as the value, volume, and structure of the transactions alone are sufficient to warrant concern. Additionally, no additional derogatory information was identified through negative media or sanctions searches.
Research does not yield information:
Due diligence did not yield conclusive information on [Counterparty Name]. The lack of identifiable information on the focal entity, while transacting at such high values and volumes, further compounds the concern raised by the value, volume, and structure of the transactions observed. Additionally, no additional derogatory information was identified through negative media or sanctions searches.
________________________________________
CONCLUSION
Based on this investigation, evidence of suspicious patterns of activity was identified for [Subject Name] regarding usage of the Crypto.com account. [Explain in detail]
________________________________________</t>
  </si>
  <si>
    <t xml:space="preserve">[ECM ID]_[Alert ID] has been investigated in a targeted review of the Crypto program. As such, this review consists of alerted accounts and transactions tied solely to this customer's use of the program.
Program: Crypto.com
Customer: [Subject Name]
Customer accounts: [Account Numbers] (Open/Close Date)
Review Period: [Start Date] through [End Date]
Aggregate value of Alerts: $[Total Amount]
Associated Alerts: [Alert ID]
Rule(s) Triggered:
• [Rule Name]
________________________________________
PROGRAM DESCRIPTION
Based on the CFSB’s knowledge, the consumer does not maintain accounts with CFSB and is instead a client of Foris Inc.
Foris Inc operates under the DBA of Crypto.com. Foris Inc is a registered MSB with FinCEN. Foris Inc provides consumers with the ability to buy and sell cryptocurrency using an app. There are no crypto exchanges being processed involving CFSB. CFSB receives wire transfers from other U.S. bank accounts; the funds go into Crypto.com's virtual account with CFSB.
________________________________________
ALERTED TRANSACTION DESCRIPTION
A review of alerted transaction(s) triggered between [Start Date] and [End Date] period was conducted and returned the following results:
Reasonable transaction volume and value
Between [Start Date] and [End Date], [Subject Name] alerted on [Num Trans] totaling an aggregate amount of $[Total Amount], in which there were [Num Cr] credit transactions totaling $[Cr] and [Num Dr] debit transactions totaling $[Dr].
The transactions were of code [insert description of the movement type based on transaction code]. While the transactions reflect funding and spending in quick succession, it appears normal and expected for a cryptocurrency holder to utilize proceeds from crypto sales and purchase additional cryptocurrency; therefore, these transactions appear to be reasonable and consistent.
________________________________________
SUPPORTING INFORMATION AND RESEARCH
CUSTOMER DESCRIPTION
Research yields information:
The focal entity, [Subject Name], is [Age] years old (DOB: [DOB]) and is located at [Location].
Due diligence indicated that [Subject Name] operates within the [stated occupation].
Additionally, no derogatory information was identified through negative media or sanctions searches [if adverse media identified, change statement to address it].
Research does not yield information:
The focal entity, [Subject Name], is [Age] years old (DOB: [DOB]) and is located at [Location].
Due diligence did not yield conclusive information on [Subject Name].
Additionally, no derogatory information was identified through negative media or sanctions searches [if adverse media identified, change statement to address it].
________________________________________
COUNTERPARTY SEARCH
(If no counterparties, do not include this section)
The counterparties reviewed include recognizable payment processors and financial institutions such as [Counterparties].
Research yields information:
Due diligence indicated that [Counterparty name] operates within the [stated occupation].
Additionally, no derogatory information was identified through negative media or sanctions searches [if adverse media identified, change statement to address it].
Research does not yield information:
Due diligence did not yield conclusive information on [Counterparty name].
Additionally, no derogatory information was identified through negative media or sanctions searches [if adverse media identified, change statement to address it].
________________________________________
CONCLUSION
Based on this investigation, no evidence of suspicious patterns of activity was identified for [Subject Name] regarding usage of the Crypto.com account. [Explain in detail]
________________________________________</t>
  </si>
  <si>
    <t xml:space="preserve">Customer / Counterparty</t>
  </si>
  <si>
    <t xml:space="preserve">Type of Search</t>
  </si>
  <si>
    <t xml:space="preserve">URL</t>
  </si>
  <si>
    <t xml:space="preserve">Naming Convention</t>
  </si>
  <si>
    <t xml:space="preserve">Google name</t>
  </si>
  <si>
    <t xml:space="preserve">Address</t>
  </si>
  <si>
    <t xml:space="preserve">Name + Address</t>
  </si>
  <si>
    <t xml:space="preserve">Negative News, page 1</t>
  </si>
  <si>
    <t xml:space="preserve">Negative News, page 2</t>
  </si>
</sst>
</file>

<file path=xl/styles.xml><?xml version="1.0" encoding="utf-8"?>
<styleSheet xmlns="http://schemas.openxmlformats.org/spreadsheetml/2006/main">
  <numFmts count="6">
    <numFmt numFmtId="164" formatCode="General"/>
    <numFmt numFmtId="165" formatCode="0.00"/>
    <numFmt numFmtId="166" formatCode="General"/>
    <numFmt numFmtId="167" formatCode="\$#,##0.00"/>
    <numFmt numFmtId="168" formatCode="m/d/yyyy"/>
    <numFmt numFmtId="169" formatCode="m/d/yyyy\ h:mm"/>
  </numFmts>
  <fonts count="34">
    <font>
      <sz val="11"/>
      <color theme="1"/>
      <name val="Calibri"/>
      <family val="2"/>
      <charset val="1"/>
    </font>
    <font>
      <sz val="10"/>
      <name val="Arial"/>
      <family val="0"/>
    </font>
    <font>
      <sz val="10"/>
      <name val="Arial"/>
      <family val="0"/>
    </font>
    <font>
      <sz val="10"/>
      <name val="Arial"/>
      <family val="0"/>
    </font>
    <font>
      <sz val="11"/>
      <name val="Calibri"/>
      <family val="2"/>
      <charset val="1"/>
    </font>
    <font>
      <sz val="8.5"/>
      <name val="Calibri"/>
      <family val="2"/>
      <charset val="1"/>
    </font>
    <font>
      <b val="true"/>
      <sz val="16"/>
      <color rgb="FF002060"/>
      <name val="Segoe UI"/>
      <family val="2"/>
      <charset val="1"/>
    </font>
    <font>
      <b val="true"/>
      <i val="true"/>
      <sz val="9"/>
      <name val="Segoe UI"/>
      <family val="2"/>
      <charset val="1"/>
    </font>
    <font>
      <b val="true"/>
      <i val="true"/>
      <u val="single"/>
      <sz val="9"/>
      <name val="Segoe UI"/>
      <family val="2"/>
      <charset val="1"/>
    </font>
    <font>
      <b val="true"/>
      <i val="true"/>
      <sz val="12"/>
      <color theme="0"/>
      <name val="Segoe UI"/>
      <family val="2"/>
      <charset val="1"/>
    </font>
    <font>
      <b val="true"/>
      <i val="true"/>
      <sz val="10"/>
      <color theme="0"/>
      <name val="Segoe UI"/>
      <family val="2"/>
      <charset val="1"/>
    </font>
    <font>
      <b val="true"/>
      <i val="true"/>
      <u val="single"/>
      <sz val="9"/>
      <color rgb="FF666699"/>
      <name val="Segoe UI"/>
      <family val="2"/>
      <charset val="1"/>
    </font>
    <font>
      <b val="true"/>
      <i val="true"/>
      <sz val="9"/>
      <color rgb="FF002060"/>
      <name val="Segoe UI"/>
      <family val="2"/>
      <charset val="1"/>
    </font>
    <font>
      <sz val="8"/>
      <name val="Segoe UI"/>
      <family val="2"/>
      <charset val="1"/>
    </font>
    <font>
      <b val="true"/>
      <i val="true"/>
      <sz val="8.5"/>
      <name val="Segoe UI"/>
      <family val="2"/>
      <charset val="1"/>
    </font>
    <font>
      <b val="true"/>
      <i val="true"/>
      <sz val="9"/>
      <color theme="1"/>
      <name val="Segoe UI"/>
      <family val="2"/>
      <charset val="1"/>
    </font>
    <font>
      <sz val="11"/>
      <color theme="0"/>
      <name val="Calibri"/>
      <family val="2"/>
      <charset val="1"/>
    </font>
    <font>
      <i val="true"/>
      <sz val="10"/>
      <name val="Segoe UI"/>
      <family val="2"/>
      <charset val="1"/>
    </font>
    <font>
      <b val="true"/>
      <sz val="11"/>
      <name val="Calibri"/>
      <family val="2"/>
      <charset val="1"/>
    </font>
    <font>
      <b val="true"/>
      <sz val="13"/>
      <color theme="0"/>
      <name val="Segoe UI"/>
      <family val="2"/>
      <charset val="1"/>
    </font>
    <font>
      <b val="true"/>
      <i val="true"/>
      <sz val="8.5"/>
      <color theme="0"/>
      <name val="Segoe UI"/>
      <family val="2"/>
      <charset val="1"/>
    </font>
    <font>
      <b val="true"/>
      <i val="true"/>
      <sz val="11"/>
      <color theme="3" tint="-0.5"/>
      <name val="Calibri"/>
      <family val="2"/>
      <charset val="1"/>
    </font>
    <font>
      <b val="true"/>
      <sz val="9"/>
      <color rgb="FF000000"/>
      <name val="Segoe UI"/>
      <family val="0"/>
      <charset val="1"/>
    </font>
    <font>
      <sz val="8"/>
      <color rgb="FF000000"/>
      <name val="Segoe UI"/>
      <family val="0"/>
      <charset val="1"/>
    </font>
    <font>
      <b val="true"/>
      <sz val="11"/>
      <color rgb="FFFFFFFF"/>
      <name val="Calibri"/>
      <family val="2"/>
      <charset val="1"/>
    </font>
    <font>
      <sz val="12"/>
      <color theme="1"/>
      <name val="Aptos"/>
      <family val="2"/>
      <charset val="1"/>
    </font>
    <font>
      <b val="true"/>
      <u val="single"/>
      <sz val="12"/>
      <color theme="1"/>
      <name val="Calibri"/>
      <family val="2"/>
      <charset val="1"/>
    </font>
    <font>
      <sz val="12"/>
      <color theme="1"/>
      <name val="Calibri"/>
      <family val="2"/>
      <charset val="1"/>
    </font>
    <font>
      <u val="single"/>
      <sz val="12"/>
      <color theme="1"/>
      <name val="Calibri"/>
      <family val="2"/>
      <charset val="1"/>
    </font>
    <font>
      <b val="true"/>
      <sz val="12"/>
      <color theme="1"/>
      <name val="Calibri"/>
      <family val="2"/>
      <charset val="1"/>
    </font>
    <font>
      <u val="single"/>
      <sz val="11"/>
      <color theme="10"/>
      <name val="Calibri"/>
      <family val="2"/>
      <charset val="1"/>
    </font>
    <font>
      <b val="true"/>
      <u val="single"/>
      <sz val="11"/>
      <color theme="1"/>
      <name val="Calibri"/>
      <family val="2"/>
      <charset val="1"/>
    </font>
    <font>
      <b val="true"/>
      <sz val="11"/>
      <color rgb="FFFFFFFF"/>
      <name val="Arial"/>
      <family val="0"/>
      <charset val="1"/>
    </font>
    <font>
      <sz val="10"/>
      <name val="Arial"/>
      <family val="0"/>
      <charset val="1"/>
    </font>
  </fonts>
  <fills count="19">
    <fill>
      <patternFill patternType="none"/>
    </fill>
    <fill>
      <patternFill patternType="gray125"/>
    </fill>
    <fill>
      <patternFill patternType="solid">
        <fgColor theme="4"/>
        <bgColor rgb="FF888888"/>
      </patternFill>
    </fill>
    <fill>
      <patternFill patternType="solid">
        <fgColor rgb="FF002060"/>
        <bgColor rgb="FF222A35"/>
      </patternFill>
    </fill>
    <fill>
      <patternFill patternType="solid">
        <fgColor theme="2" tint="-0.1"/>
        <bgColor rgb="FFD3D3D3"/>
      </patternFill>
    </fill>
    <fill>
      <patternFill patternType="solid">
        <fgColor theme="8" tint="0.7999"/>
        <bgColor rgb="FFD9E1F2"/>
      </patternFill>
    </fill>
    <fill>
      <patternFill patternType="solid">
        <fgColor rgb="FFD9E1F2"/>
        <bgColor rgb="FFDAE3F3"/>
      </patternFill>
    </fill>
    <fill>
      <patternFill patternType="solid">
        <fgColor rgb="FF888888"/>
        <bgColor rgb="FF767171"/>
      </patternFill>
    </fill>
    <fill>
      <patternFill patternType="solid">
        <fgColor theme="2" tint="-0.25"/>
        <bgColor rgb="FF9DC3E6"/>
      </patternFill>
    </fill>
    <fill>
      <patternFill patternType="solid">
        <fgColor theme="3" tint="0.7999"/>
        <bgColor rgb="FFD9E1F2"/>
      </patternFill>
    </fill>
    <fill>
      <patternFill patternType="solid">
        <fgColor theme="2" tint="-0.5"/>
        <bgColor rgb="FF666699"/>
      </patternFill>
    </fill>
    <fill>
      <patternFill patternType="solid">
        <fgColor theme="0" tint="-0.05"/>
        <bgColor rgb="FFDEEBF7"/>
      </patternFill>
    </fill>
    <fill>
      <patternFill patternType="solid">
        <fgColor rgb="FFD3D3D3"/>
        <bgColor rgb="FFD0CECE"/>
      </patternFill>
    </fill>
    <fill>
      <patternFill patternType="solid">
        <fgColor rgb="FF00467F"/>
        <bgColor rgb="FF002060"/>
      </patternFill>
    </fill>
    <fill>
      <patternFill patternType="solid">
        <fgColor rgb="FFFFFF00"/>
        <bgColor rgb="FFFFFF00"/>
      </patternFill>
    </fill>
    <fill>
      <patternFill patternType="solid">
        <fgColor theme="4" tint="0.3999"/>
        <bgColor rgb="FFB9D2A9"/>
      </patternFill>
    </fill>
    <fill>
      <patternFill patternType="solid">
        <fgColor theme="5" tint="0.5999"/>
        <bgColor rgb="FFFFE699"/>
      </patternFill>
    </fill>
    <fill>
      <patternFill patternType="solid">
        <fgColor theme="7" tint="0.5999"/>
        <bgColor rgb="FFF8CBAD"/>
      </patternFill>
    </fill>
    <fill>
      <patternFill patternType="solid">
        <fgColor rgb="FFDCE6F1"/>
        <bgColor rgb="FFDAE3F3"/>
      </patternFill>
    </fill>
  </fills>
  <borders count="54">
    <border diagonalUp="false" diagonalDown="false">
      <left/>
      <right/>
      <top/>
      <bottom/>
      <diagonal/>
    </border>
    <border diagonalUp="false" diagonalDown="false">
      <left style="medium">
        <color rgb="FF002060"/>
      </left>
      <right style="medium">
        <color rgb="FF002060"/>
      </right>
      <top style="medium">
        <color rgb="FF002060"/>
      </top>
      <bottom style="medium">
        <color rgb="FF002060"/>
      </bottom>
      <diagonal/>
    </border>
    <border diagonalUp="false" diagonalDown="false">
      <left style="medium">
        <color rgb="FF002060"/>
      </left>
      <right style="thin">
        <color rgb="FF002060"/>
      </right>
      <top style="medium">
        <color rgb="FF002060"/>
      </top>
      <bottom style="thin">
        <color rgb="FF002060"/>
      </bottom>
      <diagonal/>
    </border>
    <border diagonalUp="false" diagonalDown="false">
      <left/>
      <right style="thin">
        <color rgb="FF002060"/>
      </right>
      <top style="thin">
        <color rgb="FF002060"/>
      </top>
      <bottom style="thin">
        <color rgb="FF002060"/>
      </bottom>
      <diagonal/>
    </border>
    <border diagonalUp="false" diagonalDown="false">
      <left style="medium">
        <color rgb="FF002060"/>
      </left>
      <right style="medium">
        <color rgb="FF002060"/>
      </right>
      <top style="thin">
        <color rgb="FF002060"/>
      </top>
      <bottom style="thin">
        <color rgb="FF002060"/>
      </bottom>
      <diagonal/>
    </border>
    <border diagonalUp="false" diagonalDown="false">
      <left style="medium">
        <color rgb="FF002060"/>
      </left>
      <right style="thin">
        <color rgb="FF002060"/>
      </right>
      <top style="thin">
        <color rgb="FF002060"/>
      </top>
      <bottom style="thin">
        <color rgb="FF002060"/>
      </bottom>
      <diagonal/>
    </border>
    <border diagonalUp="false" diagonalDown="false">
      <left style="medium">
        <color rgb="FF002060"/>
      </left>
      <right style="thin">
        <color rgb="FF002060"/>
      </right>
      <top style="thin">
        <color rgb="FF002060"/>
      </top>
      <bottom style="medium">
        <color rgb="FF002060"/>
      </bottom>
      <diagonal/>
    </border>
    <border diagonalUp="false" diagonalDown="false">
      <left/>
      <right style="thin">
        <color rgb="FF002060"/>
      </right>
      <top style="thin">
        <color rgb="FF002060"/>
      </top>
      <bottom style="medium">
        <color rgb="FF002060"/>
      </bottom>
      <diagonal/>
    </border>
    <border diagonalUp="false" diagonalDown="false">
      <left style="medium">
        <color rgb="FF002060"/>
      </left>
      <right style="medium">
        <color rgb="FF002060"/>
      </right>
      <top style="medium">
        <color rgb="FF002060"/>
      </top>
      <bottom/>
      <diagonal/>
    </border>
    <border diagonalUp="false" diagonalDown="false">
      <left/>
      <right style="thin"/>
      <top style="medium"/>
      <bottom style="thin"/>
      <diagonal/>
    </border>
    <border diagonalUp="false" diagonalDown="false">
      <left/>
      <right style="thin"/>
      <top style="thin"/>
      <bottom style="medium">
        <color rgb="FF002060"/>
      </bottom>
      <diagonal/>
    </border>
    <border diagonalUp="false" diagonalDown="false">
      <left style="medium">
        <color rgb="FF002060"/>
      </left>
      <right style="thin">
        <color rgb="FF002060"/>
      </right>
      <top/>
      <bottom style="thin">
        <color rgb="FF002060"/>
      </bottom>
      <diagonal/>
    </border>
    <border diagonalUp="false" diagonalDown="false">
      <left style="medium">
        <color rgb="FF002060"/>
      </left>
      <right style="medium">
        <color rgb="FF002060"/>
      </right>
      <top/>
      <bottom style="thin">
        <color rgb="FF002060"/>
      </bottom>
      <diagonal/>
    </border>
    <border diagonalUp="false" diagonalDown="false">
      <left/>
      <right style="thin">
        <color rgb="FF002060"/>
      </right>
      <top/>
      <bottom style="thin">
        <color rgb="FF002060"/>
      </bottom>
      <diagonal/>
    </border>
    <border diagonalUp="false" diagonalDown="false">
      <left style="thin">
        <color rgb="FF002060"/>
      </left>
      <right style="thin">
        <color rgb="FF002060"/>
      </right>
      <top/>
      <bottom style="thin">
        <color rgb="FF002060"/>
      </bottom>
      <diagonal/>
    </border>
    <border diagonalUp="false" diagonalDown="false">
      <left style="thin">
        <color rgb="FF002060"/>
      </left>
      <right style="medium">
        <color rgb="FF002060"/>
      </right>
      <top/>
      <bottom style="thin">
        <color rgb="FF002060"/>
      </bottom>
      <diagonal/>
    </border>
    <border diagonalUp="false" diagonalDown="false">
      <left style="medium">
        <color rgb="FF002060"/>
      </left>
      <right/>
      <top style="medium">
        <color rgb="FF002060"/>
      </top>
      <bottom/>
      <diagonal/>
    </border>
    <border diagonalUp="false" diagonalDown="false">
      <left/>
      <right/>
      <top style="medium">
        <color rgb="FF002060"/>
      </top>
      <bottom/>
      <diagonal/>
    </border>
    <border diagonalUp="false" diagonalDown="false">
      <left/>
      <right style="medium">
        <color rgb="FF002060"/>
      </right>
      <top style="medium">
        <color rgb="FF002060"/>
      </top>
      <bottom/>
      <diagonal/>
    </border>
    <border diagonalUp="false" diagonalDown="false">
      <left style="thin">
        <color rgb="FF002060"/>
      </left>
      <right style="thin">
        <color rgb="FF002060"/>
      </right>
      <top style="thin">
        <color rgb="FF002060"/>
      </top>
      <bottom style="thin">
        <color rgb="FF002060"/>
      </bottom>
      <diagonal/>
    </border>
    <border diagonalUp="false" diagonalDown="false">
      <left style="thin">
        <color rgb="FF002060"/>
      </left>
      <right style="medium">
        <color rgb="FF002060"/>
      </right>
      <top style="thin">
        <color rgb="FF002060"/>
      </top>
      <bottom style="thin">
        <color rgb="FF002060"/>
      </bottom>
      <diagonal/>
    </border>
    <border diagonalUp="false" diagonalDown="false">
      <left style="medium">
        <color rgb="FF002060"/>
      </left>
      <right/>
      <top/>
      <bottom/>
      <diagonal/>
    </border>
    <border diagonalUp="false" diagonalDown="false">
      <left/>
      <right style="medium">
        <color rgb="FF002060"/>
      </right>
      <top/>
      <bottom/>
      <diagonal/>
    </border>
    <border diagonalUp="false" diagonalDown="false">
      <left style="medium">
        <color rgb="FF002060"/>
      </left>
      <right/>
      <top/>
      <bottom style="medium">
        <color rgb="FF002060"/>
      </bottom>
      <diagonal/>
    </border>
    <border diagonalUp="false" diagonalDown="false">
      <left/>
      <right/>
      <top/>
      <bottom style="medium">
        <color rgb="FF002060"/>
      </bottom>
      <diagonal/>
    </border>
    <border diagonalUp="false" diagonalDown="false">
      <left/>
      <right style="medium">
        <color rgb="FF002060"/>
      </right>
      <top/>
      <bottom style="medium">
        <color rgb="FF002060"/>
      </bottom>
      <diagonal/>
    </border>
    <border diagonalUp="false" diagonalDown="false">
      <left style="medium">
        <color rgb="FF002060"/>
      </left>
      <right style="medium">
        <color rgb="FF002060"/>
      </right>
      <top style="thin">
        <color rgb="FF002060"/>
      </top>
      <bottom style="medium">
        <color rgb="FF002060"/>
      </bottom>
      <diagonal/>
    </border>
    <border diagonalUp="false" diagonalDown="false">
      <left style="thin">
        <color rgb="FF002060"/>
      </left>
      <right style="thin">
        <color rgb="FF002060"/>
      </right>
      <top style="thin">
        <color rgb="FF002060"/>
      </top>
      <bottom style="medium">
        <color rgb="FF002060"/>
      </bottom>
      <diagonal/>
    </border>
    <border diagonalUp="false" diagonalDown="false">
      <left style="thin">
        <color rgb="FF002060"/>
      </left>
      <right style="medium">
        <color rgb="FF002060"/>
      </right>
      <top style="thin">
        <color rgb="FF002060"/>
      </top>
      <bottom style="medium">
        <color rgb="FF002060"/>
      </bottom>
      <diagonal/>
    </border>
    <border diagonalUp="false" diagonalDown="false">
      <left style="medium"/>
      <right style="thin"/>
      <top style="medium"/>
      <bottom/>
      <diagonal/>
    </border>
    <border diagonalUp="false" diagonalDown="false">
      <left/>
      <right style="thin"/>
      <top style="medium"/>
      <bottom/>
      <diagonal/>
    </border>
    <border diagonalUp="false" diagonalDown="false">
      <left style="thin">
        <color rgb="FF002060"/>
      </left>
      <right style="thin"/>
      <top style="medium"/>
      <bottom/>
      <diagonal/>
    </border>
    <border diagonalUp="false" diagonalDown="false">
      <left/>
      <right style="medium"/>
      <top style="medium"/>
      <bottom/>
      <diagonal/>
    </border>
    <border diagonalUp="false" diagonalDown="false">
      <left/>
      <right style="thin"/>
      <top style="thin"/>
      <bottom style="thin"/>
      <diagonal/>
    </border>
    <border diagonalUp="false" diagonalDown="false">
      <left style="medium">
        <color rgb="FF002060"/>
      </left>
      <right style="thin"/>
      <top style="medium">
        <color rgb="FF002060"/>
      </top>
      <bottom style="medium">
        <color rgb="FF002060"/>
      </bottom>
      <diagonal/>
    </border>
    <border diagonalUp="false" diagonalDown="false">
      <left style="thin"/>
      <right style="thin"/>
      <top style="thin"/>
      <bottom style="thin"/>
      <diagonal/>
    </border>
    <border diagonalUp="false" diagonalDown="false">
      <left style="thin">
        <color rgb="FFD3D3D3"/>
      </left>
      <right style="thin">
        <color rgb="FFD3D3D3"/>
      </right>
      <top style="thin">
        <color rgb="FFD3D3D3"/>
      </top>
      <bottom style="thin">
        <color rgb="FFD3D3D3"/>
      </bottom>
      <diagonal/>
    </border>
    <border diagonalUp="false" diagonalDown="false">
      <left style="medium"/>
      <right style="thin"/>
      <top style="medium"/>
      <bottom style="thin"/>
      <diagonal/>
    </border>
    <border diagonalUp="false" diagonalDown="false">
      <left style="thin"/>
      <right style="thin"/>
      <top style="medium"/>
      <bottom style="thin"/>
      <diagonal/>
    </border>
    <border diagonalUp="false" diagonalDown="false">
      <left style="thin"/>
      <right style="medium"/>
      <top style="medium"/>
      <bottom style="thin"/>
      <diagonal/>
    </border>
    <border diagonalUp="false" diagonalDown="false">
      <left style="medium"/>
      <right style="thin"/>
      <top style="thin"/>
      <bottom style="thin"/>
      <diagonal/>
    </border>
    <border diagonalUp="false" diagonalDown="false">
      <left style="thin"/>
      <right style="medium"/>
      <top style="thin"/>
      <bottom style="thin"/>
      <diagonal/>
    </border>
    <border diagonalUp="false" diagonalDown="false">
      <left style="thin"/>
      <right style="thin"/>
      <top style="thin"/>
      <bottom style="medium"/>
      <diagonal/>
    </border>
    <border diagonalUp="false" diagonalDown="false">
      <left style="medium"/>
      <right style="medium"/>
      <top style="medium"/>
      <bottom style="medium"/>
      <diagonal/>
    </border>
    <border diagonalUp="false" diagonalDown="false">
      <left/>
      <right style="medium"/>
      <top style="medium"/>
      <bottom style="medium"/>
      <diagonal/>
    </border>
    <border diagonalUp="false" diagonalDown="false">
      <left style="medium"/>
      <right style="medium"/>
      <top/>
      <bottom style="medium"/>
      <diagonal/>
    </border>
    <border diagonalUp="false" diagonalDown="false">
      <left/>
      <right style="medium"/>
      <top/>
      <bottom style="medium"/>
      <diagonal/>
    </border>
    <border diagonalUp="false" diagonalDown="false">
      <left style="medium"/>
      <right style="medium"/>
      <top style="medium"/>
      <bottom/>
      <diagonal/>
    </border>
    <border diagonalUp="false" diagonalDown="false">
      <left/>
      <right style="medium"/>
      <top/>
      <bottom/>
      <diagonal/>
    </border>
    <border diagonalUp="false" diagonalDown="false">
      <left style="thin"/>
      <right style="medium"/>
      <top style="medium"/>
      <bottom/>
      <diagonal/>
    </border>
    <border diagonalUp="false" diagonalDown="false">
      <left style="medium"/>
      <right style="thin"/>
      <top style="thin"/>
      <bottom/>
      <diagonal/>
    </border>
    <border diagonalUp="false" diagonalDown="false">
      <left style="thin"/>
      <right style="medium"/>
      <top style="thin"/>
      <bottom/>
      <diagonal/>
    </border>
    <border diagonalUp="false" diagonalDown="false">
      <left style="medium"/>
      <right style="thin"/>
      <top style="thin"/>
      <bottom style="medium"/>
      <diagonal/>
    </border>
    <border diagonalUp="false" diagonalDown="false">
      <left style="thin"/>
      <right style="medium"/>
      <top style="thin"/>
      <bottom style="medium"/>
      <diagonal/>
    </border>
  </borders>
  <cellStyleXfs count="2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30" fillId="0" borderId="0" applyFont="true" applyBorder="true" applyAlignment="true" applyProtection="true">
      <alignment horizontal="general" vertical="bottom" textRotation="0" wrapText="false" indent="0" shrinkToFit="false"/>
      <protection locked="true" hidden="false"/>
    </xf>
    <xf numFmtId="164" fontId="16" fillId="2" borderId="0" applyFont="true" applyBorder="true" applyAlignment="true" applyProtection="true">
      <alignment horizontal="general" vertical="bottom" textRotation="0" wrapText="false" indent="0" shrinkToFit="false"/>
      <protection locked="true" hidden="false"/>
    </xf>
  </cellStyleXfs>
  <cellXfs count="122">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general" vertical="center" textRotation="0" wrapText="false" indent="0" shrinkToFit="false"/>
      <protection locked="true" hidden="false"/>
    </xf>
    <xf numFmtId="164" fontId="6" fillId="0" borderId="0" xfId="0" applyFont="true" applyBorder="true" applyAlignment="true" applyProtection="false">
      <alignment horizontal="center" vertical="center" textRotation="0" wrapText="false" indent="0" shrinkToFit="false"/>
      <protection locked="true" hidden="false"/>
    </xf>
    <xf numFmtId="164" fontId="7" fillId="0" borderId="0" xfId="0" applyFont="true" applyBorder="true" applyAlignment="true" applyProtection="false">
      <alignment horizontal="center" vertical="center" textRotation="0" wrapText="false" indent="0" shrinkToFit="false"/>
      <protection locked="true" hidden="false"/>
    </xf>
    <xf numFmtId="164" fontId="4" fillId="0" borderId="0" xfId="0" applyFont="true" applyBorder="true" applyAlignment="false" applyProtection="false">
      <alignment horizontal="general" vertical="bottom" textRotation="0" wrapText="false" indent="0" shrinkToFit="false"/>
      <protection locked="true" hidden="false"/>
    </xf>
    <xf numFmtId="164" fontId="8" fillId="0" borderId="0" xfId="0" applyFont="true" applyBorder="false" applyAlignment="true" applyProtection="false">
      <alignment horizontal="center" vertical="bottom" textRotation="0" wrapText="false" indent="0" shrinkToFit="false"/>
      <protection locked="true" hidden="false"/>
    </xf>
    <xf numFmtId="164" fontId="9" fillId="3" borderId="1" xfId="0" applyFont="true" applyBorder="true" applyAlignment="true" applyProtection="false">
      <alignment horizontal="center" vertical="bottom" textRotation="0" wrapText="false" indent="0" shrinkToFit="false"/>
      <protection locked="true" hidden="false"/>
    </xf>
    <xf numFmtId="164" fontId="10" fillId="3" borderId="2" xfId="0" applyFont="true" applyBorder="true" applyAlignment="true" applyProtection="false">
      <alignment horizontal="center" vertical="center" textRotation="0" wrapText="false" indent="0" shrinkToFit="false"/>
      <protection locked="true" hidden="false"/>
    </xf>
    <xf numFmtId="164" fontId="4" fillId="0" borderId="0" xfId="0" applyFont="true" applyBorder="false" applyAlignment="true" applyProtection="false">
      <alignment horizontal="center" vertical="center" textRotation="0" wrapText="false" indent="0" shrinkToFit="false"/>
      <protection locked="true" hidden="false"/>
    </xf>
    <xf numFmtId="164" fontId="11" fillId="4" borderId="1" xfId="0" applyFont="true" applyBorder="true" applyAlignment="true" applyProtection="false">
      <alignment horizontal="center" vertical="bottom" textRotation="0" wrapText="false" indent="0" shrinkToFit="false"/>
      <protection locked="true" hidden="false"/>
    </xf>
    <xf numFmtId="164" fontId="12" fillId="4" borderId="2" xfId="0" applyFont="true" applyBorder="true" applyAlignment="true" applyProtection="false">
      <alignment horizontal="center" vertical="center" textRotation="0" wrapText="true" indent="0" shrinkToFit="false"/>
      <protection locked="true" hidden="false"/>
    </xf>
    <xf numFmtId="164" fontId="13" fillId="5" borderId="3" xfId="0" applyFont="true" applyBorder="true" applyAlignment="true" applyProtection="true">
      <alignment horizontal="center" vertical="center" textRotation="0" wrapText="true" indent="0" shrinkToFit="false"/>
      <protection locked="false" hidden="false"/>
    </xf>
    <xf numFmtId="164" fontId="12" fillId="4" borderId="4" xfId="0" applyFont="true" applyBorder="true" applyAlignment="true" applyProtection="false">
      <alignment horizontal="center" vertical="center" textRotation="0" wrapText="true" indent="0" shrinkToFit="false"/>
      <protection locked="true" hidden="false"/>
    </xf>
    <xf numFmtId="164" fontId="13" fillId="5" borderId="4" xfId="0" applyFont="true" applyBorder="true" applyAlignment="true" applyProtection="true">
      <alignment horizontal="center" vertical="center" textRotation="0" wrapText="true" indent="0" shrinkToFit="false"/>
      <protection locked="false" hidden="false"/>
    </xf>
    <xf numFmtId="164" fontId="12" fillId="4" borderId="5" xfId="0" applyFont="true" applyBorder="true" applyAlignment="true" applyProtection="false">
      <alignment horizontal="center" vertical="center" textRotation="0" wrapText="true" indent="0" shrinkToFit="false"/>
      <protection locked="true" hidden="false"/>
    </xf>
    <xf numFmtId="164" fontId="13" fillId="6" borderId="4" xfId="0" applyFont="true" applyBorder="true" applyAlignment="true" applyProtection="true">
      <alignment horizontal="center" vertical="center" textRotation="0" wrapText="true" indent="0" shrinkToFit="false"/>
      <protection locked="false" hidden="false"/>
    </xf>
    <xf numFmtId="164" fontId="13" fillId="7" borderId="4" xfId="0" applyFont="true" applyBorder="true" applyAlignment="true" applyProtection="false">
      <alignment horizontal="center" vertical="center" textRotation="0" wrapText="true" indent="0" shrinkToFit="false"/>
      <protection locked="true" hidden="false"/>
    </xf>
    <xf numFmtId="164" fontId="12" fillId="4" borderId="6" xfId="0" applyFont="true" applyBorder="true" applyAlignment="true" applyProtection="false">
      <alignment horizontal="center" vertical="center" textRotation="0" wrapText="true" indent="0" shrinkToFit="false"/>
      <protection locked="true" hidden="false"/>
    </xf>
    <xf numFmtId="164" fontId="13" fillId="5" borderId="7" xfId="0" applyFont="true" applyBorder="true" applyAlignment="true" applyProtection="true">
      <alignment horizontal="center" vertical="center" textRotation="0" wrapText="true" indent="0" shrinkToFit="false"/>
      <protection locked="false" hidden="false"/>
    </xf>
    <xf numFmtId="164" fontId="14" fillId="0" borderId="0" xfId="0" applyFont="true" applyBorder="false" applyAlignment="true" applyProtection="false">
      <alignment horizontal="center" vertical="bottom" textRotation="0" wrapText="true" indent="0" shrinkToFit="false"/>
      <protection locked="true" hidden="false"/>
    </xf>
    <xf numFmtId="164" fontId="13" fillId="0" borderId="0" xfId="0" applyFont="true" applyBorder="false" applyAlignment="true" applyProtection="false">
      <alignment horizontal="center" vertical="center" textRotation="0" wrapText="true" indent="0" shrinkToFit="false"/>
      <protection locked="true" hidden="false"/>
    </xf>
    <xf numFmtId="164" fontId="13" fillId="0" borderId="0" xfId="0" applyFont="true" applyBorder="false" applyAlignment="true" applyProtection="false">
      <alignment horizontal="center" vertical="bottom" textRotation="0" wrapText="true" indent="0" shrinkToFit="false"/>
      <protection locked="true" hidden="false"/>
    </xf>
    <xf numFmtId="164" fontId="10" fillId="3" borderId="8" xfId="0" applyFont="true" applyBorder="true" applyAlignment="true" applyProtection="false">
      <alignment horizontal="center" vertical="center" textRotation="0" wrapText="false" indent="0" shrinkToFit="false"/>
      <protection locked="true" hidden="false"/>
    </xf>
    <xf numFmtId="164" fontId="13" fillId="5" borderId="9" xfId="0" applyFont="true" applyBorder="true" applyAlignment="true" applyProtection="true">
      <alignment horizontal="center" vertical="center" textRotation="0" wrapText="true" indent="0" shrinkToFit="false"/>
      <protection locked="false" hidden="false"/>
    </xf>
    <xf numFmtId="164" fontId="13" fillId="5" borderId="10" xfId="0" applyFont="true" applyBorder="true" applyAlignment="true" applyProtection="true">
      <alignment horizontal="center" vertical="center" textRotation="0" wrapText="true" indent="0" shrinkToFit="false"/>
      <protection locked="false" hidden="false"/>
    </xf>
    <xf numFmtId="164" fontId="4" fillId="0" borderId="0" xfId="0" applyFont="true" applyBorder="true" applyAlignment="true" applyProtection="false">
      <alignment horizontal="center" vertical="bottom" textRotation="0" wrapText="true" indent="0" shrinkToFit="false"/>
      <protection locked="true" hidden="false"/>
    </xf>
    <xf numFmtId="164" fontId="4" fillId="0" borderId="0" xfId="0" applyFont="true" applyBorder="false" applyAlignment="true" applyProtection="false">
      <alignment horizontal="center" vertical="bottom" textRotation="0" wrapText="true" indent="0" shrinkToFit="false"/>
      <protection locked="true" hidden="false"/>
    </xf>
    <xf numFmtId="164" fontId="4" fillId="0" borderId="0" xfId="0" applyFont="true" applyBorder="false" applyAlignment="true" applyProtection="false">
      <alignment horizontal="center" vertical="bottom" textRotation="0" wrapText="false" indent="0" shrinkToFit="false"/>
      <protection locked="true" hidden="false"/>
    </xf>
    <xf numFmtId="164" fontId="11" fillId="0" borderId="0" xfId="0" applyFont="true" applyBorder="false" applyAlignment="true" applyProtection="false">
      <alignment horizontal="center" vertical="bottom" textRotation="0" wrapText="false" indent="0" shrinkToFit="false"/>
      <protection locked="true" hidden="false"/>
    </xf>
    <xf numFmtId="164" fontId="10" fillId="3" borderId="1" xfId="0" applyFont="true" applyBorder="true" applyAlignment="true" applyProtection="false">
      <alignment horizontal="center" vertical="center" textRotation="0" wrapText="false" indent="0" shrinkToFit="false"/>
      <protection locked="true" hidden="false"/>
    </xf>
    <xf numFmtId="164" fontId="15" fillId="8" borderId="11" xfId="0" applyFont="true" applyBorder="true" applyAlignment="true" applyProtection="false">
      <alignment horizontal="center" vertical="center" textRotation="0" wrapText="true" indent="0" shrinkToFit="false"/>
      <protection locked="true" hidden="false"/>
    </xf>
    <xf numFmtId="164" fontId="7" fillId="8" borderId="12" xfId="0" applyFont="true" applyBorder="true" applyAlignment="true" applyProtection="false">
      <alignment horizontal="center" vertical="center" textRotation="0" wrapText="false" indent="0" shrinkToFit="false"/>
      <protection locked="true" hidden="false"/>
    </xf>
    <xf numFmtId="164" fontId="4" fillId="0" borderId="13" xfId="0" applyFont="true" applyBorder="true" applyAlignment="false" applyProtection="false">
      <alignment horizontal="general" vertical="bottom" textRotation="0" wrapText="false" indent="0" shrinkToFit="false"/>
      <protection locked="true" hidden="false"/>
    </xf>
    <xf numFmtId="164" fontId="4" fillId="0" borderId="14" xfId="0" applyFont="true" applyBorder="true" applyAlignment="false" applyProtection="false">
      <alignment horizontal="general" vertical="bottom" textRotation="0" wrapText="false" indent="0" shrinkToFit="false"/>
      <protection locked="true" hidden="false"/>
    </xf>
    <xf numFmtId="164" fontId="4" fillId="0" borderId="15" xfId="0" applyFont="true" applyBorder="true" applyAlignment="false" applyProtection="false">
      <alignment horizontal="general" vertical="bottom" textRotation="0" wrapText="false" indent="0" shrinkToFit="false"/>
      <protection locked="true" hidden="false"/>
    </xf>
    <xf numFmtId="164" fontId="4" fillId="4" borderId="16" xfId="0" applyFont="true" applyBorder="true" applyAlignment="true" applyProtection="false">
      <alignment horizontal="center" vertical="center" textRotation="0" wrapText="false" indent="0" shrinkToFit="false"/>
      <protection locked="true" hidden="false"/>
    </xf>
    <xf numFmtId="164" fontId="4" fillId="4" borderId="17" xfId="0" applyFont="true" applyBorder="true" applyAlignment="true" applyProtection="false">
      <alignment horizontal="center" vertical="center" textRotation="0" wrapText="false" indent="0" shrinkToFit="false"/>
      <protection locked="true" hidden="false"/>
    </xf>
    <xf numFmtId="164" fontId="4" fillId="4" borderId="18" xfId="0" applyFont="true" applyBorder="true" applyAlignment="true" applyProtection="false">
      <alignment horizontal="center" vertical="center" textRotation="0" wrapText="false" indent="0" shrinkToFit="false"/>
      <protection locked="true" hidden="false"/>
    </xf>
    <xf numFmtId="164" fontId="13" fillId="5" borderId="5" xfId="0" applyFont="true" applyBorder="true" applyAlignment="true" applyProtection="true">
      <alignment horizontal="center" vertical="center" textRotation="0" wrapText="true" indent="0" shrinkToFit="false"/>
      <protection locked="false" hidden="false"/>
    </xf>
    <xf numFmtId="164" fontId="4" fillId="0" borderId="3" xfId="0" applyFont="true" applyBorder="true" applyAlignment="false" applyProtection="false">
      <alignment horizontal="general" vertical="bottom" textRotation="0" wrapText="false" indent="0" shrinkToFit="false"/>
      <protection locked="true" hidden="false"/>
    </xf>
    <xf numFmtId="164" fontId="4" fillId="0" borderId="19" xfId="0" applyFont="true" applyBorder="true" applyAlignment="false" applyProtection="false">
      <alignment horizontal="general" vertical="bottom" textRotation="0" wrapText="false" indent="0" shrinkToFit="false"/>
      <protection locked="true" hidden="false"/>
    </xf>
    <xf numFmtId="164" fontId="4" fillId="0" borderId="20" xfId="0" applyFont="true" applyBorder="true" applyAlignment="false" applyProtection="false">
      <alignment horizontal="general" vertical="bottom" textRotation="0" wrapText="false" indent="0" shrinkToFit="false"/>
      <protection locked="true" hidden="false"/>
    </xf>
    <xf numFmtId="164" fontId="4" fillId="4" borderId="21" xfId="0" applyFont="true" applyBorder="true" applyAlignment="true" applyProtection="false">
      <alignment horizontal="center" vertical="center" textRotation="0" wrapText="false" indent="0" shrinkToFit="false"/>
      <protection locked="true" hidden="false"/>
    </xf>
    <xf numFmtId="164" fontId="4" fillId="4" borderId="0" xfId="0" applyFont="true" applyBorder="false" applyAlignment="true" applyProtection="false">
      <alignment horizontal="center" vertical="center" textRotation="0" wrapText="false" indent="0" shrinkToFit="false"/>
      <protection locked="true" hidden="false"/>
    </xf>
    <xf numFmtId="164" fontId="4" fillId="4" borderId="22" xfId="0" applyFont="true" applyBorder="true" applyAlignment="true" applyProtection="false">
      <alignment horizontal="center" vertical="center" textRotation="0" wrapText="false" indent="0" shrinkToFit="false"/>
      <protection locked="true" hidden="false"/>
    </xf>
    <xf numFmtId="164" fontId="13" fillId="5" borderId="5" xfId="0" applyFont="true" applyBorder="true" applyAlignment="true" applyProtection="true">
      <alignment horizontal="center" vertical="center" textRotation="0" wrapText="false" indent="0" shrinkToFit="false"/>
      <protection locked="false" hidden="false"/>
    </xf>
    <xf numFmtId="164" fontId="4" fillId="4" borderId="23" xfId="0" applyFont="true" applyBorder="true" applyAlignment="true" applyProtection="false">
      <alignment horizontal="center" vertical="center" textRotation="0" wrapText="false" indent="0" shrinkToFit="false"/>
      <protection locked="true" hidden="false"/>
    </xf>
    <xf numFmtId="164" fontId="4" fillId="4" borderId="24" xfId="0" applyFont="true" applyBorder="true" applyAlignment="true" applyProtection="false">
      <alignment horizontal="center" vertical="center" textRotation="0" wrapText="false" indent="0" shrinkToFit="false"/>
      <protection locked="true" hidden="false"/>
    </xf>
    <xf numFmtId="164" fontId="4" fillId="4" borderId="25" xfId="0" applyFont="true" applyBorder="true" applyAlignment="true" applyProtection="false">
      <alignment horizontal="center" vertical="center" textRotation="0" wrapText="false" indent="0" shrinkToFit="false"/>
      <protection locked="true" hidden="false"/>
    </xf>
    <xf numFmtId="164" fontId="13" fillId="5" borderId="6" xfId="0" applyFont="true" applyBorder="true" applyAlignment="true" applyProtection="true">
      <alignment horizontal="center" vertical="center" textRotation="0" wrapText="false" indent="0" shrinkToFit="false"/>
      <protection locked="false" hidden="false"/>
    </xf>
    <xf numFmtId="164" fontId="13" fillId="5" borderId="26" xfId="0" applyFont="true" applyBorder="true" applyAlignment="true" applyProtection="true">
      <alignment horizontal="center" vertical="center" textRotation="0" wrapText="true" indent="0" shrinkToFit="false"/>
      <protection locked="false" hidden="false"/>
    </xf>
    <xf numFmtId="164" fontId="4" fillId="0" borderId="7" xfId="0" applyFont="true" applyBorder="true" applyAlignment="false" applyProtection="false">
      <alignment horizontal="general" vertical="bottom" textRotation="0" wrapText="false" indent="0" shrinkToFit="false"/>
      <protection locked="true" hidden="false"/>
    </xf>
    <xf numFmtId="164" fontId="4" fillId="0" borderId="27" xfId="0" applyFont="true" applyBorder="true" applyAlignment="false" applyProtection="false">
      <alignment horizontal="general" vertical="bottom" textRotation="0" wrapText="false" indent="0" shrinkToFit="false"/>
      <protection locked="true" hidden="false"/>
    </xf>
    <xf numFmtId="164" fontId="4" fillId="0" borderId="28" xfId="0" applyFont="true" applyBorder="true" applyAlignment="false" applyProtection="false">
      <alignment horizontal="general" vertical="bottom" textRotation="0" wrapText="false" indent="0" shrinkToFit="false"/>
      <protection locked="true" hidden="false"/>
    </xf>
    <xf numFmtId="165" fontId="4" fillId="0" borderId="0" xfId="0" applyFont="true" applyBorder="false" applyAlignment="true" applyProtection="false">
      <alignment horizontal="general" vertical="center" textRotation="0" wrapText="false" indent="0" shrinkToFit="false"/>
      <protection locked="true" hidden="false"/>
    </xf>
    <xf numFmtId="164" fontId="10" fillId="3" borderId="29" xfId="21" applyFont="true" applyBorder="true" applyAlignment="true" applyProtection="false">
      <alignment horizontal="center" vertical="center" textRotation="0" wrapText="false" indent="0" shrinkToFit="false"/>
      <protection locked="true" hidden="false"/>
    </xf>
    <xf numFmtId="164" fontId="10" fillId="3" borderId="30" xfId="21" applyFont="true" applyBorder="true" applyAlignment="true" applyProtection="false">
      <alignment horizontal="center" vertical="center" textRotation="0" wrapText="false" indent="0" shrinkToFit="false"/>
      <protection locked="true" hidden="false"/>
    </xf>
    <xf numFmtId="164" fontId="10" fillId="3" borderId="31" xfId="21" applyFont="true" applyBorder="true" applyAlignment="true" applyProtection="false">
      <alignment horizontal="center" vertical="center" textRotation="0" wrapText="false" indent="0" shrinkToFit="false"/>
      <protection locked="true" hidden="false"/>
    </xf>
    <xf numFmtId="164" fontId="10" fillId="3" borderId="32" xfId="21" applyFont="true" applyBorder="true" applyAlignment="true" applyProtection="false">
      <alignment horizontal="center" vertical="center" textRotation="0" wrapText="false" indent="0" shrinkToFit="false"/>
      <protection locked="true" hidden="false"/>
    </xf>
    <xf numFmtId="164" fontId="17" fillId="3" borderId="33" xfId="21" applyFont="true" applyBorder="true" applyAlignment="true" applyProtection="false">
      <alignment horizontal="general" vertical="center" textRotation="0" wrapText="false" indent="0" shrinkToFit="false"/>
      <protection locked="true" hidden="false"/>
    </xf>
    <xf numFmtId="164" fontId="18" fillId="4" borderId="34" xfId="0" applyFont="true" applyBorder="true" applyAlignment="true" applyProtection="true">
      <alignment horizontal="center" vertical="bottom" textRotation="0" wrapText="false" indent="0" shrinkToFit="false"/>
      <protection locked="false" hidden="false"/>
    </xf>
    <xf numFmtId="166" fontId="18" fillId="9" borderId="34" xfId="0" applyFont="true" applyBorder="true" applyAlignment="true" applyProtection="true">
      <alignment horizontal="center" vertical="bottom" textRotation="0" wrapText="false" indent="0" shrinkToFit="false"/>
      <protection locked="true" hidden="true"/>
    </xf>
    <xf numFmtId="166" fontId="18" fillId="9" borderId="1" xfId="0" applyFont="true" applyBorder="true" applyAlignment="true" applyProtection="true">
      <alignment horizontal="center" vertical="center" textRotation="0" wrapText="false" indent="0" shrinkToFit="false"/>
      <protection locked="true" hidden="true"/>
    </xf>
    <xf numFmtId="164" fontId="4" fillId="0" borderId="0" xfId="0" applyFont="true" applyBorder="true" applyAlignment="true" applyProtection="false">
      <alignment horizontal="center" vertical="bottom" textRotation="0" wrapText="false" indent="0" shrinkToFit="false"/>
      <protection locked="true" hidden="false"/>
    </xf>
    <xf numFmtId="164" fontId="18" fillId="5" borderId="35" xfId="21" applyFont="true" applyBorder="true" applyAlignment="true" applyProtection="false">
      <alignment horizontal="center" vertical="center" textRotation="0" wrapText="false" indent="0" shrinkToFit="false"/>
      <protection locked="true" hidden="false"/>
    </xf>
    <xf numFmtId="164" fontId="0" fillId="0" borderId="35" xfId="0" applyFont="true" applyBorder="true" applyAlignment="true" applyProtection="false">
      <alignment horizontal="center" vertical="center" textRotation="0" wrapText="false" indent="0" shrinkToFit="false"/>
      <protection locked="true" hidden="false"/>
    </xf>
    <xf numFmtId="164" fontId="0" fillId="0" borderId="0" xfId="0" applyFont="false" applyBorder="false" applyAlignment="false" applyProtection="true">
      <alignment horizontal="general" vertical="bottom" textRotation="0" wrapText="false" indent="0" shrinkToFit="false"/>
      <protection locked="false" hidden="false"/>
    </xf>
    <xf numFmtId="164" fontId="19" fillId="3" borderId="0" xfId="0" applyFont="true" applyBorder="true" applyAlignment="true" applyProtection="false">
      <alignment horizontal="center" vertical="center" textRotation="0" wrapText="false" indent="0" shrinkToFit="false"/>
      <protection locked="true" hidden="false"/>
    </xf>
    <xf numFmtId="164" fontId="20" fillId="10" borderId="0" xfId="0" applyFont="true" applyBorder="true" applyAlignment="true" applyProtection="false">
      <alignment horizontal="center" vertical="center" textRotation="0" wrapText="false" indent="0" shrinkToFit="false"/>
      <protection locked="true" hidden="false"/>
    </xf>
    <xf numFmtId="164" fontId="21" fillId="11" borderId="0" xfId="0" applyFont="true" applyBorder="false" applyAlignment="true" applyProtection="true">
      <alignment horizontal="center" vertical="center" textRotation="0" wrapText="false" indent="0" shrinkToFit="false"/>
      <protection locked="false" hidden="false"/>
    </xf>
    <xf numFmtId="164" fontId="0" fillId="5" borderId="0" xfId="0" applyFont="true" applyBorder="false" applyAlignment="true" applyProtection="true">
      <alignment horizontal="center" vertical="center" textRotation="0" wrapText="false" indent="0" shrinkToFit="false"/>
      <protection locked="false" hidden="false"/>
    </xf>
    <xf numFmtId="164" fontId="0" fillId="0" borderId="0" xfId="0" applyFont="false" applyBorder="false" applyAlignment="true" applyProtection="true">
      <alignment horizontal="center" vertical="center" textRotation="0" wrapText="false" indent="0" shrinkToFit="false"/>
      <protection locked="false" hidden="false"/>
    </xf>
    <xf numFmtId="164" fontId="21" fillId="11" borderId="0" xfId="0" applyFont="true" applyBorder="fals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general" vertical="top" textRotation="0" wrapText="true" indent="0" shrinkToFit="false"/>
      <protection locked="true" hidden="false"/>
    </xf>
    <xf numFmtId="164" fontId="22" fillId="12" borderId="36" xfId="0" applyFont="true" applyBorder="true" applyAlignment="true" applyProtection="false">
      <alignment horizontal="general" vertical="top" textRotation="0" wrapText="true" indent="0" shrinkToFit="false" readingOrder="1"/>
      <protection locked="true" hidden="false"/>
    </xf>
    <xf numFmtId="164" fontId="22" fillId="12" borderId="0" xfId="0" applyFont="true" applyBorder="false" applyAlignment="true" applyProtection="false">
      <alignment horizontal="general" vertical="top" textRotation="0" wrapText="true" indent="0" shrinkToFit="false" readingOrder="1"/>
      <protection locked="true" hidden="false"/>
    </xf>
    <xf numFmtId="164" fontId="23" fillId="0" borderId="36" xfId="0" applyFont="true" applyBorder="true" applyAlignment="true" applyProtection="false">
      <alignment horizontal="general" vertical="top" textRotation="0" wrapText="true" indent="0" shrinkToFit="false" readingOrder="1"/>
      <protection locked="true" hidden="false"/>
    </xf>
    <xf numFmtId="167" fontId="23" fillId="0" borderId="36" xfId="0" applyFont="true" applyBorder="true" applyAlignment="true" applyProtection="false">
      <alignment horizontal="general" vertical="top" textRotation="0" wrapText="true" indent="0" shrinkToFit="false" readingOrder="1"/>
      <protection locked="true" hidden="false"/>
    </xf>
    <xf numFmtId="168" fontId="23" fillId="0" borderId="36" xfId="0" applyFont="true" applyBorder="true" applyAlignment="true" applyProtection="false">
      <alignment horizontal="general" vertical="top" textRotation="0" wrapText="true" indent="0" shrinkToFit="false" readingOrder="1"/>
      <protection locked="true" hidden="false"/>
    </xf>
    <xf numFmtId="164" fontId="24" fillId="13" borderId="0" xfId="0" applyFont="true" applyBorder="false" applyAlignment="false" applyProtection="false">
      <alignment horizontal="general" vertical="bottom" textRotation="0" wrapText="false" indent="0" shrinkToFit="false"/>
      <protection locked="true" hidden="false"/>
    </xf>
    <xf numFmtId="169"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0" fillId="14" borderId="37" xfId="0" applyFont="true" applyBorder="true" applyAlignment="false" applyProtection="false">
      <alignment horizontal="general" vertical="bottom" textRotation="0" wrapText="false" indent="0" shrinkToFit="false"/>
      <protection locked="true" hidden="false"/>
    </xf>
    <xf numFmtId="164" fontId="0" fillId="14" borderId="38" xfId="0" applyFont="true" applyBorder="true" applyAlignment="false" applyProtection="false">
      <alignment horizontal="general" vertical="bottom" textRotation="0" wrapText="false" indent="0" shrinkToFit="false"/>
      <protection locked="true" hidden="false"/>
    </xf>
    <xf numFmtId="164" fontId="0" fillId="14" borderId="39" xfId="0" applyFont="true" applyBorder="tru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left" vertical="bottom" textRotation="0" wrapText="false" indent="0" shrinkToFit="false"/>
      <protection locked="true" hidden="false"/>
    </xf>
    <xf numFmtId="164" fontId="0" fillId="0" borderId="40" xfId="0" applyFont="true" applyBorder="true" applyAlignment="false" applyProtection="false">
      <alignment horizontal="general" vertical="bottom" textRotation="0" wrapText="false" indent="0" shrinkToFit="false"/>
      <protection locked="true" hidden="false"/>
    </xf>
    <xf numFmtId="164" fontId="0" fillId="0" borderId="35" xfId="0" applyFont="true" applyBorder="true" applyAlignment="false" applyProtection="false">
      <alignment horizontal="general" vertical="bottom" textRotation="0" wrapText="false" indent="0" shrinkToFit="false"/>
      <protection locked="true" hidden="false"/>
    </xf>
    <xf numFmtId="164" fontId="0" fillId="0" borderId="41" xfId="0" applyFont="true" applyBorder="true" applyAlignment="false" applyProtection="false">
      <alignment horizontal="general" vertical="bottom" textRotation="0" wrapText="false" indent="0" shrinkToFit="false"/>
      <protection locked="true" hidden="false"/>
    </xf>
    <xf numFmtId="164" fontId="0" fillId="0" borderId="42" xfId="0" applyFont="true" applyBorder="true" applyAlignment="false" applyProtection="false">
      <alignment horizontal="general" vertical="bottom" textRotation="0" wrapText="false" indent="0" shrinkToFit="false"/>
      <protection locked="true" hidden="false"/>
    </xf>
    <xf numFmtId="164" fontId="25" fillId="0" borderId="0" xfId="0" applyFont="true" applyBorder="false" applyAlignment="true" applyProtection="false">
      <alignment horizontal="general" vertical="center" textRotation="0" wrapText="false" indent="0" shrinkToFit="false"/>
      <protection locked="true" hidden="false"/>
    </xf>
    <xf numFmtId="164" fontId="26" fillId="0" borderId="43" xfId="0" applyFont="true" applyBorder="true" applyAlignment="true" applyProtection="false">
      <alignment horizontal="general" vertical="center" textRotation="0" wrapText="false" indent="0" shrinkToFit="false"/>
      <protection locked="true" hidden="false"/>
    </xf>
    <xf numFmtId="164" fontId="27" fillId="0" borderId="44" xfId="0" applyFont="true" applyBorder="true" applyAlignment="true" applyProtection="false">
      <alignment horizontal="general" vertical="center" textRotation="0" wrapText="false" indent="0" shrinkToFit="false"/>
      <protection locked="true" hidden="false"/>
    </xf>
    <xf numFmtId="164" fontId="28" fillId="0" borderId="45" xfId="0" applyFont="true" applyBorder="true" applyAlignment="true" applyProtection="false">
      <alignment horizontal="general" vertical="center" textRotation="0" wrapText="false" indent="0" shrinkToFit="false"/>
      <protection locked="true" hidden="false"/>
    </xf>
    <xf numFmtId="164" fontId="27" fillId="0" borderId="46" xfId="0" applyFont="true" applyBorder="true" applyAlignment="true" applyProtection="false">
      <alignment horizontal="general" vertical="center" textRotation="0" wrapText="false" indent="0" shrinkToFit="false"/>
      <protection locked="true" hidden="false"/>
    </xf>
    <xf numFmtId="164" fontId="26" fillId="0" borderId="45" xfId="0" applyFont="true" applyBorder="true" applyAlignment="true" applyProtection="false">
      <alignment horizontal="general" vertical="center" textRotation="0" wrapText="false" indent="0" shrinkToFit="false"/>
      <protection locked="true" hidden="false"/>
    </xf>
    <xf numFmtId="164" fontId="26" fillId="0" borderId="47" xfId="0" applyFont="true" applyBorder="true" applyAlignment="true" applyProtection="false">
      <alignment horizontal="general" vertical="center" textRotation="0" wrapText="false" indent="0" shrinkToFit="false"/>
      <protection locked="true" hidden="false"/>
    </xf>
    <xf numFmtId="164" fontId="27" fillId="0" borderId="48" xfId="0" applyFont="true" applyBorder="true" applyAlignment="true" applyProtection="false">
      <alignment horizontal="general" vertical="center" textRotation="0" wrapText="true" indent="0" shrinkToFit="false"/>
      <protection locked="true" hidden="false"/>
    </xf>
    <xf numFmtId="164" fontId="29" fillId="0" borderId="48" xfId="0" applyFont="true" applyBorder="true" applyAlignment="true" applyProtection="false">
      <alignment horizontal="general" vertical="center" textRotation="0" wrapText="true" indent="0" shrinkToFit="false"/>
      <protection locked="true" hidden="false"/>
    </xf>
    <xf numFmtId="164" fontId="0" fillId="0" borderId="46" xfId="0" applyFont="true" applyBorder="true" applyAlignment="true" applyProtection="false">
      <alignment horizontal="general" vertical="center" textRotation="0" wrapText="false" indent="0" shrinkToFit="false"/>
      <protection locked="true" hidden="false"/>
    </xf>
    <xf numFmtId="164" fontId="30" fillId="0" borderId="46" xfId="20" applyFont="true" applyBorder="true" applyAlignment="true" applyProtection="false">
      <alignment horizontal="general" vertical="center" textRotation="0" wrapText="false" indent="0" shrinkToFit="false"/>
      <protection locked="true" hidden="false"/>
    </xf>
    <xf numFmtId="164" fontId="31" fillId="0" borderId="45" xfId="0" applyFont="true" applyBorder="true" applyAlignment="true" applyProtection="false">
      <alignment horizontal="general" vertical="center" textRotation="0" wrapText="false" indent="0" shrinkToFit="false"/>
      <protection locked="true" hidden="false"/>
    </xf>
    <xf numFmtId="164" fontId="27" fillId="0" borderId="0" xfId="0" applyFont="true" applyBorder="fals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center" vertical="center" textRotation="0" wrapText="true" indent="0" shrinkToFit="false"/>
      <protection locked="true" hidden="false"/>
    </xf>
    <xf numFmtId="164" fontId="4" fillId="0" borderId="0" xfId="0" applyFont="true" applyBorder="false" applyAlignment="true" applyProtection="false">
      <alignment horizontal="center" vertical="center" textRotation="0" wrapText="true" indent="0" shrinkToFit="false"/>
      <protection locked="true" hidden="false"/>
    </xf>
    <xf numFmtId="164" fontId="0" fillId="15" borderId="29" xfId="0" applyFont="true" applyBorder="true" applyAlignment="true" applyProtection="false">
      <alignment horizontal="center" vertical="center" textRotation="0" wrapText="true" indent="0" shrinkToFit="false"/>
      <protection locked="true" hidden="false"/>
    </xf>
    <xf numFmtId="164" fontId="0" fillId="16" borderId="37" xfId="0" applyFont="true" applyBorder="true" applyAlignment="true" applyProtection="false">
      <alignment horizontal="center" vertical="center" textRotation="0" wrapText="true" indent="0" shrinkToFit="false"/>
      <protection locked="true" hidden="false"/>
    </xf>
    <xf numFmtId="164" fontId="4" fillId="16" borderId="39" xfId="0" applyFont="true" applyBorder="true" applyAlignment="true" applyProtection="false">
      <alignment horizontal="center" vertical="center" textRotation="0" wrapText="true" indent="0" shrinkToFit="false"/>
      <protection locked="true" hidden="false"/>
    </xf>
    <xf numFmtId="164" fontId="4" fillId="15" borderId="49" xfId="0" applyFont="true" applyBorder="true" applyAlignment="true" applyProtection="false">
      <alignment horizontal="center" vertical="center" textRotation="0" wrapText="true" indent="0" shrinkToFit="false"/>
      <protection locked="true" hidden="false"/>
    </xf>
    <xf numFmtId="164" fontId="0" fillId="16" borderId="40" xfId="0" applyFont="true" applyBorder="true" applyAlignment="true" applyProtection="false">
      <alignment horizontal="center" vertical="center" textRotation="0" wrapText="true" indent="0" shrinkToFit="false"/>
      <protection locked="true" hidden="false"/>
    </xf>
    <xf numFmtId="164" fontId="4" fillId="16" borderId="41" xfId="0" applyFont="true" applyBorder="true" applyAlignment="true" applyProtection="false">
      <alignment horizontal="center" vertical="center" textRotation="0" wrapText="true" indent="0" shrinkToFit="false"/>
      <protection locked="true" hidden="false"/>
    </xf>
    <xf numFmtId="164" fontId="0" fillId="16" borderId="50" xfId="0" applyFont="true" applyBorder="true" applyAlignment="true" applyProtection="false">
      <alignment horizontal="center" vertical="center" textRotation="0" wrapText="true" indent="0" shrinkToFit="false"/>
      <protection locked="true" hidden="false"/>
    </xf>
    <xf numFmtId="164" fontId="4" fillId="16" borderId="51" xfId="0" applyFont="true" applyBorder="true" applyAlignment="true" applyProtection="false">
      <alignment horizontal="center" vertical="center" textRotation="0" wrapText="true" indent="0" shrinkToFit="false"/>
      <protection locked="true" hidden="false"/>
    </xf>
    <xf numFmtId="164" fontId="0" fillId="17" borderId="37" xfId="0" applyFont="true" applyBorder="true" applyAlignment="true" applyProtection="false">
      <alignment horizontal="center" vertical="center" textRotation="0" wrapText="true" indent="0" shrinkToFit="false"/>
      <protection locked="true" hidden="false"/>
    </xf>
    <xf numFmtId="164" fontId="4" fillId="17" borderId="39" xfId="0" applyFont="true" applyBorder="true" applyAlignment="true" applyProtection="false">
      <alignment horizontal="center" vertical="center" textRotation="0" wrapText="true" indent="0" shrinkToFit="false"/>
      <protection locked="true" hidden="false"/>
    </xf>
    <xf numFmtId="164" fontId="0" fillId="17" borderId="52" xfId="0" applyFont="true" applyBorder="true" applyAlignment="true" applyProtection="false">
      <alignment horizontal="center" vertical="center" textRotation="0" wrapText="true" indent="0" shrinkToFit="false"/>
      <protection locked="true" hidden="false"/>
    </xf>
    <xf numFmtId="164" fontId="4" fillId="17" borderId="53" xfId="0" applyFont="true" applyBorder="true" applyAlignment="true" applyProtection="false">
      <alignment horizontal="center" vertical="center" textRotation="0" wrapText="true" indent="0" shrinkToFit="false"/>
      <protection locked="true" hidden="false"/>
    </xf>
    <xf numFmtId="164" fontId="32" fillId="13" borderId="0" xfId="0" applyFont="true" applyBorder="false" applyAlignment="true" applyProtection="false">
      <alignment horizontal="center" vertical="center" textRotation="0" wrapText="true" indent="0" shrinkToFit="false"/>
      <protection locked="true" hidden="false"/>
    </xf>
    <xf numFmtId="164" fontId="33" fillId="18" borderId="0" xfId="0" applyFont="true" applyBorder="false" applyAlignment="false" applyProtection="false">
      <alignment horizontal="general" vertical="bottom" textRotation="0" wrapText="false" indent="0" shrinkToFit="false"/>
      <protection locked="true" hidden="false"/>
    </xf>
    <xf numFmtId="164" fontId="33" fillId="0" borderId="0" xfId="0" applyFont="true" applyBorder="false" applyAlignment="false" applyProtection="false">
      <alignment horizontal="general" vertical="bottom" textRotation="0" wrapText="false" indent="0" shrinkToFit="false"/>
      <protection locked="true" hidden="false"/>
    </xf>
  </cellXfs>
  <cellStyles count="8">
    <cellStyle name="Normal" xfId="0" builtinId="0"/>
    <cellStyle name="Comma" xfId="15" builtinId="3"/>
    <cellStyle name="Comma [0]" xfId="16" builtinId="6"/>
    <cellStyle name="Currency" xfId="17" builtinId="4"/>
    <cellStyle name="Currency [0]" xfId="18" builtinId="7"/>
    <cellStyle name="Percent" xfId="19" builtinId="5"/>
    <cellStyle name="Excel Built-in Accent1" xfId="21"/>
    <cellStyle name="*unknown*" xfId="20" builtinId="8"/>
  </cellStyles>
  <dxfs count="4">
    <dxf>
      <fill>
        <patternFill>
          <bgColor rgb="FFB9D2A9"/>
        </patternFill>
      </fill>
    </dxf>
    <dxf>
      <fill>
        <patternFill>
          <bgColor rgb="FFF0CC60"/>
        </patternFill>
      </fill>
    </dxf>
    <dxf>
      <fill>
        <patternFill>
          <bgColor rgb="FFF00000"/>
        </patternFill>
      </fill>
    </dxf>
    <dxf>
      <fill>
        <patternFill>
          <bgColor rgb="FFB40000"/>
        </patternFill>
      </fill>
    </dxf>
  </dxfs>
  <colors>
    <indexedColors>
      <rgbColor rgb="FF000000"/>
      <rgbColor rgb="FFFFFFFF"/>
      <rgbColor rgb="FFF00000"/>
      <rgbColor rgb="FF00FF00"/>
      <rgbColor rgb="FF0000FF"/>
      <rgbColor rgb="FFFFFF00"/>
      <rgbColor rgb="FFFF00FF"/>
      <rgbColor rgb="FF00FFFF"/>
      <rgbColor rgb="FFB40000"/>
      <rgbColor rgb="FF008000"/>
      <rgbColor rgb="FF000080"/>
      <rgbColor rgb="FF767171"/>
      <rgbColor rgb="FF800080"/>
      <rgbColor rgb="FF008080"/>
      <rgbColor rgb="FFD0CECE"/>
      <rgbColor rgb="FF888888"/>
      <rgbColor rgb="FF5B9BD5"/>
      <rgbColor rgb="FF993366"/>
      <rgbColor rgb="FFF2F2F2"/>
      <rgbColor rgb="FFDEEBF7"/>
      <rgbColor rgb="FF660066"/>
      <rgbColor rgb="FFFF8080"/>
      <rgbColor rgb="FF0563C1"/>
      <rgbColor rgb="FFD6DCE5"/>
      <rgbColor rgb="FF000080"/>
      <rgbColor rgb="FFFF00FF"/>
      <rgbColor rgb="FFFFFF00"/>
      <rgbColor rgb="FF00FFFF"/>
      <rgbColor rgb="FF800080"/>
      <rgbColor rgb="FF800000"/>
      <rgbColor rgb="FF008080"/>
      <rgbColor rgb="FF0000FF"/>
      <rgbColor rgb="FF00CCFF"/>
      <rgbColor rgb="FFDCE6F1"/>
      <rgbColor rgb="FFDAE3F3"/>
      <rgbColor rgb="FFFFE699"/>
      <rgbColor rgb="FF9DC3E6"/>
      <rgbColor rgb="FFD9E1F2"/>
      <rgbColor rgb="FFD3D3D3"/>
      <rgbColor rgb="FFF8CBAD"/>
      <rgbColor rgb="FF3366FF"/>
      <rgbColor rgb="FF33CCCC"/>
      <rgbColor rgb="FFB9D2A9"/>
      <rgbColor rgb="FFF0CC60"/>
      <rgbColor rgb="FFFF9900"/>
      <rgbColor rgb="FFFF6600"/>
      <rgbColor rgb="FF666699"/>
      <rgbColor rgb="FFAFABAB"/>
      <rgbColor rgb="FF002060"/>
      <rgbColor rgb="FF339966"/>
      <rgbColor rgb="FF003300"/>
      <rgbColor rgb="FF333300"/>
      <rgbColor rgb="FF993300"/>
      <rgbColor rgb="FF993366"/>
      <rgbColor rgb="FF00467F"/>
      <rgbColor rgb="FF222A35"/>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7.xml.rels><?xml version="1.0" encoding="UTF-8"?>
<Relationships xmlns="http://schemas.openxmlformats.org/package/2006/relationships"><Relationship Id="rId1" Type="http://schemas.openxmlformats.org/officeDocument/2006/relationships/hyperlink" Target="https://euroexchange.uk/" TargetMode="External"/><Relationship Id="rId2" Type="http://schemas.openxmlformats.org/officeDocument/2006/relationships/hyperlink" Target="https://www.ipaylinks.com/" TargetMode="External"/><Relationship Id="rId3" Type="http://schemas.openxmlformats.org/officeDocument/2006/relationships/hyperlink" Target="https://leatherback.co/" TargetMode="External"/><Relationship Id="rId4" Type="http://schemas.openxmlformats.org/officeDocument/2006/relationships/hyperlink" Target="https://www.pandaremit.com/en/usa/about" TargetMode="External"/><Relationship Id="rId5" Type="http://schemas.openxmlformats.org/officeDocument/2006/relationships/hyperlink" Target="http://www.skrill.com/"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Z289"/>
  <sheetViews>
    <sheetView showFormulas="false" showGridLines="false" showRowColHeaders="true" showZeros="true" rightToLeft="false" tabSelected="true" showOutlineSymbols="true" defaultGridColor="true" view="normal" topLeftCell="A1" colorId="64" zoomScale="70" zoomScaleNormal="70" zoomScalePageLayoutView="100" workbookViewId="0">
      <selection pane="topLeft" activeCell="J20" activeCellId="0" sqref="J20"/>
    </sheetView>
  </sheetViews>
  <sheetFormatPr defaultColWidth="11.53515625" defaultRowHeight="18" zeroHeight="true" outlineLevelRow="0" outlineLevelCol="0"/>
  <cols>
    <col collapsed="false" customWidth="true" hidden="false" outlineLevel="0" max="1" min="1" style="1" width="7"/>
    <col collapsed="false" customWidth="true" hidden="false" outlineLevel="0" max="2" min="2" style="1" width="4.54"/>
    <col collapsed="false" customWidth="true" hidden="false" outlineLevel="0" max="3" min="3" style="1" width="8.54"/>
    <col collapsed="false" customWidth="true" hidden="false" outlineLevel="0" max="4" min="4" style="1" width="15.82"/>
    <col collapsed="false" customWidth="true" hidden="false" outlineLevel="0" max="5" min="5" style="1" width="5.54"/>
    <col collapsed="false" customWidth="true" hidden="false" outlineLevel="0" max="6" min="6" style="1" width="9.45"/>
    <col collapsed="false" customWidth="true" hidden="false" outlineLevel="0" max="9" min="7" style="2" width="6.82"/>
    <col collapsed="false" customWidth="true" hidden="false" outlineLevel="0" max="10" min="10" style="3" width="5.45"/>
    <col collapsed="false" customWidth="true" hidden="false" outlineLevel="0" max="14" min="11" style="1" width="5.45"/>
    <col collapsed="false" customWidth="true" hidden="false" outlineLevel="0" max="15" min="15" style="1" width="12.45"/>
    <col collapsed="false" customWidth="true" hidden="false" outlineLevel="0" max="17" min="16" style="1" width="8.54"/>
    <col collapsed="false" customWidth="true" hidden="false" outlineLevel="0" max="18" min="18" style="1" width="8.45"/>
    <col collapsed="false" customWidth="true" hidden="false" outlineLevel="0" max="19" min="19" style="1" width="8.73"/>
    <col collapsed="false" customWidth="true" hidden="false" outlineLevel="0" max="20" min="20" style="3" width="48"/>
    <col collapsed="false" customWidth="true" hidden="true" outlineLevel="0" max="21" min="21" style="1" width="8.73"/>
    <col collapsed="false" customWidth="true" hidden="true" outlineLevel="0" max="22" min="22" style="1" width="2.45"/>
    <col collapsed="false" customWidth="true" hidden="true" outlineLevel="0" max="28" min="23" style="1" width="8.73"/>
    <col collapsed="false" customWidth="true" hidden="true" outlineLevel="0" max="29" min="29" style="1" width="0.45"/>
    <col collapsed="false" customWidth="true" hidden="true" outlineLevel="0" max="46" min="30" style="1" width="8.73"/>
    <col collapsed="false" customWidth="true" hidden="true" outlineLevel="0" max="47" min="47" style="1" width="71.27"/>
    <col collapsed="false" customWidth="true" hidden="false" outlineLevel="0" max="48" min="48" style="1" width="0.27"/>
    <col collapsed="false" customWidth="true" hidden="true" outlineLevel="0" max="49" min="49" style="1" width="20.45"/>
    <col collapsed="false" customWidth="true" hidden="true" outlineLevel="0" max="50" min="50" style="1" width="47.18"/>
    <col collapsed="false" customWidth="true" hidden="true" outlineLevel="0" max="51" min="51" style="1" width="46.18"/>
    <col collapsed="false" customWidth="true" hidden="true" outlineLevel="0" max="52" min="52" style="1" width="11.45"/>
    <col collapsed="false" customWidth="true" hidden="true" outlineLevel="0" max="53" min="53" style="1" width="4.54"/>
    <col collapsed="false" customWidth="true" hidden="true" outlineLevel="0" max="76" min="54" style="1" width="8.73"/>
    <col collapsed="false" customWidth="false" hidden="true" outlineLevel="0" max="16357" min="77" style="1" width="11.53"/>
    <col collapsed="false" customWidth="true" hidden="false" outlineLevel="0" max="16358" min="16358" style="1" width="6.82"/>
    <col collapsed="false" customWidth="true" hidden="true" outlineLevel="0" max="16383" min="16359" style="1" width="8.73"/>
    <col collapsed="false" customWidth="true" hidden="true" outlineLevel="0" max="16384" min="16384" style="1" width="7.82"/>
  </cols>
  <sheetData>
    <row r="1" s="1" customFormat="true" ht="18" hidden="false" customHeight="true" outlineLevel="0" collapsed="false"/>
    <row r="2" customFormat="false" ht="18" hidden="false" customHeight="true" outlineLevel="0" collapsed="false">
      <c r="B2" s="4"/>
      <c r="C2" s="4"/>
      <c r="D2" s="4"/>
      <c r="E2" s="4"/>
      <c r="F2" s="4"/>
      <c r="G2" s="4"/>
      <c r="H2" s="4"/>
      <c r="I2" s="4"/>
      <c r="J2" s="4"/>
      <c r="K2" s="4"/>
      <c r="L2" s="4"/>
      <c r="M2" s="4"/>
      <c r="N2" s="4"/>
      <c r="O2" s="4"/>
      <c r="P2" s="4"/>
      <c r="Q2" s="4"/>
      <c r="R2" s="4"/>
      <c r="S2" s="4"/>
      <c r="T2" s="4"/>
    </row>
    <row r="3" customFormat="false" ht="18" hidden="false" customHeight="true" outlineLevel="0" collapsed="false">
      <c r="B3" s="5"/>
      <c r="C3" s="5"/>
      <c r="D3" s="5"/>
      <c r="E3" s="5"/>
      <c r="F3" s="5"/>
      <c r="G3" s="5"/>
      <c r="H3" s="5"/>
      <c r="I3" s="5"/>
      <c r="J3" s="5"/>
      <c r="K3" s="5"/>
      <c r="L3" s="5"/>
      <c r="M3" s="5"/>
      <c r="N3" s="5"/>
      <c r="O3" s="5"/>
      <c r="P3" s="5"/>
      <c r="Q3" s="5"/>
      <c r="R3" s="5"/>
      <c r="S3" s="5"/>
      <c r="T3" s="5"/>
    </row>
    <row r="4" customFormat="false" ht="18" hidden="false" customHeight="true" outlineLevel="0" collapsed="false">
      <c r="A4" s="6"/>
      <c r="B4" s="6"/>
      <c r="C4" s="6"/>
      <c r="D4" s="6"/>
      <c r="E4" s="6"/>
      <c r="F4" s="6"/>
      <c r="G4" s="6"/>
      <c r="H4" s="6"/>
      <c r="I4" s="6"/>
      <c r="J4" s="6"/>
      <c r="K4" s="6"/>
      <c r="L4" s="6"/>
      <c r="M4" s="6"/>
      <c r="N4" s="6"/>
      <c r="O4" s="6"/>
      <c r="P4" s="6"/>
      <c r="Q4" s="6"/>
      <c r="R4" s="6"/>
      <c r="S4" s="6"/>
      <c r="T4" s="6"/>
    </row>
    <row r="5" customFormat="false" ht="18" hidden="false" customHeight="true" outlineLevel="0" collapsed="false">
      <c r="A5" s="7"/>
      <c r="B5" s="8" t="s">
        <v>0</v>
      </c>
      <c r="C5" s="8"/>
      <c r="D5" s="8"/>
      <c r="E5" s="8"/>
      <c r="F5" s="7"/>
      <c r="G5" s="9" t="s">
        <v>1</v>
      </c>
      <c r="H5" s="9"/>
      <c r="I5" s="9"/>
      <c r="J5" s="9"/>
      <c r="K5" s="9"/>
      <c r="L5" s="9"/>
      <c r="M5" s="9"/>
      <c r="N5" s="9"/>
      <c r="O5" s="9"/>
      <c r="P5" s="9"/>
      <c r="Q5" s="9"/>
      <c r="R5" s="9"/>
      <c r="S5" s="9"/>
      <c r="T5" s="9"/>
    </row>
    <row r="6" customFormat="false" ht="18" hidden="false" customHeight="true" outlineLevel="0" collapsed="false">
      <c r="A6" s="10"/>
      <c r="B6" s="11"/>
      <c r="C6" s="11"/>
      <c r="D6" s="11"/>
      <c r="E6" s="11"/>
      <c r="F6" s="10"/>
      <c r="G6" s="12" t="s">
        <v>2</v>
      </c>
      <c r="H6" s="12"/>
      <c r="I6" s="12"/>
      <c r="J6" s="13"/>
      <c r="K6" s="13"/>
      <c r="L6" s="13"/>
      <c r="M6" s="13"/>
      <c r="N6" s="13"/>
      <c r="O6" s="13"/>
      <c r="P6" s="13"/>
      <c r="Q6" s="13"/>
      <c r="R6" s="13"/>
      <c r="S6" s="13"/>
      <c r="T6" s="13"/>
    </row>
    <row r="7" customFormat="false" ht="18" hidden="false" customHeight="true" outlineLevel="0" collapsed="false">
      <c r="A7" s="10"/>
      <c r="B7" s="11"/>
      <c r="C7" s="11"/>
      <c r="D7" s="11"/>
      <c r="E7" s="11"/>
      <c r="F7" s="10"/>
      <c r="G7" s="14" t="s">
        <v>3</v>
      </c>
      <c r="H7" s="14"/>
      <c r="I7" s="14"/>
      <c r="J7" s="15"/>
      <c r="K7" s="15"/>
      <c r="L7" s="15"/>
      <c r="M7" s="15"/>
      <c r="N7" s="15"/>
      <c r="O7" s="15"/>
      <c r="P7" s="15"/>
      <c r="Q7" s="15"/>
      <c r="R7" s="15"/>
      <c r="S7" s="15"/>
      <c r="T7" s="15"/>
    </row>
    <row r="8" customFormat="false" ht="18" hidden="false" customHeight="true" outlineLevel="0" collapsed="false">
      <c r="A8" s="10"/>
      <c r="B8" s="11"/>
      <c r="C8" s="11"/>
      <c r="D8" s="11"/>
      <c r="E8" s="11"/>
      <c r="F8" s="10"/>
      <c r="G8" s="16" t="s">
        <v>4</v>
      </c>
      <c r="H8" s="16"/>
      <c r="I8" s="16"/>
      <c r="J8" s="17"/>
      <c r="K8" s="17"/>
      <c r="L8" s="17"/>
      <c r="M8" s="17"/>
      <c r="N8" s="17"/>
      <c r="O8" s="17"/>
      <c r="P8" s="17"/>
      <c r="Q8" s="17"/>
      <c r="R8" s="17"/>
      <c r="S8" s="17"/>
      <c r="T8" s="17"/>
    </row>
    <row r="9" customFormat="false" ht="18" hidden="false" customHeight="true" outlineLevel="0" collapsed="false">
      <c r="A9" s="10"/>
      <c r="B9" s="11"/>
      <c r="C9" s="11"/>
      <c r="D9" s="11"/>
      <c r="E9" s="11"/>
      <c r="F9" s="10"/>
      <c r="G9" s="16" t="s">
        <v>5</v>
      </c>
      <c r="H9" s="16"/>
      <c r="I9" s="16"/>
      <c r="J9" s="18"/>
      <c r="K9" s="18"/>
      <c r="L9" s="18"/>
      <c r="M9" s="18"/>
      <c r="N9" s="18"/>
      <c r="O9" s="18"/>
      <c r="P9" s="18"/>
      <c r="Q9" s="18"/>
      <c r="R9" s="18"/>
      <c r="S9" s="18"/>
      <c r="T9" s="18"/>
    </row>
    <row r="10" customFormat="false" ht="18" hidden="false" customHeight="true" outlineLevel="0" collapsed="false">
      <c r="A10" s="10"/>
      <c r="B10" s="11"/>
      <c r="C10" s="11"/>
      <c r="D10" s="11"/>
      <c r="E10" s="11"/>
      <c r="F10" s="10"/>
      <c r="G10" s="16" t="s">
        <v>6</v>
      </c>
      <c r="H10" s="16"/>
      <c r="I10" s="16"/>
      <c r="J10" s="13"/>
      <c r="K10" s="13"/>
      <c r="L10" s="13"/>
      <c r="M10" s="13"/>
      <c r="N10" s="13"/>
      <c r="O10" s="13"/>
      <c r="P10" s="13"/>
      <c r="Q10" s="13"/>
      <c r="R10" s="13"/>
      <c r="S10" s="13"/>
      <c r="T10" s="13"/>
    </row>
    <row r="11" customFormat="false" ht="18" hidden="false" customHeight="true" outlineLevel="0" collapsed="false">
      <c r="A11" s="10"/>
      <c r="B11" s="11"/>
      <c r="C11" s="11"/>
      <c r="D11" s="11"/>
      <c r="E11" s="11"/>
      <c r="F11" s="10"/>
      <c r="G11" s="19" t="s">
        <v>7</v>
      </c>
      <c r="H11" s="19"/>
      <c r="I11" s="19"/>
      <c r="J11" s="20"/>
      <c r="K11" s="20"/>
      <c r="L11" s="20"/>
      <c r="M11" s="20"/>
      <c r="N11" s="20"/>
      <c r="O11" s="20"/>
      <c r="P11" s="20"/>
      <c r="Q11" s="20"/>
      <c r="R11" s="20"/>
      <c r="S11" s="20"/>
      <c r="T11" s="20"/>
    </row>
    <row r="12" customFormat="false" ht="18" hidden="false" customHeight="true" outlineLevel="0" collapsed="false">
      <c r="A12" s="10"/>
      <c r="B12" s="11"/>
      <c r="C12" s="11"/>
      <c r="D12" s="11"/>
      <c r="E12" s="11"/>
      <c r="F12" s="10"/>
      <c r="G12" s="21"/>
      <c r="H12" s="21"/>
      <c r="I12" s="21"/>
      <c r="J12" s="22"/>
      <c r="K12" s="23"/>
      <c r="L12" s="23"/>
      <c r="M12" s="23"/>
      <c r="N12" s="23"/>
      <c r="O12" s="23"/>
      <c r="P12" s="23"/>
      <c r="Q12" s="23"/>
      <c r="R12" s="23"/>
      <c r="S12" s="23"/>
      <c r="T12" s="22"/>
    </row>
    <row r="13" customFormat="false" ht="18" hidden="false" customHeight="true" outlineLevel="0" collapsed="false">
      <c r="A13" s="10"/>
      <c r="B13" s="11"/>
      <c r="C13" s="11"/>
      <c r="D13" s="11"/>
      <c r="E13" s="11"/>
      <c r="F13" s="10"/>
      <c r="G13" s="24" t="s">
        <v>8</v>
      </c>
      <c r="H13" s="24"/>
      <c r="I13" s="24"/>
      <c r="J13" s="24"/>
      <c r="K13" s="24"/>
      <c r="L13" s="24"/>
      <c r="M13" s="24"/>
      <c r="N13" s="24"/>
      <c r="O13" s="24"/>
      <c r="P13" s="24"/>
      <c r="Q13" s="24"/>
      <c r="R13" s="24"/>
      <c r="S13" s="24"/>
      <c r="T13" s="24"/>
    </row>
    <row r="14" customFormat="false" ht="18" hidden="false" customHeight="true" outlineLevel="0" collapsed="false">
      <c r="A14" s="10"/>
      <c r="B14" s="11"/>
      <c r="C14" s="11"/>
      <c r="D14" s="11"/>
      <c r="E14" s="11"/>
      <c r="F14" s="10"/>
      <c r="G14" s="12" t="s">
        <v>9</v>
      </c>
      <c r="H14" s="12"/>
      <c r="I14" s="12"/>
      <c r="J14" s="25"/>
      <c r="K14" s="25"/>
      <c r="L14" s="25"/>
      <c r="M14" s="25"/>
      <c r="N14" s="25"/>
      <c r="O14" s="25"/>
      <c r="P14" s="25"/>
      <c r="Q14" s="25"/>
      <c r="R14" s="25"/>
      <c r="S14" s="25"/>
      <c r="T14" s="25"/>
    </row>
    <row r="15" customFormat="false" ht="18" hidden="false" customHeight="true" outlineLevel="0" collapsed="false">
      <c r="A15" s="10"/>
      <c r="B15" s="11"/>
      <c r="C15" s="11"/>
      <c r="D15" s="11"/>
      <c r="E15" s="11"/>
      <c r="F15" s="10"/>
      <c r="G15" s="19" t="s">
        <v>10</v>
      </c>
      <c r="H15" s="19"/>
      <c r="I15" s="19"/>
      <c r="J15" s="26"/>
      <c r="K15" s="26"/>
      <c r="L15" s="26"/>
      <c r="M15" s="26"/>
      <c r="N15" s="26"/>
      <c r="O15" s="26"/>
      <c r="P15" s="26"/>
      <c r="Q15" s="26"/>
      <c r="R15" s="26"/>
      <c r="S15" s="26"/>
      <c r="T15" s="26"/>
      <c r="AD15" s="27"/>
      <c r="AE15" s="27"/>
      <c r="AF15" s="27"/>
      <c r="AG15" s="27"/>
      <c r="AH15" s="27"/>
      <c r="AI15" s="27"/>
      <c r="AJ15" s="27"/>
      <c r="AK15" s="27"/>
      <c r="AL15" s="27"/>
      <c r="AM15" s="27"/>
      <c r="AN15" s="27"/>
      <c r="AO15" s="27"/>
      <c r="AP15" s="27"/>
      <c r="AQ15" s="27"/>
      <c r="AR15" s="27"/>
      <c r="AS15" s="27"/>
      <c r="AT15" s="27"/>
      <c r="AU15" s="27"/>
      <c r="AV15" s="27"/>
      <c r="AW15" s="27"/>
      <c r="AX15" s="27"/>
      <c r="AY15" s="27"/>
      <c r="AZ15" s="27"/>
    </row>
    <row r="16" customFormat="false" ht="18" hidden="false" customHeight="true" outlineLevel="0" collapsed="false">
      <c r="A16" s="10"/>
      <c r="B16" s="11"/>
      <c r="C16" s="11"/>
      <c r="D16" s="11"/>
      <c r="E16" s="11"/>
      <c r="F16" s="10"/>
      <c r="G16" s="21"/>
      <c r="H16" s="21"/>
      <c r="I16" s="21"/>
      <c r="J16" s="22"/>
      <c r="K16" s="23"/>
      <c r="L16" s="23"/>
      <c r="M16" s="23"/>
      <c r="N16" s="23"/>
      <c r="O16" s="23"/>
      <c r="P16" s="23"/>
      <c r="Q16" s="23"/>
      <c r="R16" s="23"/>
      <c r="S16" s="23"/>
      <c r="T16" s="22"/>
      <c r="AD16" s="28"/>
      <c r="AE16" s="29"/>
      <c r="AF16" s="29"/>
      <c r="AG16" s="29"/>
      <c r="AH16" s="29"/>
      <c r="AI16" s="29"/>
      <c r="AJ16" s="29"/>
      <c r="AK16" s="29"/>
      <c r="AL16" s="29"/>
      <c r="AM16" s="29"/>
      <c r="AN16" s="29"/>
      <c r="AO16" s="29"/>
      <c r="AP16" s="29"/>
      <c r="AQ16" s="29"/>
      <c r="AR16" s="29"/>
      <c r="AS16" s="29"/>
      <c r="AT16" s="29"/>
      <c r="AU16" s="29"/>
      <c r="AV16" s="29"/>
      <c r="AW16" s="29"/>
      <c r="AX16" s="29"/>
      <c r="AY16" s="29"/>
      <c r="AZ16" s="29"/>
    </row>
    <row r="17" customFormat="false" ht="18" hidden="false" customHeight="true" outlineLevel="0" collapsed="false">
      <c r="A17" s="10"/>
      <c r="B17" s="30"/>
      <c r="C17" s="30"/>
      <c r="D17" s="30"/>
      <c r="E17" s="30"/>
      <c r="F17" s="10"/>
      <c r="G17" s="31" t="s">
        <v>11</v>
      </c>
      <c r="H17" s="31"/>
      <c r="I17" s="31"/>
      <c r="J17" s="31"/>
      <c r="K17" s="31"/>
      <c r="L17" s="31"/>
      <c r="M17" s="31"/>
      <c r="N17" s="31"/>
      <c r="O17" s="31"/>
      <c r="P17" s="31"/>
      <c r="Q17" s="31"/>
      <c r="R17" s="31"/>
      <c r="S17" s="31"/>
      <c r="T17" s="31"/>
      <c r="U17" s="31"/>
      <c r="V17" s="31"/>
      <c r="W17" s="31"/>
      <c r="X17" s="31"/>
      <c r="Y17" s="31"/>
      <c r="Z17" s="31"/>
      <c r="AA17" s="31"/>
      <c r="AB17" s="31"/>
      <c r="AD17" s="28"/>
      <c r="AE17" s="29"/>
      <c r="AF17" s="29"/>
      <c r="AG17" s="29"/>
      <c r="AH17" s="29"/>
      <c r="AI17" s="29"/>
      <c r="AJ17" s="29"/>
      <c r="AK17" s="29"/>
      <c r="AL17" s="29"/>
      <c r="AM17" s="29"/>
      <c r="AN17" s="29"/>
      <c r="AO17" s="29"/>
      <c r="AP17" s="29"/>
      <c r="AQ17" s="29"/>
      <c r="AR17" s="29"/>
      <c r="AS17" s="29"/>
      <c r="AT17" s="29"/>
      <c r="AU17" s="29"/>
      <c r="AV17" s="29"/>
      <c r="AW17" s="29"/>
      <c r="AX17" s="29"/>
      <c r="AY17" s="29"/>
      <c r="AZ17" s="29"/>
    </row>
    <row r="18" customFormat="false" ht="18" hidden="false" customHeight="true" outlineLevel="0" collapsed="false">
      <c r="A18" s="10"/>
      <c r="B18" s="8" t="s">
        <v>12</v>
      </c>
      <c r="C18" s="8"/>
      <c r="D18" s="8"/>
      <c r="E18" s="8"/>
      <c r="F18" s="10"/>
      <c r="G18" s="32" t="s">
        <v>13</v>
      </c>
      <c r="H18" s="32"/>
      <c r="I18" s="32"/>
      <c r="J18" s="32" t="s">
        <v>14</v>
      </c>
      <c r="K18" s="32"/>
      <c r="L18" s="32"/>
      <c r="M18" s="32"/>
      <c r="N18" s="32"/>
      <c r="O18" s="32"/>
      <c r="P18" s="32"/>
      <c r="Q18" s="32"/>
      <c r="R18" s="32"/>
      <c r="S18" s="32"/>
      <c r="T18" s="33" t="s">
        <v>15</v>
      </c>
      <c r="U18" s="34"/>
      <c r="V18" s="35"/>
      <c r="W18" s="35"/>
      <c r="X18" s="35"/>
      <c r="Y18" s="35"/>
      <c r="Z18" s="35"/>
      <c r="AA18" s="35"/>
      <c r="AB18" s="36"/>
      <c r="AD18" s="28"/>
      <c r="AE18" s="29"/>
      <c r="AF18" s="29"/>
      <c r="AG18" s="29"/>
      <c r="AH18" s="29"/>
      <c r="AI18" s="29"/>
      <c r="AJ18" s="29"/>
      <c r="AK18" s="29"/>
      <c r="AL18" s="29"/>
      <c r="AM18" s="29"/>
      <c r="AN18" s="29"/>
      <c r="AO18" s="29"/>
      <c r="AP18" s="29"/>
      <c r="AQ18" s="29"/>
      <c r="AR18" s="29"/>
      <c r="AS18" s="29"/>
      <c r="AT18" s="29"/>
      <c r="AU18" s="29"/>
      <c r="AV18" s="29"/>
      <c r="AW18" s="29"/>
      <c r="AX18" s="29"/>
      <c r="AY18" s="29"/>
      <c r="AZ18" s="29"/>
    </row>
    <row r="19" customFormat="false" ht="18" hidden="false" customHeight="true" outlineLevel="0" collapsed="false">
      <c r="A19" s="10"/>
      <c r="B19" s="37"/>
      <c r="C19" s="38"/>
      <c r="D19" s="38"/>
      <c r="E19" s="39"/>
      <c r="F19" s="10"/>
      <c r="G19" s="16" t="s">
        <v>16</v>
      </c>
      <c r="H19" s="16"/>
      <c r="I19" s="16"/>
      <c r="J19" s="40"/>
      <c r="K19" s="40"/>
      <c r="L19" s="40"/>
      <c r="M19" s="40"/>
      <c r="N19" s="40"/>
      <c r="O19" s="40"/>
      <c r="P19" s="40"/>
      <c r="Q19" s="40"/>
      <c r="R19" s="40"/>
      <c r="S19" s="40"/>
      <c r="T19" s="15"/>
      <c r="U19" s="41"/>
      <c r="V19" s="42"/>
      <c r="W19" s="42"/>
      <c r="X19" s="42"/>
      <c r="Y19" s="42"/>
      <c r="Z19" s="42"/>
      <c r="AA19" s="42"/>
      <c r="AB19" s="43"/>
    </row>
    <row r="20" customFormat="false" ht="18" hidden="false" customHeight="true" outlineLevel="0" collapsed="false">
      <c r="A20" s="10"/>
      <c r="B20" s="44"/>
      <c r="C20" s="45"/>
      <c r="D20" s="45"/>
      <c r="E20" s="46"/>
      <c r="F20" s="10"/>
      <c r="G20" s="16" t="s">
        <v>17</v>
      </c>
      <c r="H20" s="16"/>
      <c r="I20" s="16"/>
      <c r="J20" s="47"/>
      <c r="K20" s="47"/>
      <c r="L20" s="47"/>
      <c r="M20" s="47"/>
      <c r="N20" s="47"/>
      <c r="O20" s="47"/>
      <c r="P20" s="47"/>
      <c r="Q20" s="47"/>
      <c r="R20" s="47"/>
      <c r="S20" s="47"/>
      <c r="T20" s="15"/>
      <c r="U20" s="41"/>
      <c r="V20" s="42"/>
      <c r="W20" s="42"/>
      <c r="X20" s="42"/>
      <c r="Y20" s="42"/>
      <c r="Z20" s="42"/>
      <c r="AA20" s="42"/>
      <c r="AB20" s="43"/>
    </row>
    <row r="21" customFormat="false" ht="18" hidden="false" customHeight="true" outlineLevel="0" collapsed="false">
      <c r="A21" s="10"/>
      <c r="B21" s="44"/>
      <c r="C21" s="45"/>
      <c r="D21" s="45"/>
      <c r="E21" s="46"/>
      <c r="F21" s="10"/>
      <c r="G21" s="16" t="s">
        <v>18</v>
      </c>
      <c r="H21" s="16"/>
      <c r="I21" s="16"/>
      <c r="J21" s="47"/>
      <c r="K21" s="47"/>
      <c r="L21" s="47"/>
      <c r="M21" s="47"/>
      <c r="N21" s="47"/>
      <c r="O21" s="47"/>
      <c r="P21" s="47"/>
      <c r="Q21" s="47"/>
      <c r="R21" s="47"/>
      <c r="S21" s="47"/>
      <c r="T21" s="15"/>
      <c r="U21" s="41"/>
      <c r="V21" s="42"/>
      <c r="W21" s="42"/>
      <c r="X21" s="42"/>
      <c r="Y21" s="42"/>
      <c r="Z21" s="42"/>
      <c r="AA21" s="42"/>
      <c r="AB21" s="43"/>
    </row>
    <row r="22" customFormat="false" ht="18" hidden="false" customHeight="true" outlineLevel="0" collapsed="false">
      <c r="A22" s="10"/>
      <c r="B22" s="44"/>
      <c r="C22" s="45"/>
      <c r="D22" s="45"/>
      <c r="E22" s="46"/>
      <c r="F22" s="10"/>
      <c r="G22" s="16" t="s">
        <v>19</v>
      </c>
      <c r="H22" s="16"/>
      <c r="I22" s="16"/>
      <c r="J22" s="47"/>
      <c r="K22" s="47"/>
      <c r="L22" s="47"/>
      <c r="M22" s="47"/>
      <c r="N22" s="47"/>
      <c r="O22" s="47"/>
      <c r="P22" s="47"/>
      <c r="Q22" s="47"/>
      <c r="R22" s="47"/>
      <c r="S22" s="47"/>
      <c r="T22" s="15"/>
      <c r="U22" s="41"/>
      <c r="V22" s="42"/>
      <c r="W22" s="42"/>
      <c r="X22" s="42"/>
      <c r="Y22" s="42"/>
      <c r="Z22" s="42"/>
      <c r="AA22" s="42"/>
      <c r="AB22" s="43"/>
    </row>
    <row r="23" customFormat="false" ht="18" hidden="false" customHeight="true" outlineLevel="0" collapsed="false">
      <c r="A23" s="10"/>
      <c r="B23" s="48"/>
      <c r="C23" s="49"/>
      <c r="D23" s="49"/>
      <c r="E23" s="50"/>
      <c r="F23" s="10"/>
      <c r="G23" s="16" t="s">
        <v>20</v>
      </c>
      <c r="H23" s="16"/>
      <c r="I23" s="16"/>
      <c r="J23" s="47"/>
      <c r="K23" s="47"/>
      <c r="L23" s="47"/>
      <c r="M23" s="47"/>
      <c r="N23" s="47"/>
      <c r="O23" s="47"/>
      <c r="P23" s="47"/>
      <c r="Q23" s="47"/>
      <c r="R23" s="47"/>
      <c r="S23" s="47"/>
      <c r="T23" s="15"/>
      <c r="U23" s="41"/>
      <c r="V23" s="42"/>
      <c r="W23" s="42"/>
      <c r="X23" s="42"/>
      <c r="Y23" s="42"/>
      <c r="Z23" s="42"/>
      <c r="AA23" s="42"/>
      <c r="AB23" s="43"/>
    </row>
    <row r="24" customFormat="false" ht="18" hidden="false" customHeight="true" outlineLevel="0" collapsed="false">
      <c r="A24" s="10"/>
      <c r="F24" s="10"/>
      <c r="G24" s="19" t="s">
        <v>21</v>
      </c>
      <c r="H24" s="19"/>
      <c r="I24" s="19"/>
      <c r="J24" s="51"/>
      <c r="K24" s="51"/>
      <c r="L24" s="51"/>
      <c r="M24" s="51"/>
      <c r="N24" s="51"/>
      <c r="O24" s="51"/>
      <c r="P24" s="51"/>
      <c r="Q24" s="51"/>
      <c r="R24" s="51"/>
      <c r="S24" s="51"/>
      <c r="T24" s="52"/>
      <c r="U24" s="53"/>
      <c r="V24" s="54"/>
      <c r="W24" s="54"/>
      <c r="X24" s="54"/>
      <c r="Y24" s="54"/>
      <c r="Z24" s="54"/>
      <c r="AA24" s="54"/>
      <c r="AB24" s="55"/>
    </row>
    <row r="25" customFormat="false" ht="18" hidden="false" customHeight="true" outlineLevel="0" collapsed="false">
      <c r="A25" s="3"/>
      <c r="B25" s="56"/>
      <c r="C25" s="56"/>
      <c r="D25" s="56"/>
      <c r="E25" s="56"/>
      <c r="F25" s="3"/>
      <c r="G25" s="3"/>
      <c r="H25" s="3"/>
      <c r="I25" s="3"/>
      <c r="K25" s="3"/>
      <c r="L25" s="3"/>
      <c r="M25" s="3"/>
      <c r="N25" s="3"/>
      <c r="O25" s="3"/>
      <c r="P25" s="3"/>
      <c r="Q25" s="3"/>
      <c r="R25" s="3"/>
      <c r="S25" s="3"/>
    </row>
    <row r="26" customFormat="false" ht="18" hidden="false" customHeight="true" outlineLevel="0" collapsed="false">
      <c r="A26" s="3"/>
      <c r="B26" s="56"/>
      <c r="C26" s="56"/>
      <c r="D26" s="56"/>
      <c r="E26" s="56"/>
      <c r="F26" s="3"/>
      <c r="G26" s="57" t="s">
        <v>22</v>
      </c>
      <c r="H26" s="57"/>
      <c r="I26" s="57"/>
      <c r="J26" s="57"/>
      <c r="K26" s="57"/>
      <c r="L26" s="58" t="s">
        <v>23</v>
      </c>
      <c r="M26" s="58"/>
      <c r="N26" s="58"/>
      <c r="O26" s="59" t="s">
        <v>24</v>
      </c>
      <c r="P26" s="59"/>
      <c r="Q26" s="59"/>
      <c r="R26" s="59" t="s">
        <v>25</v>
      </c>
      <c r="S26" s="59"/>
      <c r="T26" s="60" t="s">
        <v>26</v>
      </c>
      <c r="U26" s="61"/>
    </row>
    <row r="27" customFormat="false" ht="18" hidden="false" customHeight="true" outlineLevel="0" collapsed="false">
      <c r="A27" s="3"/>
      <c r="B27" s="56"/>
      <c r="C27" s="56"/>
      <c r="D27" s="56"/>
      <c r="E27" s="56"/>
      <c r="F27" s="3"/>
      <c r="G27" s="62"/>
      <c r="H27" s="62"/>
      <c r="I27" s="62"/>
      <c r="J27" s="62"/>
      <c r="K27" s="62"/>
      <c r="L27" s="63" t="e">
        <f aca="false">_xlfn.xlookup(G27,O36:O289,P36:P289, "")</f>
        <v>#NAME?</v>
      </c>
      <c r="M27" s="63"/>
      <c r="N27" s="63"/>
      <c r="O27" s="63" t="e">
        <f aca="false">_xlfn.xlookup(G27,O36:O289,Q36:Q289, "")</f>
        <v>#NAME?</v>
      </c>
      <c r="P27" s="63"/>
      <c r="Q27" s="63"/>
      <c r="R27" s="63" t="e">
        <f aca="false">_xlfn.xlookup(G27,O36:O289,S36:S289, "")</f>
        <v>#NAME?</v>
      </c>
      <c r="S27" s="63"/>
      <c r="T27" s="64" t="e">
        <f aca="false">_xlfn.xlookup(G27,O36:O289,R36:R289, "")</f>
        <v>#NAME?</v>
      </c>
    </row>
    <row r="28" customFormat="false" ht="18" hidden="false" customHeight="true" outlineLevel="0" collapsed="false">
      <c r="A28" s="3"/>
      <c r="B28" s="3"/>
      <c r="C28" s="3"/>
      <c r="D28" s="3"/>
      <c r="E28" s="3"/>
      <c r="F28" s="3"/>
      <c r="G28" s="65"/>
      <c r="H28" s="65"/>
      <c r="I28" s="65"/>
      <c r="J28" s="65"/>
      <c r="K28" s="65"/>
      <c r="L28" s="65"/>
      <c r="M28" s="65"/>
      <c r="N28" s="65"/>
      <c r="O28" s="65"/>
      <c r="P28" s="65"/>
      <c r="Q28" s="65"/>
      <c r="R28" s="65"/>
      <c r="S28" s="65"/>
    </row>
    <row r="29" customFormat="false" ht="18" hidden="true" customHeight="true" outlineLevel="0" collapsed="false">
      <c r="A29" s="3"/>
      <c r="B29" s="3"/>
      <c r="C29" s="3"/>
      <c r="D29" s="3"/>
      <c r="E29" s="3"/>
      <c r="F29" s="3"/>
      <c r="G29" s="65"/>
      <c r="H29" s="65"/>
      <c r="I29" s="65"/>
      <c r="J29" s="65"/>
      <c r="K29" s="65"/>
      <c r="L29" s="65"/>
      <c r="M29" s="65"/>
      <c r="N29" s="65"/>
      <c r="O29" s="65"/>
      <c r="P29" s="65"/>
      <c r="Q29" s="65"/>
      <c r="R29" s="65"/>
      <c r="S29" s="65"/>
    </row>
    <row r="30" customFormat="false" ht="18" hidden="true" customHeight="true" outlineLevel="0" collapsed="false">
      <c r="A30" s="3"/>
      <c r="B30" s="3"/>
      <c r="C30" s="3"/>
      <c r="D30" s="3"/>
      <c r="E30" s="3"/>
      <c r="F30" s="3"/>
      <c r="G30" s="65"/>
      <c r="H30" s="65"/>
      <c r="I30" s="65"/>
      <c r="J30" s="65"/>
      <c r="K30" s="65"/>
      <c r="L30" s="65"/>
      <c r="M30" s="65"/>
      <c r="N30" s="65"/>
      <c r="O30" s="65"/>
      <c r="P30" s="65"/>
      <c r="Q30" s="65"/>
      <c r="R30" s="65"/>
      <c r="S30" s="65"/>
    </row>
    <row r="31" customFormat="false" ht="18" hidden="true" customHeight="true" outlineLevel="0" collapsed="false">
      <c r="A31" s="3"/>
      <c r="B31" s="3"/>
      <c r="C31" s="3"/>
      <c r="D31" s="3"/>
      <c r="E31" s="3"/>
      <c r="F31" s="3"/>
      <c r="G31" s="65"/>
      <c r="H31" s="65"/>
      <c r="I31" s="65"/>
      <c r="J31" s="65"/>
      <c r="K31" s="65"/>
      <c r="L31" s="65"/>
      <c r="M31" s="65"/>
      <c r="N31" s="65"/>
      <c r="O31" s="65"/>
      <c r="P31" s="65"/>
      <c r="Q31" s="65"/>
      <c r="R31" s="65"/>
      <c r="S31" s="65"/>
    </row>
    <row r="32" customFormat="false" ht="18" hidden="true" customHeight="true" outlineLevel="0" collapsed="false">
      <c r="G32" s="65"/>
      <c r="H32" s="65"/>
      <c r="I32" s="65"/>
      <c r="J32" s="65"/>
      <c r="K32" s="65"/>
      <c r="L32" s="65"/>
      <c r="M32" s="65"/>
      <c r="N32" s="65"/>
      <c r="O32" s="65"/>
      <c r="P32" s="65"/>
      <c r="Q32" s="65"/>
      <c r="R32" s="65"/>
      <c r="S32" s="65"/>
    </row>
    <row r="33" customFormat="false" ht="18" hidden="true" customHeight="true" outlineLevel="0" collapsed="false">
      <c r="G33" s="65"/>
      <c r="H33" s="65"/>
      <c r="I33" s="65"/>
      <c r="J33" s="65"/>
      <c r="K33" s="65"/>
      <c r="L33" s="65"/>
      <c r="M33" s="65"/>
      <c r="N33" s="65"/>
      <c r="O33" s="65"/>
      <c r="P33" s="65"/>
      <c r="Q33" s="65"/>
      <c r="R33" s="65"/>
      <c r="S33" s="65"/>
    </row>
    <row r="34" customFormat="false" ht="18" hidden="true" customHeight="true" outlineLevel="0" collapsed="false">
      <c r="A34" s="6"/>
      <c r="B34" s="6"/>
      <c r="C34" s="6"/>
      <c r="D34" s="6"/>
      <c r="E34" s="6"/>
      <c r="F34" s="6"/>
      <c r="G34" s="6"/>
      <c r="H34" s="6"/>
      <c r="I34" s="6"/>
      <c r="J34" s="6"/>
      <c r="K34" s="6"/>
      <c r="L34" s="6"/>
      <c r="M34" s="6"/>
      <c r="N34" s="6"/>
      <c r="O34" s="6"/>
      <c r="P34" s="6"/>
      <c r="Q34" s="6"/>
      <c r="R34" s="6"/>
      <c r="S34" s="6"/>
      <c r="T34" s="6"/>
    </row>
    <row r="35" customFormat="false" ht="18" hidden="true" customHeight="true" outlineLevel="0" collapsed="false">
      <c r="O35" s="66" t="s">
        <v>27</v>
      </c>
      <c r="P35" s="66" t="s">
        <v>28</v>
      </c>
      <c r="Q35" s="66" t="s">
        <v>29</v>
      </c>
      <c r="R35" s="66" t="s">
        <v>30</v>
      </c>
      <c r="S35" s="66" t="s">
        <v>31</v>
      </c>
    </row>
    <row r="36" customFormat="false" ht="18" hidden="true" customHeight="true" outlineLevel="0" collapsed="false">
      <c r="O36" s="67" t="s">
        <v>32</v>
      </c>
      <c r="P36" s="67" t="s">
        <v>33</v>
      </c>
      <c r="Q36" s="67" t="s">
        <v>34</v>
      </c>
      <c r="R36" s="67" t="s">
        <v>35</v>
      </c>
      <c r="S36" s="67" t="n">
        <v>100</v>
      </c>
    </row>
    <row r="37" customFormat="false" ht="18" hidden="true" customHeight="true" outlineLevel="0" collapsed="false">
      <c r="O37" s="67" t="s">
        <v>36</v>
      </c>
      <c r="P37" s="67" t="s">
        <v>37</v>
      </c>
      <c r="Q37" s="67"/>
      <c r="R37" s="67" t="s">
        <v>38</v>
      </c>
      <c r="S37" s="67" t="n">
        <v>39</v>
      </c>
    </row>
    <row r="38" customFormat="false" ht="18" hidden="true" customHeight="true" outlineLevel="0" collapsed="false">
      <c r="O38" s="67" t="s">
        <v>39</v>
      </c>
      <c r="P38" s="67" t="s">
        <v>40</v>
      </c>
      <c r="Q38" s="67" t="s">
        <v>41</v>
      </c>
      <c r="R38" s="67" t="s">
        <v>42</v>
      </c>
      <c r="S38" s="67" t="n">
        <v>65</v>
      </c>
    </row>
    <row r="39" customFormat="false" ht="18" hidden="true" customHeight="true" outlineLevel="0" collapsed="false">
      <c r="O39" s="67" t="s">
        <v>43</v>
      </c>
      <c r="P39" s="67" t="s">
        <v>44</v>
      </c>
      <c r="Q39" s="67" t="s">
        <v>45</v>
      </c>
      <c r="R39" s="67" t="s">
        <v>42</v>
      </c>
      <c r="S39" s="67" t="n">
        <v>80</v>
      </c>
    </row>
    <row r="40" customFormat="false" ht="18" hidden="true" customHeight="true" outlineLevel="0" collapsed="false">
      <c r="O40" s="67" t="s">
        <v>46</v>
      </c>
      <c r="P40" s="67" t="s">
        <v>47</v>
      </c>
      <c r="Q40" s="67" t="s">
        <v>48</v>
      </c>
      <c r="R40" s="67" t="s">
        <v>38</v>
      </c>
      <c r="S40" s="67" t="n">
        <v>41</v>
      </c>
    </row>
    <row r="41" customFormat="false" ht="18" hidden="true" customHeight="true" outlineLevel="0" collapsed="false">
      <c r="O41" s="67" t="s">
        <v>49</v>
      </c>
      <c r="P41" s="67" t="s">
        <v>50</v>
      </c>
      <c r="Q41" s="67" t="s">
        <v>51</v>
      </c>
      <c r="R41" s="67" t="s">
        <v>38</v>
      </c>
      <c r="S41" s="67" t="n">
        <v>40</v>
      </c>
    </row>
    <row r="42" customFormat="false" ht="18" hidden="true" customHeight="true" outlineLevel="0" collapsed="false">
      <c r="O42" s="67" t="s">
        <v>52</v>
      </c>
      <c r="P42" s="67" t="s">
        <v>53</v>
      </c>
      <c r="Q42" s="67" t="s">
        <v>54</v>
      </c>
      <c r="R42" s="67" t="s">
        <v>42</v>
      </c>
      <c r="S42" s="67" t="n">
        <v>80</v>
      </c>
    </row>
    <row r="43" customFormat="false" ht="18" hidden="true" customHeight="true" outlineLevel="0" collapsed="false">
      <c r="O43" s="67" t="s">
        <v>55</v>
      </c>
      <c r="P43" s="67" t="s">
        <v>56</v>
      </c>
      <c r="Q43" s="67" t="s">
        <v>54</v>
      </c>
      <c r="R43" s="67" t="s">
        <v>38</v>
      </c>
      <c r="S43" s="67" t="n">
        <v>50</v>
      </c>
    </row>
    <row r="44" customFormat="false" ht="18" hidden="true" customHeight="true" outlineLevel="0" collapsed="false">
      <c r="O44" s="67" t="s">
        <v>57</v>
      </c>
      <c r="P44" s="67" t="s">
        <v>58</v>
      </c>
      <c r="Q44" s="67" t="s">
        <v>59</v>
      </c>
      <c r="R44" s="67" t="s">
        <v>60</v>
      </c>
      <c r="S44" s="67" t="n">
        <v>30</v>
      </c>
    </row>
    <row r="45" customFormat="false" ht="18" hidden="true" customHeight="true" outlineLevel="0" collapsed="false">
      <c r="O45" s="67" t="s">
        <v>61</v>
      </c>
      <c r="P45" s="67" t="s">
        <v>62</v>
      </c>
      <c r="Q45" s="67" t="s">
        <v>63</v>
      </c>
      <c r="R45" s="67" t="s">
        <v>42</v>
      </c>
      <c r="S45" s="67" t="n">
        <v>61</v>
      </c>
    </row>
    <row r="46" customFormat="false" ht="18" hidden="true" customHeight="true" outlineLevel="0" collapsed="false">
      <c r="O46" s="67" t="s">
        <v>64</v>
      </c>
      <c r="P46" s="67" t="s">
        <v>65</v>
      </c>
      <c r="Q46" s="67" t="s">
        <v>66</v>
      </c>
      <c r="R46" s="67" t="s">
        <v>38</v>
      </c>
      <c r="S46" s="67" t="n">
        <v>51</v>
      </c>
    </row>
    <row r="47" customFormat="false" ht="18" hidden="true" customHeight="true" outlineLevel="0" collapsed="false">
      <c r="O47" s="67" t="s">
        <v>67</v>
      </c>
      <c r="P47" s="67" t="s">
        <v>68</v>
      </c>
      <c r="Q47" s="67" t="s">
        <v>69</v>
      </c>
      <c r="R47" s="67" t="s">
        <v>38</v>
      </c>
      <c r="S47" s="67" t="n">
        <v>50</v>
      </c>
    </row>
    <row r="48" customFormat="false" ht="18" hidden="true" customHeight="true" outlineLevel="0" collapsed="false">
      <c r="O48" s="67" t="s">
        <v>70</v>
      </c>
      <c r="P48" s="67" t="s">
        <v>71</v>
      </c>
      <c r="Q48" s="67" t="s">
        <v>72</v>
      </c>
      <c r="R48" s="67" t="s">
        <v>38</v>
      </c>
      <c r="S48" s="67" t="n">
        <v>45</v>
      </c>
    </row>
    <row r="49" customFormat="false" ht="18" hidden="true" customHeight="true" outlineLevel="0" collapsed="false">
      <c r="O49" s="67" t="s">
        <v>73</v>
      </c>
      <c r="P49" s="67" t="s">
        <v>74</v>
      </c>
      <c r="Q49" s="67" t="s">
        <v>72</v>
      </c>
      <c r="R49" s="67" t="s">
        <v>60</v>
      </c>
      <c r="S49" s="67" t="n">
        <v>27</v>
      </c>
    </row>
    <row r="50" customFormat="false" ht="18" hidden="true" customHeight="true" outlineLevel="0" collapsed="false">
      <c r="O50" s="67" t="s">
        <v>75</v>
      </c>
      <c r="P50" s="67" t="s">
        <v>76</v>
      </c>
      <c r="Q50" s="67" t="s">
        <v>77</v>
      </c>
      <c r="R50" s="67" t="s">
        <v>60</v>
      </c>
      <c r="S50" s="67" t="n">
        <v>30</v>
      </c>
    </row>
    <row r="51" customFormat="false" ht="18" hidden="true" customHeight="true" outlineLevel="0" collapsed="false">
      <c r="O51" s="67" t="s">
        <v>78</v>
      </c>
      <c r="P51" s="67" t="s">
        <v>79</v>
      </c>
      <c r="Q51" s="67" t="s">
        <v>80</v>
      </c>
      <c r="R51" s="67" t="s">
        <v>38</v>
      </c>
      <c r="S51" s="67" t="n">
        <v>53</v>
      </c>
    </row>
    <row r="52" customFormat="false" ht="18" hidden="true" customHeight="true" outlineLevel="0" collapsed="false">
      <c r="O52" s="67" t="s">
        <v>81</v>
      </c>
      <c r="P52" s="67" t="s">
        <v>82</v>
      </c>
      <c r="Q52" s="67" t="s">
        <v>83</v>
      </c>
      <c r="R52" s="67" t="s">
        <v>42</v>
      </c>
      <c r="S52" s="67" t="n">
        <v>80</v>
      </c>
    </row>
    <row r="53" customFormat="false" ht="18" hidden="true" customHeight="true" outlineLevel="0" collapsed="false">
      <c r="O53" s="67" t="s">
        <v>84</v>
      </c>
      <c r="P53" s="67" t="s">
        <v>85</v>
      </c>
      <c r="Q53" s="67" t="s">
        <v>86</v>
      </c>
      <c r="R53" s="67" t="s">
        <v>38</v>
      </c>
      <c r="S53" s="67" t="n">
        <v>48</v>
      </c>
    </row>
    <row r="54" customFormat="false" ht="18" hidden="true" customHeight="true" outlineLevel="0" collapsed="false">
      <c r="O54" s="67" t="s">
        <v>87</v>
      </c>
      <c r="P54" s="67" t="s">
        <v>88</v>
      </c>
      <c r="Q54" s="67" t="s">
        <v>89</v>
      </c>
      <c r="R54" s="67" t="s">
        <v>42</v>
      </c>
      <c r="S54" s="67" t="n">
        <v>72</v>
      </c>
    </row>
    <row r="55" customFormat="false" ht="18" hidden="true" customHeight="true" outlineLevel="0" collapsed="false">
      <c r="O55" s="67" t="s">
        <v>90</v>
      </c>
      <c r="P55" s="67" t="s">
        <v>91</v>
      </c>
      <c r="Q55" s="67" t="s">
        <v>92</v>
      </c>
      <c r="R55" s="67" t="s">
        <v>38</v>
      </c>
      <c r="S55" s="67" t="n">
        <v>51</v>
      </c>
    </row>
    <row r="56" customFormat="false" ht="18" hidden="true" customHeight="true" outlineLevel="0" collapsed="false">
      <c r="O56" s="67" t="s">
        <v>93</v>
      </c>
      <c r="P56" s="67" t="s">
        <v>94</v>
      </c>
      <c r="Q56" s="67" t="s">
        <v>95</v>
      </c>
      <c r="R56" s="67" t="s">
        <v>42</v>
      </c>
      <c r="S56" s="67" t="n">
        <v>73</v>
      </c>
    </row>
    <row r="57" customFormat="false" ht="18" hidden="true" customHeight="true" outlineLevel="0" collapsed="false">
      <c r="O57" s="67" t="s">
        <v>96</v>
      </c>
      <c r="P57" s="67" t="s">
        <v>97</v>
      </c>
      <c r="Q57" s="67" t="s">
        <v>98</v>
      </c>
      <c r="R57" s="67" t="s">
        <v>60</v>
      </c>
      <c r="S57" s="67" t="n">
        <v>30</v>
      </c>
    </row>
    <row r="58" customFormat="false" ht="18" hidden="true" customHeight="true" outlineLevel="0" collapsed="false">
      <c r="O58" s="67" t="s">
        <v>99</v>
      </c>
      <c r="P58" s="67" t="s">
        <v>100</v>
      </c>
      <c r="Q58" s="67" t="s">
        <v>101</v>
      </c>
      <c r="R58" s="67" t="s">
        <v>42</v>
      </c>
      <c r="S58" s="67" t="n">
        <v>80</v>
      </c>
    </row>
    <row r="59" customFormat="false" ht="18" hidden="true" customHeight="true" outlineLevel="0" collapsed="false">
      <c r="O59" s="67" t="s">
        <v>102</v>
      </c>
      <c r="P59" s="67" t="s">
        <v>103</v>
      </c>
      <c r="Q59" s="67" t="s">
        <v>104</v>
      </c>
      <c r="R59" s="67" t="s">
        <v>42</v>
      </c>
      <c r="S59" s="67" t="n">
        <v>62</v>
      </c>
    </row>
    <row r="60" customFormat="false" ht="18" hidden="true" customHeight="true" outlineLevel="0" collapsed="false">
      <c r="O60" s="67" t="s">
        <v>105</v>
      </c>
      <c r="P60" s="67" t="s">
        <v>106</v>
      </c>
      <c r="Q60" s="67" t="s">
        <v>107</v>
      </c>
      <c r="R60" s="67" t="s">
        <v>38</v>
      </c>
      <c r="S60" s="67" t="n">
        <v>48</v>
      </c>
    </row>
    <row r="61" customFormat="false" ht="18" hidden="true" customHeight="true" outlineLevel="0" collapsed="false">
      <c r="O61" s="67" t="s">
        <v>108</v>
      </c>
      <c r="P61" s="67" t="s">
        <v>109</v>
      </c>
      <c r="Q61" s="67" t="s">
        <v>110</v>
      </c>
      <c r="R61" s="67" t="s">
        <v>38</v>
      </c>
      <c r="S61" s="67" t="n">
        <v>40</v>
      </c>
    </row>
    <row r="62" customFormat="false" ht="18" hidden="true" customHeight="true" outlineLevel="0" collapsed="false">
      <c r="O62" s="67" t="s">
        <v>111</v>
      </c>
      <c r="P62" s="67" t="s">
        <v>112</v>
      </c>
      <c r="Q62" s="67" t="s">
        <v>113</v>
      </c>
      <c r="R62" s="67" t="s">
        <v>42</v>
      </c>
      <c r="S62" s="67" t="n">
        <v>80</v>
      </c>
    </row>
    <row r="63" customFormat="false" ht="18" hidden="true" customHeight="true" outlineLevel="0" collapsed="false">
      <c r="O63" s="67" t="s">
        <v>114</v>
      </c>
      <c r="P63" s="67" t="s">
        <v>115</v>
      </c>
      <c r="Q63" s="67"/>
      <c r="R63" s="67" t="s">
        <v>38</v>
      </c>
      <c r="S63" s="67" t="n">
        <v>38</v>
      </c>
    </row>
    <row r="64" customFormat="false" ht="18" hidden="true" customHeight="true" outlineLevel="0" collapsed="false">
      <c r="O64" s="67" t="s">
        <v>116</v>
      </c>
      <c r="P64" s="67" t="s">
        <v>117</v>
      </c>
      <c r="Q64" s="67" t="s">
        <v>118</v>
      </c>
      <c r="R64" s="67" t="s">
        <v>42</v>
      </c>
      <c r="S64" s="67" t="n">
        <v>64</v>
      </c>
    </row>
    <row r="65" customFormat="false" ht="18" hidden="true" customHeight="true" outlineLevel="0" collapsed="false">
      <c r="O65" s="67" t="s">
        <v>119</v>
      </c>
      <c r="P65" s="67" t="s">
        <v>120</v>
      </c>
      <c r="Q65" s="67" t="s">
        <v>121</v>
      </c>
      <c r="R65" s="67" t="s">
        <v>38</v>
      </c>
      <c r="S65" s="67" t="n">
        <v>39</v>
      </c>
    </row>
    <row r="66" customFormat="false" ht="18" hidden="true" customHeight="true" outlineLevel="0" collapsed="false">
      <c r="O66" s="67" t="s">
        <v>122</v>
      </c>
      <c r="P66" s="67" t="s">
        <v>123</v>
      </c>
      <c r="Q66" s="67" t="s">
        <v>124</v>
      </c>
      <c r="R66" s="67" t="s">
        <v>60</v>
      </c>
      <c r="S66" s="67" t="n">
        <v>30</v>
      </c>
    </row>
    <row r="67" customFormat="false" ht="18" hidden="true" customHeight="true" outlineLevel="0" collapsed="false">
      <c r="O67" s="67" t="s">
        <v>125</v>
      </c>
      <c r="P67" s="67" t="s">
        <v>126</v>
      </c>
      <c r="Q67" s="67"/>
      <c r="R67" s="67" t="s">
        <v>38</v>
      </c>
      <c r="S67" s="67" t="n">
        <v>37</v>
      </c>
    </row>
    <row r="68" customFormat="false" ht="18" hidden="true" customHeight="true" outlineLevel="0" collapsed="false">
      <c r="O68" s="67" t="s">
        <v>127</v>
      </c>
      <c r="P68" s="67" t="s">
        <v>128</v>
      </c>
      <c r="Q68" s="67" t="s">
        <v>129</v>
      </c>
      <c r="R68" s="67" t="s">
        <v>38</v>
      </c>
      <c r="S68" s="67" t="n">
        <v>54</v>
      </c>
    </row>
    <row r="69" customFormat="false" ht="18" hidden="true" customHeight="true" outlineLevel="0" collapsed="false">
      <c r="O69" s="67" t="s">
        <v>130</v>
      </c>
      <c r="P69" s="67" t="s">
        <v>131</v>
      </c>
      <c r="Q69" s="67" t="s">
        <v>132</v>
      </c>
      <c r="R69" s="67" t="s">
        <v>38</v>
      </c>
      <c r="S69" s="67" t="n">
        <v>46</v>
      </c>
    </row>
    <row r="70" customFormat="false" ht="18" hidden="true" customHeight="true" outlineLevel="0" collapsed="false">
      <c r="O70" s="67" t="s">
        <v>133</v>
      </c>
      <c r="P70" s="67" t="s">
        <v>134</v>
      </c>
      <c r="Q70" s="67" t="s">
        <v>135</v>
      </c>
      <c r="R70" s="67" t="s">
        <v>38</v>
      </c>
      <c r="S70" s="67" t="n">
        <v>38</v>
      </c>
    </row>
    <row r="71" customFormat="false" ht="18" hidden="true" customHeight="true" outlineLevel="0" collapsed="false">
      <c r="O71" s="67" t="s">
        <v>136</v>
      </c>
      <c r="P71" s="67" t="s">
        <v>137</v>
      </c>
      <c r="Q71" s="67" t="s">
        <v>138</v>
      </c>
      <c r="R71" s="67" t="s">
        <v>42</v>
      </c>
      <c r="S71" s="67" t="n">
        <v>73</v>
      </c>
    </row>
    <row r="72" customFormat="false" ht="18" hidden="true" customHeight="true" outlineLevel="0" collapsed="false">
      <c r="O72" s="67" t="s">
        <v>139</v>
      </c>
      <c r="P72" s="67" t="s">
        <v>140</v>
      </c>
      <c r="Q72" s="67" t="s">
        <v>141</v>
      </c>
      <c r="R72" s="67" t="s">
        <v>42</v>
      </c>
      <c r="S72" s="67" t="n">
        <v>66</v>
      </c>
    </row>
    <row r="73" customFormat="false" ht="18" hidden="true" customHeight="true" outlineLevel="0" collapsed="false">
      <c r="O73" s="67" t="s">
        <v>142</v>
      </c>
      <c r="P73" s="67" t="s">
        <v>143</v>
      </c>
      <c r="Q73" s="67" t="s">
        <v>144</v>
      </c>
      <c r="R73" s="67" t="s">
        <v>42</v>
      </c>
      <c r="S73" s="67" t="n">
        <v>80</v>
      </c>
    </row>
    <row r="74" customFormat="false" ht="18" hidden="true" customHeight="true" outlineLevel="0" collapsed="false">
      <c r="O74" s="67" t="s">
        <v>145</v>
      </c>
      <c r="P74" s="67" t="s">
        <v>146</v>
      </c>
      <c r="Q74" s="67" t="s">
        <v>147</v>
      </c>
      <c r="R74" s="67" t="s">
        <v>42</v>
      </c>
      <c r="S74" s="67" t="n">
        <v>62</v>
      </c>
    </row>
    <row r="75" customFormat="false" ht="18" hidden="true" customHeight="true" outlineLevel="0" collapsed="false">
      <c r="O75" s="67" t="s">
        <v>148</v>
      </c>
      <c r="P75" s="67" t="s">
        <v>149</v>
      </c>
      <c r="Q75" s="67" t="s">
        <v>150</v>
      </c>
      <c r="R75" s="67" t="s">
        <v>60</v>
      </c>
      <c r="S75" s="67" t="n">
        <v>27</v>
      </c>
    </row>
    <row r="76" customFormat="false" ht="18" hidden="true" customHeight="true" outlineLevel="0" collapsed="false">
      <c r="O76" s="67" t="s">
        <v>151</v>
      </c>
      <c r="P76" s="67" t="s">
        <v>152</v>
      </c>
      <c r="Q76" s="67" t="s">
        <v>153</v>
      </c>
      <c r="R76" s="67" t="s">
        <v>38</v>
      </c>
      <c r="S76" s="67" t="n">
        <v>42</v>
      </c>
    </row>
    <row r="77" customFormat="false" ht="18" hidden="true" customHeight="true" outlineLevel="0" collapsed="false">
      <c r="O77" s="67" t="s">
        <v>154</v>
      </c>
      <c r="P77" s="67" t="s">
        <v>155</v>
      </c>
      <c r="Q77" s="67" t="s">
        <v>156</v>
      </c>
      <c r="R77" s="67" t="s">
        <v>42</v>
      </c>
      <c r="S77" s="67" t="n">
        <v>62</v>
      </c>
    </row>
    <row r="78" customFormat="false" ht="18" hidden="true" customHeight="true" outlineLevel="0" collapsed="false">
      <c r="O78" s="67" t="s">
        <v>157</v>
      </c>
      <c r="P78" s="67" t="s">
        <v>158</v>
      </c>
      <c r="Q78" s="67" t="s">
        <v>159</v>
      </c>
      <c r="R78" s="67" t="s">
        <v>42</v>
      </c>
      <c r="S78" s="67" t="n">
        <v>71</v>
      </c>
    </row>
    <row r="79" customFormat="false" ht="18" hidden="true" customHeight="true" outlineLevel="0" collapsed="false">
      <c r="O79" s="67" t="s">
        <v>160</v>
      </c>
      <c r="P79" s="67" t="s">
        <v>161</v>
      </c>
      <c r="Q79" s="67" t="s">
        <v>162</v>
      </c>
      <c r="R79" s="67" t="s">
        <v>42</v>
      </c>
      <c r="S79" s="67" t="n">
        <v>67</v>
      </c>
    </row>
    <row r="80" customFormat="false" ht="18" hidden="true" customHeight="true" outlineLevel="0" collapsed="false">
      <c r="O80" s="67" t="s">
        <v>163</v>
      </c>
      <c r="P80" s="67" t="s">
        <v>164</v>
      </c>
      <c r="Q80" s="67" t="s">
        <v>165</v>
      </c>
      <c r="R80" s="67" t="s">
        <v>38</v>
      </c>
      <c r="S80" s="67" t="n">
        <v>45</v>
      </c>
    </row>
    <row r="81" customFormat="false" ht="18" hidden="true" customHeight="true" outlineLevel="0" collapsed="false">
      <c r="O81" s="67" t="s">
        <v>166</v>
      </c>
      <c r="P81" s="67" t="s">
        <v>167</v>
      </c>
      <c r="Q81" s="67" t="s">
        <v>168</v>
      </c>
      <c r="R81" s="67" t="s">
        <v>38</v>
      </c>
      <c r="S81" s="67" t="n">
        <v>48</v>
      </c>
    </row>
    <row r="82" customFormat="false" ht="18" hidden="true" customHeight="true" outlineLevel="0" collapsed="false">
      <c r="O82" s="67" t="s">
        <v>169</v>
      </c>
      <c r="P82" s="67" t="s">
        <v>170</v>
      </c>
      <c r="Q82" s="67" t="s">
        <v>171</v>
      </c>
      <c r="R82" s="67" t="s">
        <v>38</v>
      </c>
      <c r="S82" s="67" t="n">
        <v>39</v>
      </c>
    </row>
    <row r="83" customFormat="false" ht="18" hidden="true" customHeight="true" outlineLevel="0" collapsed="false">
      <c r="O83" s="67" t="s">
        <v>172</v>
      </c>
      <c r="P83" s="67" t="s">
        <v>173</v>
      </c>
      <c r="Q83" s="67" t="s">
        <v>174</v>
      </c>
      <c r="R83" s="67" t="s">
        <v>38</v>
      </c>
      <c r="S83" s="67" t="n">
        <v>37</v>
      </c>
    </row>
    <row r="84" customFormat="false" ht="18" hidden="true" customHeight="true" outlineLevel="0" collapsed="false">
      <c r="O84" s="67" t="s">
        <v>175</v>
      </c>
      <c r="P84" s="67" t="s">
        <v>176</v>
      </c>
      <c r="Q84" s="67" t="s">
        <v>177</v>
      </c>
      <c r="R84" s="67" t="s">
        <v>42</v>
      </c>
      <c r="S84" s="67" t="n">
        <v>68</v>
      </c>
    </row>
    <row r="85" customFormat="false" ht="18" hidden="true" customHeight="true" outlineLevel="0" collapsed="false">
      <c r="O85" s="67" t="s">
        <v>178</v>
      </c>
      <c r="P85" s="67" t="s">
        <v>179</v>
      </c>
      <c r="Q85" s="67" t="s">
        <v>180</v>
      </c>
      <c r="R85" s="67" t="s">
        <v>38</v>
      </c>
      <c r="S85" s="67" t="n">
        <v>52</v>
      </c>
    </row>
    <row r="86" customFormat="false" ht="18" hidden="true" customHeight="true" outlineLevel="0" collapsed="false">
      <c r="O86" s="67" t="s">
        <v>181</v>
      </c>
      <c r="P86" s="67" t="s">
        <v>182</v>
      </c>
      <c r="Q86" s="67" t="s">
        <v>183</v>
      </c>
      <c r="R86" s="67" t="s">
        <v>42</v>
      </c>
      <c r="S86" s="67" t="n">
        <v>76</v>
      </c>
    </row>
    <row r="87" customFormat="false" ht="18" hidden="true" customHeight="true" outlineLevel="0" collapsed="false">
      <c r="O87" s="67" t="s">
        <v>184</v>
      </c>
      <c r="P87" s="67" t="s">
        <v>185</v>
      </c>
      <c r="Q87" s="67" t="s">
        <v>186</v>
      </c>
      <c r="R87" s="67" t="s">
        <v>42</v>
      </c>
      <c r="S87" s="67" t="n">
        <v>76</v>
      </c>
    </row>
    <row r="88" customFormat="false" ht="18" hidden="true" customHeight="true" outlineLevel="0" collapsed="false">
      <c r="O88" s="67" t="s">
        <v>187</v>
      </c>
      <c r="P88" s="67" t="s">
        <v>188</v>
      </c>
      <c r="Q88" s="67" t="s">
        <v>189</v>
      </c>
      <c r="R88" s="67" t="s">
        <v>42</v>
      </c>
      <c r="S88" s="67" t="n">
        <v>80</v>
      </c>
    </row>
    <row r="89" customFormat="false" ht="18" hidden="true" customHeight="true" outlineLevel="0" collapsed="false">
      <c r="O89" s="67" t="s">
        <v>190</v>
      </c>
      <c r="P89" s="67" t="s">
        <v>191</v>
      </c>
      <c r="Q89" s="67" t="s">
        <v>192</v>
      </c>
      <c r="R89" s="67" t="s">
        <v>38</v>
      </c>
      <c r="S89" s="67" t="n">
        <v>48</v>
      </c>
    </row>
    <row r="90" customFormat="false" ht="18" hidden="true" customHeight="true" outlineLevel="0" collapsed="false">
      <c r="O90" s="67" t="s">
        <v>193</v>
      </c>
      <c r="P90" s="67" t="s">
        <v>194</v>
      </c>
      <c r="Q90" s="67" t="s">
        <v>195</v>
      </c>
      <c r="R90" s="67" t="s">
        <v>38</v>
      </c>
      <c r="S90" s="67" t="n">
        <v>52</v>
      </c>
    </row>
    <row r="91" customFormat="false" ht="18" hidden="true" customHeight="true" outlineLevel="0" collapsed="false">
      <c r="O91" s="67" t="s">
        <v>196</v>
      </c>
      <c r="P91" s="67" t="s">
        <v>197</v>
      </c>
      <c r="Q91" s="67" t="s">
        <v>198</v>
      </c>
      <c r="R91" s="67" t="s">
        <v>38</v>
      </c>
      <c r="S91" s="67" t="n">
        <v>40</v>
      </c>
    </row>
    <row r="92" customFormat="false" ht="18" hidden="true" customHeight="true" outlineLevel="0" collapsed="false">
      <c r="O92" s="67" t="s">
        <v>199</v>
      </c>
      <c r="P92" s="67" t="s">
        <v>200</v>
      </c>
      <c r="Q92" s="67" t="s">
        <v>201</v>
      </c>
      <c r="R92" s="67" t="s">
        <v>35</v>
      </c>
      <c r="S92" s="67" t="n">
        <v>100</v>
      </c>
    </row>
    <row r="93" customFormat="false" ht="18" hidden="true" customHeight="true" outlineLevel="0" collapsed="false">
      <c r="O93" s="67" t="s">
        <v>202</v>
      </c>
      <c r="P93" s="67" t="s">
        <v>203</v>
      </c>
      <c r="Q93" s="67" t="s">
        <v>204</v>
      </c>
      <c r="R93" s="67" t="s">
        <v>38</v>
      </c>
      <c r="S93" s="67" t="n">
        <v>49</v>
      </c>
    </row>
    <row r="94" customFormat="false" ht="18" hidden="true" customHeight="true" outlineLevel="0" collapsed="false">
      <c r="O94" s="67" t="s">
        <v>205</v>
      </c>
      <c r="P94" s="67" t="s">
        <v>206</v>
      </c>
      <c r="Q94" s="67" t="s">
        <v>207</v>
      </c>
      <c r="R94" s="67" t="s">
        <v>42</v>
      </c>
      <c r="S94" s="67" t="n">
        <v>62</v>
      </c>
    </row>
    <row r="95" customFormat="false" ht="18" hidden="true" customHeight="true" outlineLevel="0" collapsed="false">
      <c r="O95" s="67" t="s">
        <v>208</v>
      </c>
      <c r="P95" s="67" t="s">
        <v>209</v>
      </c>
      <c r="Q95" s="67" t="s">
        <v>210</v>
      </c>
      <c r="R95" s="67" t="s">
        <v>38</v>
      </c>
      <c r="S95" s="67" t="n">
        <v>41</v>
      </c>
    </row>
    <row r="96" customFormat="false" ht="18" hidden="true" customHeight="true" outlineLevel="0" collapsed="false">
      <c r="O96" s="67" t="s">
        <v>211</v>
      </c>
      <c r="P96" s="67" t="s">
        <v>212</v>
      </c>
      <c r="Q96" s="67" t="s">
        <v>213</v>
      </c>
      <c r="R96" s="67" t="s">
        <v>60</v>
      </c>
      <c r="S96" s="67" t="n">
        <v>21</v>
      </c>
    </row>
    <row r="97" customFormat="false" ht="18" hidden="true" customHeight="true" outlineLevel="0" collapsed="false">
      <c r="O97" s="67" t="s">
        <v>214</v>
      </c>
      <c r="P97" s="67" t="s">
        <v>215</v>
      </c>
      <c r="Q97" s="67" t="s">
        <v>216</v>
      </c>
      <c r="R97" s="67" t="s">
        <v>38</v>
      </c>
      <c r="S97" s="67" t="n">
        <v>54</v>
      </c>
    </row>
    <row r="98" customFormat="false" ht="18" hidden="true" customHeight="true" outlineLevel="0" collapsed="false">
      <c r="O98" s="67" t="s">
        <v>217</v>
      </c>
      <c r="P98" s="67" t="s">
        <v>218</v>
      </c>
      <c r="Q98" s="67" t="s">
        <v>219</v>
      </c>
      <c r="R98" s="67" t="s">
        <v>38</v>
      </c>
      <c r="S98" s="67" t="n">
        <v>60</v>
      </c>
    </row>
    <row r="99" customFormat="false" ht="18" hidden="true" customHeight="true" outlineLevel="0" collapsed="false">
      <c r="O99" s="67" t="s">
        <v>220</v>
      </c>
      <c r="P99" s="67" t="s">
        <v>221</v>
      </c>
      <c r="Q99" s="67" t="s">
        <v>222</v>
      </c>
      <c r="R99" s="67" t="s">
        <v>42</v>
      </c>
      <c r="S99" s="67" t="n">
        <v>80</v>
      </c>
    </row>
    <row r="100" customFormat="false" ht="18" hidden="true" customHeight="true" outlineLevel="0" collapsed="false">
      <c r="O100" s="67" t="s">
        <v>223</v>
      </c>
      <c r="P100" s="67" t="s">
        <v>224</v>
      </c>
      <c r="Q100" s="67" t="s">
        <v>225</v>
      </c>
      <c r="R100" s="67" t="s">
        <v>42</v>
      </c>
      <c r="S100" s="67" t="n">
        <v>62</v>
      </c>
    </row>
    <row r="101" customFormat="false" ht="18" hidden="true" customHeight="true" outlineLevel="0" collapsed="false">
      <c r="O101" s="67" t="s">
        <v>226</v>
      </c>
      <c r="P101" s="67" t="s">
        <v>227</v>
      </c>
      <c r="Q101" s="67" t="s">
        <v>228</v>
      </c>
      <c r="R101" s="67" t="s">
        <v>42</v>
      </c>
      <c r="S101" s="67" t="n">
        <v>64</v>
      </c>
    </row>
    <row r="102" customFormat="false" ht="18" hidden="true" customHeight="true" outlineLevel="0" collapsed="false">
      <c r="O102" s="67" t="s">
        <v>229</v>
      </c>
      <c r="P102" s="67" t="s">
        <v>230</v>
      </c>
      <c r="Q102" s="67" t="s">
        <v>231</v>
      </c>
      <c r="R102" s="67" t="s">
        <v>42</v>
      </c>
      <c r="S102" s="67" t="n">
        <v>61</v>
      </c>
    </row>
    <row r="103" customFormat="false" ht="18" hidden="true" customHeight="true" outlineLevel="0" collapsed="false">
      <c r="O103" s="67" t="s">
        <v>232</v>
      </c>
      <c r="P103" s="67" t="s">
        <v>233</v>
      </c>
      <c r="Q103" s="67" t="s">
        <v>234</v>
      </c>
      <c r="R103" s="67" t="s">
        <v>42</v>
      </c>
      <c r="S103" s="67" t="n">
        <v>72</v>
      </c>
    </row>
    <row r="104" customFormat="false" ht="18" hidden="true" customHeight="true" outlineLevel="0" collapsed="false">
      <c r="O104" s="67" t="s">
        <v>235</v>
      </c>
      <c r="P104" s="67" t="s">
        <v>236</v>
      </c>
      <c r="Q104" s="67" t="s">
        <v>237</v>
      </c>
      <c r="R104" s="67" t="s">
        <v>35</v>
      </c>
      <c r="S104" s="67" t="n">
        <v>100</v>
      </c>
    </row>
    <row r="105" customFormat="false" ht="18" hidden="true" customHeight="true" outlineLevel="0" collapsed="false">
      <c r="O105" s="67" t="s">
        <v>238</v>
      </c>
      <c r="P105" s="67" t="s">
        <v>239</v>
      </c>
      <c r="Q105" s="67" t="s">
        <v>240</v>
      </c>
      <c r="R105" s="67" t="s">
        <v>38</v>
      </c>
      <c r="S105" s="67" t="n">
        <v>39</v>
      </c>
    </row>
    <row r="106" customFormat="false" ht="18" hidden="true" customHeight="true" outlineLevel="0" collapsed="false">
      <c r="O106" s="67" t="s">
        <v>241</v>
      </c>
      <c r="P106" s="67" t="s">
        <v>242</v>
      </c>
      <c r="Q106" s="67" t="s">
        <v>243</v>
      </c>
      <c r="R106" s="67" t="s">
        <v>42</v>
      </c>
      <c r="S106" s="67" t="n">
        <v>74</v>
      </c>
    </row>
    <row r="107" customFormat="false" ht="18" hidden="true" customHeight="true" outlineLevel="0" collapsed="false">
      <c r="O107" s="67" t="s">
        <v>244</v>
      </c>
      <c r="P107" s="67" t="s">
        <v>245</v>
      </c>
      <c r="Q107" s="67" t="s">
        <v>246</v>
      </c>
      <c r="R107" s="67" t="s">
        <v>60</v>
      </c>
      <c r="S107" s="67" t="n">
        <v>28</v>
      </c>
    </row>
    <row r="108" customFormat="false" ht="18" hidden="true" customHeight="true" outlineLevel="0" collapsed="false">
      <c r="O108" s="67" t="s">
        <v>247</v>
      </c>
      <c r="P108" s="67" t="s">
        <v>248</v>
      </c>
      <c r="Q108" s="67" t="s">
        <v>249</v>
      </c>
      <c r="R108" s="67" t="s">
        <v>60</v>
      </c>
      <c r="S108" s="67" t="n">
        <v>30</v>
      </c>
    </row>
    <row r="109" customFormat="false" ht="18" hidden="true" customHeight="true" outlineLevel="0" collapsed="false">
      <c r="O109" s="67" t="s">
        <v>250</v>
      </c>
      <c r="P109" s="67" t="s">
        <v>251</v>
      </c>
      <c r="Q109" s="67" t="s">
        <v>252</v>
      </c>
      <c r="R109" s="67" t="s">
        <v>38</v>
      </c>
      <c r="S109" s="67" t="n">
        <v>51</v>
      </c>
    </row>
    <row r="110" customFormat="false" ht="18" hidden="true" customHeight="true" outlineLevel="0" collapsed="false">
      <c r="O110" s="67" t="s">
        <v>253</v>
      </c>
      <c r="P110" s="67" t="s">
        <v>254</v>
      </c>
      <c r="Q110" s="67" t="s">
        <v>255</v>
      </c>
      <c r="R110" s="67" t="s">
        <v>60</v>
      </c>
      <c r="S110" s="67" t="n">
        <v>21</v>
      </c>
    </row>
    <row r="111" customFormat="false" ht="18" hidden="true" customHeight="true" outlineLevel="0" collapsed="false">
      <c r="O111" s="67" t="s">
        <v>256</v>
      </c>
      <c r="P111" s="67" t="s">
        <v>257</v>
      </c>
      <c r="Q111" s="67" t="s">
        <v>258</v>
      </c>
      <c r="R111" s="67" t="s">
        <v>38</v>
      </c>
      <c r="S111" s="67" t="n">
        <v>47</v>
      </c>
    </row>
    <row r="112" customFormat="false" ht="18" hidden="true" customHeight="true" outlineLevel="0" collapsed="false">
      <c r="O112" s="67" t="s">
        <v>259</v>
      </c>
      <c r="P112" s="67" t="s">
        <v>260</v>
      </c>
      <c r="Q112" s="67" t="s">
        <v>261</v>
      </c>
      <c r="R112" s="67" t="s">
        <v>38</v>
      </c>
      <c r="S112" s="67" t="n">
        <v>49</v>
      </c>
    </row>
    <row r="113" customFormat="false" ht="18" hidden="true" customHeight="true" outlineLevel="0" collapsed="false">
      <c r="O113" s="67" t="s">
        <v>262</v>
      </c>
      <c r="P113" s="67" t="s">
        <v>263</v>
      </c>
      <c r="Q113" s="67" t="s">
        <v>264</v>
      </c>
      <c r="R113" s="67" t="s">
        <v>60</v>
      </c>
      <c r="S113" s="67" t="n">
        <v>30</v>
      </c>
    </row>
    <row r="114" customFormat="false" ht="18" hidden="true" customHeight="true" outlineLevel="0" collapsed="false">
      <c r="O114" s="67" t="s">
        <v>265</v>
      </c>
      <c r="P114" s="67" t="s">
        <v>266</v>
      </c>
      <c r="Q114" s="67" t="s">
        <v>267</v>
      </c>
      <c r="R114" s="67" t="s">
        <v>38</v>
      </c>
      <c r="S114" s="67" t="n">
        <v>42</v>
      </c>
    </row>
    <row r="115" customFormat="false" ht="18" hidden="true" customHeight="true" outlineLevel="0" collapsed="false">
      <c r="O115" s="67" t="s">
        <v>268</v>
      </c>
      <c r="P115" s="67" t="s">
        <v>269</v>
      </c>
      <c r="Q115" s="67" t="s">
        <v>270</v>
      </c>
      <c r="R115" s="67" t="s">
        <v>42</v>
      </c>
      <c r="S115" s="67" t="n">
        <v>80</v>
      </c>
    </row>
    <row r="116" customFormat="false" ht="18" hidden="true" customHeight="true" outlineLevel="0" collapsed="false">
      <c r="O116" s="67" t="s">
        <v>271</v>
      </c>
      <c r="P116" s="67" t="s">
        <v>272</v>
      </c>
      <c r="Q116" s="67" t="s">
        <v>273</v>
      </c>
      <c r="R116" s="67" t="s">
        <v>42</v>
      </c>
      <c r="S116" s="67" t="n">
        <v>80</v>
      </c>
    </row>
    <row r="117" customFormat="false" ht="18" hidden="true" customHeight="true" outlineLevel="0" collapsed="false">
      <c r="O117" s="67" t="s">
        <v>274</v>
      </c>
      <c r="P117" s="67" t="s">
        <v>275</v>
      </c>
      <c r="Q117" s="67" t="s">
        <v>276</v>
      </c>
      <c r="R117" s="67" t="s">
        <v>42</v>
      </c>
      <c r="S117" s="67" t="n">
        <v>80</v>
      </c>
    </row>
    <row r="118" customFormat="false" ht="18" hidden="true" customHeight="true" outlineLevel="0" collapsed="false">
      <c r="O118" s="67" t="s">
        <v>277</v>
      </c>
      <c r="P118" s="67" t="s">
        <v>278</v>
      </c>
      <c r="Q118" s="67" t="s">
        <v>279</v>
      </c>
      <c r="R118" s="67" t="s">
        <v>60</v>
      </c>
      <c r="S118" s="67" t="n">
        <v>29</v>
      </c>
    </row>
    <row r="119" customFormat="false" ht="18" hidden="true" customHeight="true" outlineLevel="0" collapsed="false">
      <c r="O119" s="67" t="s">
        <v>280</v>
      </c>
      <c r="P119" s="67" t="s">
        <v>281</v>
      </c>
      <c r="Q119" s="67" t="s">
        <v>282</v>
      </c>
      <c r="R119" s="67" t="s">
        <v>42</v>
      </c>
      <c r="S119" s="67" t="n">
        <v>80</v>
      </c>
    </row>
    <row r="120" customFormat="false" ht="18" hidden="true" customHeight="true" outlineLevel="0" collapsed="false">
      <c r="O120" s="67" t="s">
        <v>283</v>
      </c>
      <c r="P120" s="67" t="s">
        <v>284</v>
      </c>
      <c r="Q120" s="67" t="s">
        <v>285</v>
      </c>
      <c r="R120" s="67" t="s">
        <v>38</v>
      </c>
      <c r="S120" s="67" t="n">
        <v>39</v>
      </c>
    </row>
    <row r="121" customFormat="false" ht="18" hidden="true" customHeight="true" outlineLevel="0" collapsed="false">
      <c r="O121" s="67" t="s">
        <v>286</v>
      </c>
      <c r="P121" s="67" t="s">
        <v>287</v>
      </c>
      <c r="Q121" s="67" t="s">
        <v>288</v>
      </c>
      <c r="R121" s="67" t="s">
        <v>38</v>
      </c>
      <c r="S121" s="67" t="n">
        <v>43</v>
      </c>
    </row>
    <row r="122" customFormat="false" ht="18" hidden="true" customHeight="true" outlineLevel="0" collapsed="false">
      <c r="O122" s="67" t="s">
        <v>289</v>
      </c>
      <c r="P122" s="67" t="s">
        <v>290</v>
      </c>
      <c r="Q122" s="67" t="s">
        <v>291</v>
      </c>
      <c r="R122" s="67" t="s">
        <v>38</v>
      </c>
      <c r="S122" s="67" t="n">
        <v>38</v>
      </c>
    </row>
    <row r="123" customFormat="false" ht="18" hidden="true" customHeight="true" outlineLevel="0" collapsed="false">
      <c r="O123" s="67" t="s">
        <v>292</v>
      </c>
      <c r="P123" s="67" t="s">
        <v>293</v>
      </c>
      <c r="Q123" s="67" t="s">
        <v>294</v>
      </c>
      <c r="R123" s="67" t="s">
        <v>38</v>
      </c>
      <c r="S123" s="67" t="n">
        <v>50</v>
      </c>
    </row>
    <row r="124" customFormat="false" ht="18" hidden="true" customHeight="true" outlineLevel="0" collapsed="false">
      <c r="O124" s="67" t="s">
        <v>295</v>
      </c>
      <c r="P124" s="67" t="s">
        <v>296</v>
      </c>
      <c r="Q124" s="67" t="s">
        <v>297</v>
      </c>
      <c r="R124" s="67" t="s">
        <v>38</v>
      </c>
      <c r="S124" s="67" t="n">
        <v>60</v>
      </c>
    </row>
    <row r="125" customFormat="false" ht="18" hidden="true" customHeight="true" outlineLevel="0" collapsed="false">
      <c r="O125" s="67" t="s">
        <v>298</v>
      </c>
      <c r="P125" s="67" t="s">
        <v>299</v>
      </c>
      <c r="Q125" s="67" t="s">
        <v>300</v>
      </c>
      <c r="R125" s="67" t="s">
        <v>38</v>
      </c>
      <c r="S125" s="67" t="n">
        <v>36</v>
      </c>
    </row>
    <row r="126" customFormat="false" ht="18" hidden="true" customHeight="true" outlineLevel="0" collapsed="false">
      <c r="O126" s="67" t="s">
        <v>301</v>
      </c>
      <c r="P126" s="67" t="s">
        <v>302</v>
      </c>
      <c r="Q126" s="67" t="s">
        <v>303</v>
      </c>
      <c r="R126" s="67" t="s">
        <v>42</v>
      </c>
      <c r="S126" s="67" t="n">
        <v>80</v>
      </c>
    </row>
    <row r="127" customFormat="false" ht="18" hidden="true" customHeight="true" outlineLevel="0" collapsed="false">
      <c r="O127" s="67" t="s">
        <v>304</v>
      </c>
      <c r="P127" s="67" t="s">
        <v>305</v>
      </c>
      <c r="Q127" s="67"/>
      <c r="R127" s="67" t="s">
        <v>38</v>
      </c>
      <c r="S127" s="67" t="n">
        <v>41</v>
      </c>
    </row>
    <row r="128" customFormat="false" ht="18" hidden="true" customHeight="true" outlineLevel="0" collapsed="false">
      <c r="O128" s="67" t="s">
        <v>306</v>
      </c>
      <c r="P128" s="67" t="s">
        <v>307</v>
      </c>
      <c r="Q128" s="67" t="s">
        <v>308</v>
      </c>
      <c r="R128" s="67" t="s">
        <v>42</v>
      </c>
      <c r="S128" s="67" t="n">
        <v>61</v>
      </c>
    </row>
    <row r="129" customFormat="false" ht="18" hidden="true" customHeight="true" outlineLevel="0" collapsed="false">
      <c r="O129" s="67" t="s">
        <v>309</v>
      </c>
      <c r="P129" s="67" t="s">
        <v>310</v>
      </c>
      <c r="Q129" s="67" t="s">
        <v>311</v>
      </c>
      <c r="R129" s="67" t="s">
        <v>35</v>
      </c>
      <c r="S129" s="67" t="n">
        <v>100</v>
      </c>
    </row>
    <row r="130" customFormat="false" ht="18" hidden="true" customHeight="true" outlineLevel="0" collapsed="false">
      <c r="O130" s="67" t="s">
        <v>312</v>
      </c>
      <c r="P130" s="67" t="s">
        <v>313</v>
      </c>
      <c r="Q130" s="67" t="s">
        <v>314</v>
      </c>
      <c r="R130" s="67" t="s">
        <v>38</v>
      </c>
      <c r="S130" s="67" t="n">
        <v>54</v>
      </c>
    </row>
    <row r="131" customFormat="false" ht="18" hidden="true" customHeight="true" outlineLevel="0" collapsed="false">
      <c r="O131" s="67" t="s">
        <v>315</v>
      </c>
      <c r="P131" s="67" t="s">
        <v>316</v>
      </c>
      <c r="Q131" s="67" t="s">
        <v>317</v>
      </c>
      <c r="R131" s="67" t="s">
        <v>42</v>
      </c>
      <c r="S131" s="67" t="n">
        <v>80</v>
      </c>
    </row>
    <row r="132" customFormat="false" ht="18" hidden="true" customHeight="true" outlineLevel="0" collapsed="false">
      <c r="O132" s="67" t="s">
        <v>318</v>
      </c>
      <c r="P132" s="67" t="s">
        <v>319</v>
      </c>
      <c r="Q132" s="67" t="s">
        <v>320</v>
      </c>
      <c r="R132" s="67" t="s">
        <v>60</v>
      </c>
      <c r="S132" s="67" t="n">
        <v>30</v>
      </c>
    </row>
    <row r="133" customFormat="false" ht="18" hidden="true" customHeight="true" outlineLevel="0" collapsed="false">
      <c r="O133" s="67" t="s">
        <v>321</v>
      </c>
      <c r="P133" s="67" t="s">
        <v>322</v>
      </c>
      <c r="Q133" s="67" t="s">
        <v>323</v>
      </c>
      <c r="R133" s="67" t="s">
        <v>42</v>
      </c>
      <c r="S133" s="67" t="n">
        <v>64</v>
      </c>
    </row>
    <row r="134" customFormat="false" ht="18" hidden="true" customHeight="true" outlineLevel="0" collapsed="false">
      <c r="O134" s="67" t="s">
        <v>324</v>
      </c>
      <c r="P134" s="67" t="s">
        <v>325</v>
      </c>
      <c r="Q134" s="67" t="s">
        <v>326</v>
      </c>
      <c r="R134" s="67" t="s">
        <v>38</v>
      </c>
      <c r="S134" s="67" t="n">
        <v>39</v>
      </c>
    </row>
    <row r="135" customFormat="false" ht="18" hidden="true" customHeight="true" outlineLevel="0" collapsed="false">
      <c r="O135" s="67" t="s">
        <v>327</v>
      </c>
      <c r="P135" s="67" t="s">
        <v>328</v>
      </c>
      <c r="Q135" s="67" t="s">
        <v>329</v>
      </c>
      <c r="R135" s="67" t="s">
        <v>38</v>
      </c>
      <c r="S135" s="67" t="n">
        <v>38</v>
      </c>
    </row>
    <row r="136" customFormat="false" ht="18" hidden="true" customHeight="true" outlineLevel="0" collapsed="false">
      <c r="O136" s="67" t="s">
        <v>330</v>
      </c>
      <c r="P136" s="67" t="s">
        <v>331</v>
      </c>
      <c r="Q136" s="67" t="s">
        <v>332</v>
      </c>
      <c r="R136" s="67" t="s">
        <v>60</v>
      </c>
      <c r="S136" s="67" t="n">
        <v>30</v>
      </c>
    </row>
    <row r="137" customFormat="false" ht="18" hidden="true" customHeight="true" outlineLevel="0" collapsed="false">
      <c r="O137" s="67" t="s">
        <v>333</v>
      </c>
      <c r="P137" s="67" t="s">
        <v>334</v>
      </c>
      <c r="Q137" s="67" t="s">
        <v>335</v>
      </c>
      <c r="R137" s="67" t="s">
        <v>38</v>
      </c>
      <c r="S137" s="67" t="n">
        <v>45</v>
      </c>
    </row>
    <row r="138" customFormat="false" ht="18" hidden="true" customHeight="true" outlineLevel="0" collapsed="false">
      <c r="O138" s="67" t="s">
        <v>336</v>
      </c>
      <c r="P138" s="67" t="s">
        <v>337</v>
      </c>
      <c r="Q138" s="67" t="s">
        <v>338</v>
      </c>
      <c r="R138" s="67" t="s">
        <v>38</v>
      </c>
      <c r="S138" s="67" t="n">
        <v>51</v>
      </c>
    </row>
    <row r="139" customFormat="false" ht="18" hidden="true" customHeight="true" outlineLevel="0" collapsed="false">
      <c r="O139" s="67" t="s">
        <v>339</v>
      </c>
      <c r="P139" s="67" t="s">
        <v>340</v>
      </c>
      <c r="Q139" s="67" t="s">
        <v>341</v>
      </c>
      <c r="R139" s="67"/>
      <c r="S139" s="67" t="n">
        <v>100</v>
      </c>
    </row>
    <row r="140" customFormat="false" ht="18" hidden="true" customHeight="true" outlineLevel="0" collapsed="false">
      <c r="O140" s="67" t="s">
        <v>342</v>
      </c>
      <c r="P140" s="67" t="s">
        <v>343</v>
      </c>
      <c r="Q140" s="67" t="s">
        <v>344</v>
      </c>
      <c r="R140" s="67" t="s">
        <v>35</v>
      </c>
      <c r="S140" s="67" t="n">
        <v>100</v>
      </c>
    </row>
    <row r="141" customFormat="false" ht="18" hidden="true" customHeight="true" outlineLevel="0" collapsed="false">
      <c r="O141" s="67" t="s">
        <v>345</v>
      </c>
      <c r="P141" s="67" t="s">
        <v>346</v>
      </c>
      <c r="Q141" s="67" t="s">
        <v>347</v>
      </c>
      <c r="R141" s="67" t="s">
        <v>35</v>
      </c>
      <c r="S141" s="67" t="n">
        <v>100</v>
      </c>
    </row>
    <row r="142" customFormat="false" ht="18" hidden="true" customHeight="true" outlineLevel="0" collapsed="false">
      <c r="O142" s="67" t="s">
        <v>348</v>
      </c>
      <c r="P142" s="67" t="s">
        <v>349</v>
      </c>
      <c r="Q142" s="67" t="s">
        <v>350</v>
      </c>
      <c r="R142" s="67" t="s">
        <v>38</v>
      </c>
      <c r="S142" s="67" t="n">
        <v>60</v>
      </c>
    </row>
    <row r="143" customFormat="false" ht="18" hidden="true" customHeight="true" outlineLevel="0" collapsed="false">
      <c r="O143" s="67" t="s">
        <v>351</v>
      </c>
      <c r="P143" s="67" t="s">
        <v>352</v>
      </c>
      <c r="Q143" s="67" t="s">
        <v>353</v>
      </c>
      <c r="R143" s="67" t="s">
        <v>38</v>
      </c>
      <c r="S143" s="67" t="n">
        <v>39</v>
      </c>
    </row>
    <row r="144" customFormat="false" ht="18" hidden="true" customHeight="true" outlineLevel="0" collapsed="false">
      <c r="O144" s="67" t="s">
        <v>354</v>
      </c>
      <c r="P144" s="67" t="s">
        <v>355</v>
      </c>
      <c r="Q144" s="67" t="s">
        <v>356</v>
      </c>
      <c r="R144" s="67" t="s">
        <v>38</v>
      </c>
      <c r="S144" s="67" t="n">
        <v>54</v>
      </c>
    </row>
    <row r="145" customFormat="false" ht="18" hidden="true" customHeight="true" outlineLevel="0" collapsed="false">
      <c r="O145" s="67" t="s">
        <v>357</v>
      </c>
      <c r="P145" s="67" t="s">
        <v>358</v>
      </c>
      <c r="Q145" s="67" t="s">
        <v>359</v>
      </c>
      <c r="R145" s="67" t="s">
        <v>38</v>
      </c>
      <c r="S145" s="67" t="n">
        <v>60</v>
      </c>
    </row>
    <row r="146" customFormat="false" ht="18" hidden="true" customHeight="true" outlineLevel="0" collapsed="false">
      <c r="O146" s="67" t="s">
        <v>360</v>
      </c>
      <c r="P146" s="67" t="s">
        <v>361</v>
      </c>
      <c r="Q146" s="67" t="s">
        <v>362</v>
      </c>
      <c r="R146" s="67" t="s">
        <v>42</v>
      </c>
      <c r="S146" s="67" t="n">
        <v>61</v>
      </c>
    </row>
    <row r="147" customFormat="false" ht="18" hidden="true" customHeight="true" outlineLevel="0" collapsed="false">
      <c r="O147" s="67" t="s">
        <v>363</v>
      </c>
      <c r="P147" s="67" t="s">
        <v>364</v>
      </c>
      <c r="Q147" s="67" t="s">
        <v>365</v>
      </c>
      <c r="R147" s="67" t="s">
        <v>60</v>
      </c>
      <c r="S147" s="67" t="n">
        <v>30</v>
      </c>
    </row>
    <row r="148" customFormat="false" ht="18" hidden="true" customHeight="true" outlineLevel="0" collapsed="false">
      <c r="O148" s="67" t="s">
        <v>366</v>
      </c>
      <c r="P148" s="67" t="s">
        <v>367</v>
      </c>
      <c r="Q148" s="67" t="s">
        <v>368</v>
      </c>
      <c r="R148" s="67" t="s">
        <v>38</v>
      </c>
      <c r="S148" s="67" t="n">
        <v>41</v>
      </c>
    </row>
    <row r="149" customFormat="false" ht="18" hidden="true" customHeight="true" outlineLevel="0" collapsed="false">
      <c r="O149" s="67" t="s">
        <v>369</v>
      </c>
      <c r="P149" s="67" t="s">
        <v>370</v>
      </c>
      <c r="Q149" s="67" t="s">
        <v>371</v>
      </c>
      <c r="R149" s="67" t="s">
        <v>38</v>
      </c>
      <c r="S149" s="67" t="n">
        <v>60</v>
      </c>
    </row>
    <row r="150" customFormat="false" ht="18" hidden="true" customHeight="true" outlineLevel="0" collapsed="false">
      <c r="O150" s="67" t="s">
        <v>372</v>
      </c>
      <c r="P150" s="67" t="s">
        <v>373</v>
      </c>
      <c r="Q150" s="67" t="s">
        <v>374</v>
      </c>
      <c r="R150" s="67" t="s">
        <v>42</v>
      </c>
      <c r="S150" s="67" t="n">
        <v>80</v>
      </c>
    </row>
    <row r="151" customFormat="false" ht="18" hidden="true" customHeight="true" outlineLevel="0" collapsed="false">
      <c r="O151" s="67" t="s">
        <v>375</v>
      </c>
      <c r="P151" s="67" t="s">
        <v>376</v>
      </c>
      <c r="Q151" s="67" t="s">
        <v>377</v>
      </c>
      <c r="R151" s="67" t="s">
        <v>38</v>
      </c>
      <c r="S151" s="67" t="n">
        <v>54</v>
      </c>
    </row>
    <row r="152" customFormat="false" ht="18" hidden="true" customHeight="true" outlineLevel="0" collapsed="false">
      <c r="O152" s="67" t="s">
        <v>378</v>
      </c>
      <c r="P152" s="67" t="s">
        <v>379</v>
      </c>
      <c r="Q152" s="67" t="s">
        <v>380</v>
      </c>
      <c r="R152" s="67" t="s">
        <v>38</v>
      </c>
      <c r="S152" s="67" t="n">
        <v>43</v>
      </c>
    </row>
    <row r="153" customFormat="false" ht="18" hidden="true" customHeight="true" outlineLevel="0" collapsed="false">
      <c r="O153" s="67" t="s">
        <v>381</v>
      </c>
      <c r="P153" s="67" t="s">
        <v>382</v>
      </c>
      <c r="Q153" s="67" t="s">
        <v>383</v>
      </c>
      <c r="R153" s="67" t="s">
        <v>35</v>
      </c>
      <c r="S153" s="67" t="n">
        <v>100</v>
      </c>
    </row>
    <row r="154" customFormat="false" ht="18" hidden="true" customHeight="true" outlineLevel="0" collapsed="false">
      <c r="O154" s="67" t="s">
        <v>384</v>
      </c>
      <c r="P154" s="67" t="s">
        <v>385</v>
      </c>
      <c r="Q154" s="67" t="s">
        <v>386</v>
      </c>
      <c r="R154" s="67" t="s">
        <v>60</v>
      </c>
      <c r="S154" s="67" t="n">
        <v>30</v>
      </c>
    </row>
    <row r="155" customFormat="false" ht="18" hidden="true" customHeight="true" outlineLevel="0" collapsed="false">
      <c r="O155" s="67" t="s">
        <v>387</v>
      </c>
      <c r="P155" s="67" t="s">
        <v>388</v>
      </c>
      <c r="Q155" s="67"/>
      <c r="R155" s="67" t="s">
        <v>42</v>
      </c>
      <c r="S155" s="67" t="n">
        <v>100</v>
      </c>
    </row>
    <row r="156" customFormat="false" ht="18" hidden="true" customHeight="true" outlineLevel="0" collapsed="false">
      <c r="O156" s="67" t="s">
        <v>387</v>
      </c>
      <c r="P156" s="67" t="s">
        <v>389</v>
      </c>
      <c r="Q156" s="67" t="s">
        <v>390</v>
      </c>
      <c r="R156" s="67" t="s">
        <v>38</v>
      </c>
      <c r="S156" s="67" t="n">
        <v>53</v>
      </c>
    </row>
    <row r="157" customFormat="false" ht="18" hidden="true" customHeight="true" outlineLevel="0" collapsed="false">
      <c r="O157" s="67" t="s">
        <v>391</v>
      </c>
      <c r="P157" s="67" t="s">
        <v>392</v>
      </c>
      <c r="Q157" s="67" t="s">
        <v>393</v>
      </c>
      <c r="R157" s="67" t="s">
        <v>38</v>
      </c>
      <c r="S157" s="67" t="n">
        <v>47</v>
      </c>
    </row>
    <row r="158" customFormat="false" ht="18" hidden="true" customHeight="true" outlineLevel="0" collapsed="false">
      <c r="O158" s="67" t="s">
        <v>394</v>
      </c>
      <c r="P158" s="67" t="s">
        <v>395</v>
      </c>
      <c r="Q158" s="67" t="s">
        <v>396</v>
      </c>
      <c r="R158" s="67" t="s">
        <v>42</v>
      </c>
      <c r="S158" s="67" t="n">
        <v>65</v>
      </c>
    </row>
    <row r="159" customFormat="false" ht="18" hidden="true" customHeight="true" outlineLevel="0" collapsed="false">
      <c r="O159" s="67" t="s">
        <v>397</v>
      </c>
      <c r="P159" s="67" t="s">
        <v>398</v>
      </c>
      <c r="Q159" s="67" t="s">
        <v>397</v>
      </c>
      <c r="R159" s="67" t="s">
        <v>42</v>
      </c>
      <c r="S159" s="67" t="n">
        <v>63</v>
      </c>
    </row>
    <row r="160" customFormat="false" ht="18" hidden="true" customHeight="true" outlineLevel="0" collapsed="false">
      <c r="O160" s="67" t="s">
        <v>399</v>
      </c>
      <c r="P160" s="67" t="s">
        <v>400</v>
      </c>
      <c r="Q160" s="67" t="s">
        <v>401</v>
      </c>
      <c r="R160" s="67" t="s">
        <v>38</v>
      </c>
      <c r="S160" s="67" t="n">
        <v>46</v>
      </c>
    </row>
    <row r="161" customFormat="false" ht="18" hidden="true" customHeight="true" outlineLevel="0" collapsed="false">
      <c r="O161" s="67" t="s">
        <v>402</v>
      </c>
      <c r="P161" s="67" t="s">
        <v>403</v>
      </c>
      <c r="Q161" s="67" t="s">
        <v>404</v>
      </c>
      <c r="R161" s="67" t="s">
        <v>42</v>
      </c>
      <c r="S161" s="67" t="n">
        <v>71</v>
      </c>
    </row>
    <row r="162" customFormat="false" ht="18" hidden="true" customHeight="true" outlineLevel="0" collapsed="false">
      <c r="O162" s="67" t="s">
        <v>405</v>
      </c>
      <c r="P162" s="67" t="s">
        <v>406</v>
      </c>
      <c r="Q162" s="67" t="s">
        <v>407</v>
      </c>
      <c r="R162" s="67" t="s">
        <v>38</v>
      </c>
      <c r="S162" s="67" t="n">
        <v>52</v>
      </c>
    </row>
    <row r="163" customFormat="false" ht="18" hidden="true" customHeight="true" outlineLevel="0" collapsed="false">
      <c r="O163" s="67" t="s">
        <v>408</v>
      </c>
      <c r="P163" s="67" t="s">
        <v>409</v>
      </c>
      <c r="Q163" s="67" t="s">
        <v>410</v>
      </c>
      <c r="R163" s="67" t="s">
        <v>42</v>
      </c>
      <c r="S163" s="67" t="n">
        <v>64</v>
      </c>
    </row>
    <row r="164" customFormat="false" ht="18" hidden="true" customHeight="true" outlineLevel="0" collapsed="false">
      <c r="O164" s="67" t="s">
        <v>411</v>
      </c>
      <c r="P164" s="67" t="s">
        <v>412</v>
      </c>
      <c r="Q164" s="67" t="s">
        <v>413</v>
      </c>
      <c r="R164" s="67" t="s">
        <v>35</v>
      </c>
      <c r="S164" s="67" t="n">
        <v>100</v>
      </c>
    </row>
    <row r="165" customFormat="false" ht="18" hidden="true" customHeight="true" outlineLevel="0" collapsed="false">
      <c r="O165" s="67" t="s">
        <v>414</v>
      </c>
      <c r="P165" s="67" t="s">
        <v>415</v>
      </c>
      <c r="Q165" s="67" t="s">
        <v>416</v>
      </c>
      <c r="R165" s="67" t="s">
        <v>60</v>
      </c>
      <c r="S165" s="67" t="n">
        <v>30</v>
      </c>
    </row>
    <row r="166" customFormat="false" ht="18" hidden="true" customHeight="true" outlineLevel="0" collapsed="false">
      <c r="O166" s="67" t="s">
        <v>417</v>
      </c>
      <c r="P166" s="67" t="s">
        <v>418</v>
      </c>
      <c r="Q166" s="67" t="s">
        <v>419</v>
      </c>
      <c r="R166" s="67" t="s">
        <v>38</v>
      </c>
      <c r="S166" s="67" t="n">
        <v>40</v>
      </c>
    </row>
    <row r="167" customFormat="false" ht="18" hidden="true" customHeight="true" outlineLevel="0" collapsed="false">
      <c r="O167" s="67" t="s">
        <v>420</v>
      </c>
      <c r="P167" s="67" t="s">
        <v>421</v>
      </c>
      <c r="Q167" s="67" t="s">
        <v>422</v>
      </c>
      <c r="R167" s="67" t="s">
        <v>60</v>
      </c>
      <c r="S167" s="67" t="n">
        <v>30</v>
      </c>
    </row>
    <row r="168" customFormat="false" ht="18" hidden="true" customHeight="true" outlineLevel="0" collapsed="false">
      <c r="O168" s="67" t="s">
        <v>423</v>
      </c>
      <c r="P168" s="67" t="s">
        <v>424</v>
      </c>
      <c r="Q168" s="67" t="s">
        <v>425</v>
      </c>
      <c r="R168" s="67" t="s">
        <v>38</v>
      </c>
      <c r="S168" s="67" t="n">
        <v>47</v>
      </c>
    </row>
    <row r="169" customFormat="false" ht="18" hidden="true" customHeight="true" outlineLevel="0" collapsed="false">
      <c r="O169" s="67" t="s">
        <v>426</v>
      </c>
      <c r="P169" s="67" t="s">
        <v>427</v>
      </c>
      <c r="Q169" s="67" t="s">
        <v>428</v>
      </c>
      <c r="R169" s="67" t="s">
        <v>38</v>
      </c>
      <c r="S169" s="67" t="n">
        <v>53</v>
      </c>
    </row>
    <row r="170" customFormat="false" ht="18" hidden="true" customHeight="true" outlineLevel="0" collapsed="false">
      <c r="O170" s="67" t="s">
        <v>429</v>
      </c>
      <c r="P170" s="67" t="s">
        <v>430</v>
      </c>
      <c r="Q170" s="67" t="s">
        <v>431</v>
      </c>
      <c r="R170" s="67" t="s">
        <v>38</v>
      </c>
      <c r="S170" s="67" t="n">
        <v>50</v>
      </c>
    </row>
    <row r="171" customFormat="false" ht="18" hidden="true" customHeight="true" outlineLevel="0" collapsed="false">
      <c r="O171" s="67" t="s">
        <v>432</v>
      </c>
      <c r="P171" s="67" t="s">
        <v>433</v>
      </c>
      <c r="Q171" s="67" t="s">
        <v>434</v>
      </c>
      <c r="R171" s="67" t="s">
        <v>42</v>
      </c>
      <c r="S171" s="67" t="n">
        <v>80</v>
      </c>
    </row>
    <row r="172" customFormat="false" ht="18" hidden="true" customHeight="true" outlineLevel="0" collapsed="false">
      <c r="O172" s="67" t="s">
        <v>435</v>
      </c>
      <c r="P172" s="67" t="s">
        <v>436</v>
      </c>
      <c r="Q172" s="67" t="s">
        <v>437</v>
      </c>
      <c r="R172" s="67" t="s">
        <v>38</v>
      </c>
      <c r="S172" s="67" t="n">
        <v>52</v>
      </c>
    </row>
    <row r="173" customFormat="false" ht="18" hidden="true" customHeight="true" outlineLevel="0" collapsed="false">
      <c r="O173" s="67" t="s">
        <v>438</v>
      </c>
      <c r="P173" s="67" t="s">
        <v>439</v>
      </c>
      <c r="Q173" s="67" t="s">
        <v>440</v>
      </c>
      <c r="R173" s="67" t="s">
        <v>38</v>
      </c>
      <c r="S173" s="67" t="n">
        <v>47</v>
      </c>
    </row>
    <row r="174" customFormat="false" ht="18" hidden="true" customHeight="true" outlineLevel="0" collapsed="false">
      <c r="O174" s="67" t="s">
        <v>441</v>
      </c>
      <c r="P174" s="67" t="s">
        <v>442</v>
      </c>
      <c r="Q174" s="67" t="s">
        <v>443</v>
      </c>
      <c r="R174" s="67" t="s">
        <v>42</v>
      </c>
      <c r="S174" s="67" t="n">
        <v>73</v>
      </c>
    </row>
    <row r="175" customFormat="false" ht="18" hidden="true" customHeight="true" outlineLevel="0" collapsed="false">
      <c r="O175" s="67" t="s">
        <v>444</v>
      </c>
      <c r="P175" s="67" t="s">
        <v>445</v>
      </c>
      <c r="Q175" s="67" t="s">
        <v>446</v>
      </c>
      <c r="R175" s="67" t="s">
        <v>38</v>
      </c>
      <c r="S175" s="67" t="n">
        <v>42</v>
      </c>
    </row>
    <row r="176" customFormat="false" ht="18" hidden="true" customHeight="true" outlineLevel="0" collapsed="false">
      <c r="O176" s="67" t="s">
        <v>447</v>
      </c>
      <c r="P176" s="67" t="s">
        <v>448</v>
      </c>
      <c r="Q176" s="67" t="s">
        <v>449</v>
      </c>
      <c r="R176" s="67" t="s">
        <v>38</v>
      </c>
      <c r="S176" s="67" t="n">
        <v>50</v>
      </c>
    </row>
    <row r="177" customFormat="false" ht="18" hidden="true" customHeight="true" outlineLevel="0" collapsed="false">
      <c r="O177" s="67" t="s">
        <v>450</v>
      </c>
      <c r="P177" s="67" t="s">
        <v>451</v>
      </c>
      <c r="Q177" s="67" t="s">
        <v>452</v>
      </c>
      <c r="R177" s="67" t="s">
        <v>38</v>
      </c>
      <c r="S177" s="67" t="n">
        <v>38</v>
      </c>
    </row>
    <row r="178" customFormat="false" ht="18" hidden="true" customHeight="true" outlineLevel="0" collapsed="false">
      <c r="O178" s="67" t="s">
        <v>453</v>
      </c>
      <c r="P178" s="67" t="s">
        <v>454</v>
      </c>
      <c r="Q178" s="67" t="s">
        <v>455</v>
      </c>
      <c r="R178" s="67" t="s">
        <v>42</v>
      </c>
      <c r="S178" s="67" t="n">
        <v>68</v>
      </c>
    </row>
    <row r="179" customFormat="false" ht="18" hidden="true" customHeight="true" outlineLevel="0" collapsed="false">
      <c r="O179" s="67" t="s">
        <v>456</v>
      </c>
      <c r="P179" s="67" t="s">
        <v>457</v>
      </c>
      <c r="Q179" s="67" t="s">
        <v>458</v>
      </c>
      <c r="R179" s="67" t="s">
        <v>42</v>
      </c>
      <c r="S179" s="67" t="n">
        <v>80</v>
      </c>
    </row>
    <row r="180" customFormat="false" ht="18" hidden="true" customHeight="true" outlineLevel="0" collapsed="false">
      <c r="O180" s="67" t="s">
        <v>459</v>
      </c>
      <c r="P180" s="67" t="s">
        <v>460</v>
      </c>
      <c r="Q180" s="67" t="s">
        <v>461</v>
      </c>
      <c r="R180" s="67" t="s">
        <v>60</v>
      </c>
      <c r="S180" s="67" t="n">
        <v>30</v>
      </c>
    </row>
    <row r="181" customFormat="false" ht="18" hidden="true" customHeight="true" outlineLevel="0" collapsed="false">
      <c r="O181" s="67" t="s">
        <v>462</v>
      </c>
      <c r="P181" s="67" t="s">
        <v>463</v>
      </c>
      <c r="Q181" s="67" t="s">
        <v>464</v>
      </c>
      <c r="R181" s="67" t="s">
        <v>42</v>
      </c>
      <c r="S181" s="67" t="n">
        <v>68</v>
      </c>
    </row>
    <row r="182" customFormat="false" ht="18" hidden="true" customHeight="true" outlineLevel="0" collapsed="false">
      <c r="O182" s="67" t="s">
        <v>465</v>
      </c>
      <c r="P182" s="67" t="s">
        <v>466</v>
      </c>
      <c r="Q182" s="67" t="s">
        <v>467</v>
      </c>
      <c r="R182" s="67" t="s">
        <v>38</v>
      </c>
      <c r="S182" s="67" t="n">
        <v>39</v>
      </c>
    </row>
    <row r="183" customFormat="false" ht="18" hidden="true" customHeight="true" outlineLevel="0" collapsed="false">
      <c r="O183" s="67" t="s">
        <v>468</v>
      </c>
      <c r="P183" s="67" t="s">
        <v>469</v>
      </c>
      <c r="Q183" s="67" t="s">
        <v>470</v>
      </c>
      <c r="R183" s="67" t="s">
        <v>38</v>
      </c>
      <c r="S183" s="67" t="n">
        <v>60</v>
      </c>
    </row>
    <row r="184" customFormat="false" ht="18" hidden="true" customHeight="true" outlineLevel="0" collapsed="false">
      <c r="O184" s="67" t="s">
        <v>471</v>
      </c>
      <c r="P184" s="67" t="s">
        <v>472</v>
      </c>
      <c r="Q184" s="67" t="s">
        <v>473</v>
      </c>
      <c r="R184" s="67" t="s">
        <v>38</v>
      </c>
      <c r="S184" s="67" t="n">
        <v>40</v>
      </c>
    </row>
    <row r="185" customFormat="false" ht="18" hidden="true" customHeight="true" outlineLevel="0" collapsed="false">
      <c r="O185" s="67" t="s">
        <v>474</v>
      </c>
      <c r="P185" s="67" t="s">
        <v>475</v>
      </c>
      <c r="Q185" s="67" t="s">
        <v>476</v>
      </c>
      <c r="R185" s="67" t="s">
        <v>38</v>
      </c>
      <c r="S185" s="67" t="n">
        <v>53</v>
      </c>
    </row>
    <row r="186" customFormat="false" ht="18" hidden="true" customHeight="true" outlineLevel="0" collapsed="false">
      <c r="O186" s="67" t="s">
        <v>477</v>
      </c>
      <c r="P186" s="67" t="s">
        <v>478</v>
      </c>
      <c r="Q186" s="67" t="s">
        <v>479</v>
      </c>
      <c r="R186" s="67" t="s">
        <v>38</v>
      </c>
      <c r="S186" s="67" t="n">
        <v>41</v>
      </c>
    </row>
    <row r="187" customFormat="false" ht="18" hidden="true" customHeight="true" outlineLevel="0" collapsed="false">
      <c r="O187" s="67" t="s">
        <v>480</v>
      </c>
      <c r="P187" s="67" t="s">
        <v>481</v>
      </c>
      <c r="Q187" s="67" t="s">
        <v>482</v>
      </c>
      <c r="R187" s="67" t="s">
        <v>38</v>
      </c>
      <c r="S187" s="67" t="n">
        <v>60</v>
      </c>
    </row>
    <row r="188" customFormat="false" ht="18" hidden="true" customHeight="true" outlineLevel="0" collapsed="false">
      <c r="O188" s="67" t="s">
        <v>483</v>
      </c>
      <c r="P188" s="67" t="s">
        <v>484</v>
      </c>
      <c r="Q188" s="67" t="s">
        <v>485</v>
      </c>
      <c r="R188" s="67" t="s">
        <v>42</v>
      </c>
      <c r="S188" s="67" t="n">
        <v>80</v>
      </c>
    </row>
    <row r="189" customFormat="false" ht="18" hidden="true" customHeight="true" outlineLevel="0" collapsed="false">
      <c r="O189" s="67" t="s">
        <v>486</v>
      </c>
      <c r="P189" s="67" t="s">
        <v>487</v>
      </c>
      <c r="Q189" s="67" t="s">
        <v>488</v>
      </c>
      <c r="R189" s="67" t="s">
        <v>42</v>
      </c>
      <c r="S189" s="67" t="n">
        <v>61</v>
      </c>
    </row>
    <row r="190" customFormat="false" ht="18" hidden="true" customHeight="true" outlineLevel="0" collapsed="false">
      <c r="O190" s="67" t="s">
        <v>489</v>
      </c>
      <c r="P190" s="67" t="s">
        <v>490</v>
      </c>
      <c r="Q190" s="67" t="s">
        <v>491</v>
      </c>
      <c r="R190" s="67" t="s">
        <v>42</v>
      </c>
      <c r="S190" s="67" t="n">
        <v>80</v>
      </c>
    </row>
    <row r="191" customFormat="false" ht="18" hidden="true" customHeight="true" outlineLevel="0" collapsed="false">
      <c r="O191" s="67" t="s">
        <v>492</v>
      </c>
      <c r="P191" s="67" t="s">
        <v>493</v>
      </c>
      <c r="Q191" s="67" t="s">
        <v>494</v>
      </c>
      <c r="R191" s="67" t="s">
        <v>60</v>
      </c>
      <c r="S191" s="67" t="n">
        <v>30</v>
      </c>
    </row>
    <row r="192" customFormat="false" ht="18" hidden="true" customHeight="true" outlineLevel="0" collapsed="false">
      <c r="O192" s="67" t="s">
        <v>495</v>
      </c>
      <c r="P192" s="67" t="s">
        <v>496</v>
      </c>
      <c r="Q192" s="67" t="s">
        <v>497</v>
      </c>
      <c r="R192" s="67" t="s">
        <v>38</v>
      </c>
      <c r="S192" s="67" t="n">
        <v>48</v>
      </c>
    </row>
    <row r="193" customFormat="false" ht="18" hidden="true" customHeight="true" outlineLevel="0" collapsed="false">
      <c r="O193" s="67" t="s">
        <v>498</v>
      </c>
      <c r="P193" s="67" t="s">
        <v>499</v>
      </c>
      <c r="Q193" s="67" t="s">
        <v>500</v>
      </c>
      <c r="R193" s="67" t="s">
        <v>38</v>
      </c>
      <c r="S193" s="67" t="n">
        <v>47</v>
      </c>
    </row>
    <row r="194" customFormat="false" ht="18" hidden="true" customHeight="true" outlineLevel="0" collapsed="false">
      <c r="O194" s="67" t="s">
        <v>501</v>
      </c>
      <c r="P194" s="67" t="s">
        <v>502</v>
      </c>
      <c r="Q194" s="67" t="s">
        <v>503</v>
      </c>
      <c r="R194" s="67" t="s">
        <v>38</v>
      </c>
      <c r="S194" s="67" t="n">
        <v>54</v>
      </c>
    </row>
    <row r="195" customFormat="false" ht="18" hidden="true" customHeight="true" outlineLevel="0" collapsed="false">
      <c r="O195" s="67" t="s">
        <v>504</v>
      </c>
      <c r="P195" s="67" t="s">
        <v>505</v>
      </c>
      <c r="Q195" s="67" t="s">
        <v>506</v>
      </c>
      <c r="R195" s="67" t="s">
        <v>60</v>
      </c>
      <c r="S195" s="67" t="n">
        <v>29</v>
      </c>
    </row>
    <row r="196" customFormat="false" ht="18" hidden="true" customHeight="true" outlineLevel="0" collapsed="false">
      <c r="O196" s="67" t="s">
        <v>507</v>
      </c>
      <c r="P196" s="67" t="s">
        <v>508</v>
      </c>
      <c r="Q196" s="67"/>
      <c r="R196" s="67"/>
      <c r="S196" s="67" t="n">
        <v>100</v>
      </c>
    </row>
    <row r="197" customFormat="false" ht="18" hidden="true" customHeight="true" outlineLevel="0" collapsed="false">
      <c r="O197" s="67" t="s">
        <v>509</v>
      </c>
      <c r="P197" s="67" t="s">
        <v>510</v>
      </c>
      <c r="Q197" s="67" t="s">
        <v>511</v>
      </c>
      <c r="R197" s="67" t="s">
        <v>60</v>
      </c>
      <c r="S197" s="67" t="n">
        <v>29</v>
      </c>
    </row>
    <row r="198" customFormat="false" ht="18" hidden="true" customHeight="true" outlineLevel="0" collapsed="false">
      <c r="O198" s="67" t="s">
        <v>512</v>
      </c>
      <c r="P198" s="67" t="s">
        <v>513</v>
      </c>
      <c r="Q198" s="67" t="s">
        <v>514</v>
      </c>
      <c r="R198" s="67" t="s">
        <v>42</v>
      </c>
      <c r="S198" s="67" t="n">
        <v>63</v>
      </c>
    </row>
    <row r="199" customFormat="false" ht="18" hidden="true" customHeight="true" outlineLevel="0" collapsed="false">
      <c r="O199" s="67" t="s">
        <v>515</v>
      </c>
      <c r="P199" s="67" t="s">
        <v>516</v>
      </c>
      <c r="Q199" s="67" t="s">
        <v>517</v>
      </c>
      <c r="R199" s="67" t="s">
        <v>42</v>
      </c>
      <c r="S199" s="67" t="n">
        <v>72</v>
      </c>
    </row>
    <row r="200" customFormat="false" ht="18" hidden="true" customHeight="true" outlineLevel="0" collapsed="false">
      <c r="O200" s="67" t="s">
        <v>518</v>
      </c>
      <c r="P200" s="67" t="s">
        <v>519</v>
      </c>
      <c r="Q200" s="67" t="s">
        <v>520</v>
      </c>
      <c r="R200" s="67" t="s">
        <v>42</v>
      </c>
      <c r="S200" s="67" t="n">
        <v>66</v>
      </c>
    </row>
    <row r="201" customFormat="false" ht="18" hidden="true" customHeight="true" outlineLevel="0" collapsed="false">
      <c r="O201" s="67" t="s">
        <v>521</v>
      </c>
      <c r="P201" s="67" t="s">
        <v>522</v>
      </c>
      <c r="Q201" s="67" t="s">
        <v>523</v>
      </c>
      <c r="R201" s="67" t="s">
        <v>38</v>
      </c>
      <c r="S201" s="67" t="n">
        <v>45</v>
      </c>
    </row>
    <row r="202" customFormat="false" ht="18" hidden="true" customHeight="true" outlineLevel="0" collapsed="false">
      <c r="O202" s="67" t="s">
        <v>524</v>
      </c>
      <c r="P202" s="67" t="s">
        <v>525</v>
      </c>
      <c r="Q202" s="67" t="s">
        <v>526</v>
      </c>
      <c r="R202" s="67" t="s">
        <v>38</v>
      </c>
      <c r="S202" s="67" t="n">
        <v>37</v>
      </c>
    </row>
    <row r="203" customFormat="false" ht="18" hidden="true" customHeight="true" outlineLevel="0" collapsed="false">
      <c r="O203" s="67" t="s">
        <v>527</v>
      </c>
      <c r="P203" s="67" t="s">
        <v>528</v>
      </c>
      <c r="Q203" s="67" t="s">
        <v>529</v>
      </c>
      <c r="R203" s="67" t="s">
        <v>60</v>
      </c>
      <c r="S203" s="67" t="n">
        <v>26</v>
      </c>
    </row>
    <row r="204" customFormat="false" ht="18" hidden="true" customHeight="true" outlineLevel="0" collapsed="false">
      <c r="O204" s="67" t="s">
        <v>530</v>
      </c>
      <c r="P204" s="67" t="s">
        <v>530</v>
      </c>
      <c r="Q204" s="67" t="s">
        <v>531</v>
      </c>
      <c r="R204" s="67" t="s">
        <v>60</v>
      </c>
      <c r="S204" s="67" t="n">
        <v>26</v>
      </c>
    </row>
    <row r="205" customFormat="false" ht="18" hidden="true" customHeight="true" outlineLevel="0" collapsed="false">
      <c r="O205" s="67" t="s">
        <v>532</v>
      </c>
      <c r="P205" s="67" t="s">
        <v>533</v>
      </c>
      <c r="Q205" s="67" t="s">
        <v>534</v>
      </c>
      <c r="R205" s="67" t="s">
        <v>38</v>
      </c>
      <c r="S205" s="67" t="n">
        <v>52</v>
      </c>
    </row>
    <row r="206" customFormat="false" ht="18" hidden="true" customHeight="true" outlineLevel="0" collapsed="false">
      <c r="O206" s="67" t="s">
        <v>535</v>
      </c>
      <c r="P206" s="67" t="s">
        <v>536</v>
      </c>
      <c r="Q206" s="67" t="s">
        <v>537</v>
      </c>
      <c r="R206" s="67" t="s">
        <v>42</v>
      </c>
      <c r="S206" s="67" t="n">
        <v>76</v>
      </c>
    </row>
    <row r="207" customFormat="false" ht="18" hidden="true" customHeight="true" outlineLevel="0" collapsed="false">
      <c r="O207" s="67" t="s">
        <v>538</v>
      </c>
      <c r="P207" s="67" t="s">
        <v>539</v>
      </c>
      <c r="Q207" s="67" t="s">
        <v>540</v>
      </c>
      <c r="R207" s="67" t="s">
        <v>38</v>
      </c>
      <c r="S207" s="67" t="n">
        <v>48</v>
      </c>
    </row>
    <row r="208" customFormat="false" ht="18" hidden="true" customHeight="true" outlineLevel="0" collapsed="false">
      <c r="O208" s="67" t="s">
        <v>541</v>
      </c>
      <c r="P208" s="67" t="s">
        <v>542</v>
      </c>
      <c r="Q208" s="67" t="s">
        <v>543</v>
      </c>
      <c r="R208" s="67" t="s">
        <v>42</v>
      </c>
      <c r="S208" s="67" t="n">
        <v>80</v>
      </c>
    </row>
    <row r="209" customFormat="false" ht="18" hidden="true" customHeight="true" outlineLevel="0" collapsed="false">
      <c r="O209" s="67" t="s">
        <v>544</v>
      </c>
      <c r="P209" s="67" t="s">
        <v>545</v>
      </c>
      <c r="Q209" s="67" t="s">
        <v>546</v>
      </c>
      <c r="R209" s="67" t="s">
        <v>38</v>
      </c>
      <c r="S209" s="67" t="n">
        <v>52</v>
      </c>
    </row>
    <row r="210" customFormat="false" ht="18" hidden="true" customHeight="true" outlineLevel="0" collapsed="false">
      <c r="O210" s="67" t="s">
        <v>547</v>
      </c>
      <c r="P210" s="67" t="s">
        <v>548</v>
      </c>
      <c r="Q210" s="67" t="s">
        <v>549</v>
      </c>
      <c r="R210" s="67" t="s">
        <v>42</v>
      </c>
      <c r="S210" s="67" t="n">
        <v>80</v>
      </c>
    </row>
    <row r="211" customFormat="false" ht="18" hidden="true" customHeight="true" outlineLevel="0" collapsed="false">
      <c r="O211" s="67" t="s">
        <v>550</v>
      </c>
      <c r="P211" s="67" t="s">
        <v>551</v>
      </c>
      <c r="Q211" s="67" t="s">
        <v>552</v>
      </c>
      <c r="R211" s="67" t="s">
        <v>38</v>
      </c>
      <c r="S211" s="67" t="n">
        <v>49</v>
      </c>
    </row>
    <row r="212" customFormat="false" ht="18" hidden="true" customHeight="true" outlineLevel="0" collapsed="false">
      <c r="O212" s="67" t="s">
        <v>553</v>
      </c>
      <c r="P212" s="67" t="s">
        <v>554</v>
      </c>
      <c r="Q212" s="67" t="s">
        <v>555</v>
      </c>
      <c r="R212" s="67" t="s">
        <v>38</v>
      </c>
      <c r="S212" s="67" t="n">
        <v>60</v>
      </c>
    </row>
    <row r="213" customFormat="false" ht="18" hidden="true" customHeight="true" outlineLevel="0" collapsed="false">
      <c r="O213" s="67" t="s">
        <v>556</v>
      </c>
      <c r="P213" s="67" t="s">
        <v>557</v>
      </c>
      <c r="Q213" s="67" t="s">
        <v>558</v>
      </c>
      <c r="R213" s="67" t="s">
        <v>60</v>
      </c>
      <c r="S213" s="67" t="n">
        <v>28</v>
      </c>
    </row>
    <row r="214" customFormat="false" ht="18" hidden="true" customHeight="true" outlineLevel="0" collapsed="false">
      <c r="O214" s="67" t="s">
        <v>559</v>
      </c>
      <c r="P214" s="67" t="s">
        <v>560</v>
      </c>
      <c r="Q214" s="67" t="s">
        <v>561</v>
      </c>
      <c r="R214" s="67" t="s">
        <v>38</v>
      </c>
      <c r="S214" s="67" t="n">
        <v>60</v>
      </c>
    </row>
    <row r="215" customFormat="false" ht="18" hidden="true" customHeight="true" outlineLevel="0" collapsed="false">
      <c r="O215" s="67" t="s">
        <v>562</v>
      </c>
      <c r="P215" s="67" t="s">
        <v>563</v>
      </c>
      <c r="Q215" s="67" t="s">
        <v>564</v>
      </c>
      <c r="R215" s="67" t="s">
        <v>60</v>
      </c>
      <c r="S215" s="67" t="n">
        <v>30</v>
      </c>
    </row>
    <row r="216" customFormat="false" ht="18" hidden="true" customHeight="true" outlineLevel="0" collapsed="false">
      <c r="O216" s="67" t="s">
        <v>565</v>
      </c>
      <c r="P216" s="67" t="s">
        <v>566</v>
      </c>
      <c r="Q216" s="67" t="s">
        <v>567</v>
      </c>
      <c r="R216" s="67" t="s">
        <v>38</v>
      </c>
      <c r="S216" s="67" t="n">
        <v>48</v>
      </c>
    </row>
    <row r="217" customFormat="false" ht="18" hidden="true" customHeight="true" outlineLevel="0" collapsed="false">
      <c r="O217" s="67" t="s">
        <v>568</v>
      </c>
      <c r="P217" s="67" t="s">
        <v>569</v>
      </c>
      <c r="Q217" s="67" t="s">
        <v>570</v>
      </c>
      <c r="R217" s="67" t="s">
        <v>38</v>
      </c>
      <c r="S217" s="67" t="n">
        <v>45</v>
      </c>
    </row>
    <row r="218" customFormat="false" ht="18" hidden="true" customHeight="true" outlineLevel="0" collapsed="false">
      <c r="O218" s="67" t="s">
        <v>571</v>
      </c>
      <c r="P218" s="67" t="s">
        <v>572</v>
      </c>
      <c r="Q218" s="67" t="s">
        <v>573</v>
      </c>
      <c r="R218" s="67" t="s">
        <v>38</v>
      </c>
      <c r="S218" s="67" t="n">
        <v>38</v>
      </c>
    </row>
    <row r="219" customFormat="false" ht="18" hidden="true" customHeight="true" outlineLevel="0" collapsed="false">
      <c r="O219" s="67" t="s">
        <v>574</v>
      </c>
      <c r="P219" s="67" t="s">
        <v>575</v>
      </c>
      <c r="Q219" s="67" t="s">
        <v>576</v>
      </c>
      <c r="R219" s="67" t="s">
        <v>38</v>
      </c>
      <c r="S219" s="67" t="n">
        <v>37</v>
      </c>
    </row>
    <row r="220" customFormat="false" ht="18" hidden="true" customHeight="true" outlineLevel="0" collapsed="false">
      <c r="O220" s="67" t="s">
        <v>577</v>
      </c>
      <c r="P220" s="67" t="s">
        <v>578</v>
      </c>
      <c r="Q220" s="67" t="s">
        <v>579</v>
      </c>
      <c r="R220" s="67" t="s">
        <v>42</v>
      </c>
      <c r="S220" s="67" t="n">
        <v>80</v>
      </c>
    </row>
    <row r="221" customFormat="false" ht="18" hidden="true" customHeight="true" outlineLevel="0" collapsed="false">
      <c r="O221" s="67" t="s">
        <v>580</v>
      </c>
      <c r="P221" s="67" t="s">
        <v>581</v>
      </c>
      <c r="Q221" s="67" t="s">
        <v>582</v>
      </c>
      <c r="R221" s="67" t="s">
        <v>38</v>
      </c>
      <c r="S221" s="67" t="n">
        <v>42</v>
      </c>
    </row>
    <row r="222" customFormat="false" ht="18" hidden="true" customHeight="true" outlineLevel="0" collapsed="false">
      <c r="O222" s="67" t="s">
        <v>583</v>
      </c>
      <c r="P222" s="67" t="s">
        <v>584</v>
      </c>
      <c r="Q222" s="67" t="s">
        <v>585</v>
      </c>
      <c r="R222" s="67" t="s">
        <v>38</v>
      </c>
      <c r="S222" s="67" t="n">
        <v>47</v>
      </c>
    </row>
    <row r="223" customFormat="false" ht="18" hidden="true" customHeight="true" outlineLevel="0" collapsed="false">
      <c r="O223" s="67" t="s">
        <v>586</v>
      </c>
      <c r="P223" s="67" t="s">
        <v>587</v>
      </c>
      <c r="Q223" s="67"/>
      <c r="R223" s="67" t="s">
        <v>38</v>
      </c>
      <c r="S223" s="67" t="n">
        <v>38</v>
      </c>
    </row>
    <row r="224" customFormat="false" ht="18" hidden="true" customHeight="true" outlineLevel="0" collapsed="false">
      <c r="O224" s="67" t="s">
        <v>588</v>
      </c>
      <c r="P224" s="67" t="s">
        <v>589</v>
      </c>
      <c r="Q224" s="67" t="s">
        <v>590</v>
      </c>
      <c r="R224" s="67" t="s">
        <v>38</v>
      </c>
      <c r="S224" s="67" t="n">
        <v>46</v>
      </c>
    </row>
    <row r="225" customFormat="false" ht="18" hidden="true" customHeight="true" outlineLevel="0" collapsed="false">
      <c r="O225" s="67" t="s">
        <v>591</v>
      </c>
      <c r="P225" s="67" t="s">
        <v>592</v>
      </c>
      <c r="Q225" s="67" t="s">
        <v>593</v>
      </c>
      <c r="R225" s="67" t="s">
        <v>38</v>
      </c>
      <c r="S225" s="67" t="n">
        <v>44</v>
      </c>
    </row>
    <row r="226" customFormat="false" ht="18" hidden="true" customHeight="true" outlineLevel="0" collapsed="false">
      <c r="O226" s="67" t="s">
        <v>594</v>
      </c>
      <c r="P226" s="67" t="s">
        <v>595</v>
      </c>
      <c r="Q226" s="67" t="s">
        <v>596</v>
      </c>
      <c r="R226" s="67" t="s">
        <v>38</v>
      </c>
      <c r="S226" s="67" t="n">
        <v>44</v>
      </c>
    </row>
    <row r="227" customFormat="false" ht="18" hidden="true" customHeight="true" outlineLevel="0" collapsed="false">
      <c r="O227" s="67" t="s">
        <v>597</v>
      </c>
      <c r="P227" s="67" t="s">
        <v>598</v>
      </c>
      <c r="Q227" s="67" t="s">
        <v>599</v>
      </c>
      <c r="R227" s="67" t="s">
        <v>38</v>
      </c>
      <c r="S227" s="67" t="n">
        <v>47</v>
      </c>
    </row>
    <row r="228" customFormat="false" ht="18" hidden="true" customHeight="true" outlineLevel="0" collapsed="false">
      <c r="O228" s="67" t="s">
        <v>600</v>
      </c>
      <c r="P228" s="67" t="s">
        <v>601</v>
      </c>
      <c r="Q228" s="67" t="s">
        <v>602</v>
      </c>
      <c r="R228" s="67" t="s">
        <v>38</v>
      </c>
      <c r="S228" s="67" t="n">
        <v>54</v>
      </c>
    </row>
    <row r="229" customFormat="false" ht="18" hidden="true" customHeight="true" outlineLevel="0" collapsed="false">
      <c r="O229" s="67" t="s">
        <v>603</v>
      </c>
      <c r="P229" s="67" t="s">
        <v>604</v>
      </c>
      <c r="Q229" s="67" t="s">
        <v>605</v>
      </c>
      <c r="R229" s="67" t="s">
        <v>38</v>
      </c>
      <c r="S229" s="67" t="n">
        <v>52</v>
      </c>
    </row>
    <row r="230" customFormat="false" ht="18" hidden="true" customHeight="true" outlineLevel="0" collapsed="false">
      <c r="O230" s="67" t="s">
        <v>606</v>
      </c>
      <c r="P230" s="67" t="s">
        <v>607</v>
      </c>
      <c r="Q230" s="67" t="s">
        <v>608</v>
      </c>
      <c r="R230" s="67" t="s">
        <v>35</v>
      </c>
      <c r="S230" s="67" t="n">
        <v>100</v>
      </c>
    </row>
    <row r="231" customFormat="false" ht="18" hidden="true" customHeight="true" outlineLevel="0" collapsed="false">
      <c r="O231" s="67" t="s">
        <v>609</v>
      </c>
      <c r="P231" s="67" t="s">
        <v>610</v>
      </c>
      <c r="Q231" s="67" t="s">
        <v>611</v>
      </c>
      <c r="R231" s="67" t="s">
        <v>38</v>
      </c>
      <c r="S231" s="67" t="n">
        <v>52</v>
      </c>
    </row>
    <row r="232" customFormat="false" ht="18" hidden="true" customHeight="true" outlineLevel="0" collapsed="false">
      <c r="O232" s="67" t="s">
        <v>612</v>
      </c>
      <c r="P232" s="67" t="s">
        <v>613</v>
      </c>
      <c r="Q232" s="67" t="s">
        <v>614</v>
      </c>
      <c r="R232" s="67" t="s">
        <v>42</v>
      </c>
      <c r="S232" s="67" t="n">
        <v>64</v>
      </c>
    </row>
    <row r="233" customFormat="false" ht="18" hidden="true" customHeight="true" outlineLevel="0" collapsed="false">
      <c r="O233" s="67" t="s">
        <v>615</v>
      </c>
      <c r="P233" s="67" t="s">
        <v>616</v>
      </c>
      <c r="Q233" s="67" t="s">
        <v>617</v>
      </c>
      <c r="R233" s="67" t="s">
        <v>60</v>
      </c>
      <c r="S233" s="67" t="n">
        <v>26</v>
      </c>
    </row>
    <row r="234" customFormat="false" ht="18" hidden="true" customHeight="true" outlineLevel="0" collapsed="false">
      <c r="O234" s="67" t="s">
        <v>618</v>
      </c>
      <c r="P234" s="67" t="s">
        <v>619</v>
      </c>
      <c r="Q234" s="67" t="s">
        <v>620</v>
      </c>
      <c r="R234" s="67" t="s">
        <v>38</v>
      </c>
      <c r="S234" s="67" t="n">
        <v>45</v>
      </c>
    </row>
    <row r="235" customFormat="false" ht="18" hidden="true" customHeight="true" outlineLevel="0" collapsed="false">
      <c r="O235" s="67" t="s">
        <v>621</v>
      </c>
      <c r="P235" s="67" t="s">
        <v>622</v>
      </c>
      <c r="Q235" s="67" t="s">
        <v>623</v>
      </c>
      <c r="R235" s="67" t="s">
        <v>38</v>
      </c>
      <c r="S235" s="67" t="n">
        <v>39</v>
      </c>
    </row>
    <row r="236" customFormat="false" ht="18" hidden="true" customHeight="true" outlineLevel="0" collapsed="false">
      <c r="O236" s="67" t="s">
        <v>624</v>
      </c>
      <c r="P236" s="67" t="s">
        <v>625</v>
      </c>
      <c r="Q236" s="67" t="s">
        <v>626</v>
      </c>
      <c r="R236" s="67" t="s">
        <v>38</v>
      </c>
      <c r="S236" s="67" t="n">
        <v>43</v>
      </c>
    </row>
    <row r="237" customFormat="false" ht="18" hidden="true" customHeight="true" outlineLevel="0" collapsed="false">
      <c r="O237" s="67" t="s">
        <v>627</v>
      </c>
      <c r="P237" s="67" t="s">
        <v>628</v>
      </c>
      <c r="Q237" s="67" t="s">
        <v>629</v>
      </c>
      <c r="R237" s="67" t="s">
        <v>42</v>
      </c>
      <c r="S237" s="67" t="n">
        <v>80</v>
      </c>
    </row>
    <row r="238" customFormat="false" ht="18" hidden="true" customHeight="true" outlineLevel="0" collapsed="false">
      <c r="O238" s="67" t="s">
        <v>630</v>
      </c>
      <c r="P238" s="67" t="s">
        <v>631</v>
      </c>
      <c r="Q238" s="67" t="s">
        <v>632</v>
      </c>
      <c r="R238" s="67" t="s">
        <v>35</v>
      </c>
      <c r="S238" s="67" t="n">
        <v>100</v>
      </c>
    </row>
    <row r="239" customFormat="false" ht="18" hidden="true" customHeight="true" outlineLevel="0" collapsed="false">
      <c r="O239" s="67" t="s">
        <v>633</v>
      </c>
      <c r="P239" s="67" t="s">
        <v>634</v>
      </c>
      <c r="Q239" s="67" t="s">
        <v>635</v>
      </c>
      <c r="R239" s="67" t="s">
        <v>42</v>
      </c>
      <c r="S239" s="67" t="n">
        <v>63</v>
      </c>
    </row>
    <row r="240" customFormat="false" ht="18" hidden="true" customHeight="true" outlineLevel="0" collapsed="false">
      <c r="O240" s="67" t="s">
        <v>636</v>
      </c>
      <c r="P240" s="67" t="s">
        <v>637</v>
      </c>
      <c r="Q240" s="67" t="s">
        <v>638</v>
      </c>
      <c r="R240" s="67" t="s">
        <v>35</v>
      </c>
      <c r="S240" s="67" t="n">
        <v>100</v>
      </c>
    </row>
    <row r="241" customFormat="false" ht="18" hidden="true" customHeight="true" outlineLevel="0" collapsed="false">
      <c r="O241" s="67" t="s">
        <v>639</v>
      </c>
      <c r="P241" s="67" t="s">
        <v>640</v>
      </c>
      <c r="Q241" s="67" t="s">
        <v>641</v>
      </c>
      <c r="R241" s="67" t="s">
        <v>38</v>
      </c>
      <c r="S241" s="67" t="n">
        <v>60</v>
      </c>
    </row>
    <row r="242" customFormat="false" ht="18" hidden="true" customHeight="true" outlineLevel="0" collapsed="false">
      <c r="O242" s="67" t="s">
        <v>642</v>
      </c>
      <c r="P242" s="67" t="s">
        <v>643</v>
      </c>
      <c r="Q242" s="67" t="s">
        <v>644</v>
      </c>
      <c r="R242" s="67" t="s">
        <v>42</v>
      </c>
      <c r="S242" s="67" t="n">
        <v>80</v>
      </c>
    </row>
    <row r="243" customFormat="false" ht="18" hidden="true" customHeight="true" outlineLevel="0" collapsed="false">
      <c r="O243" s="67" t="s">
        <v>645</v>
      </c>
      <c r="P243" s="67" t="s">
        <v>646</v>
      </c>
      <c r="Q243" s="67" t="s">
        <v>647</v>
      </c>
      <c r="R243" s="67" t="s">
        <v>60</v>
      </c>
      <c r="S243" s="67" t="n">
        <v>30</v>
      </c>
    </row>
    <row r="244" customFormat="false" ht="18" hidden="true" customHeight="true" outlineLevel="0" collapsed="false">
      <c r="O244" s="67" t="s">
        <v>648</v>
      </c>
      <c r="P244" s="67" t="s">
        <v>649</v>
      </c>
      <c r="Q244" s="67" t="s">
        <v>650</v>
      </c>
      <c r="R244" s="67" t="s">
        <v>38</v>
      </c>
      <c r="S244" s="67" t="n">
        <v>44</v>
      </c>
    </row>
    <row r="245" customFormat="false" ht="18" hidden="true" customHeight="true" outlineLevel="0" collapsed="false">
      <c r="O245" s="67" t="s">
        <v>651</v>
      </c>
      <c r="P245" s="67" t="s">
        <v>652</v>
      </c>
      <c r="Q245" s="67" t="s">
        <v>653</v>
      </c>
      <c r="R245" s="67" t="s">
        <v>38</v>
      </c>
      <c r="S245" s="67" t="n">
        <v>44</v>
      </c>
    </row>
    <row r="246" customFormat="false" ht="18" hidden="true" customHeight="true" outlineLevel="0" collapsed="false">
      <c r="O246" s="67" t="s">
        <v>654</v>
      </c>
      <c r="P246" s="67" t="s">
        <v>655</v>
      </c>
      <c r="Q246" s="67" t="s">
        <v>656</v>
      </c>
      <c r="R246" s="67" t="s">
        <v>38</v>
      </c>
      <c r="S246" s="67" t="n">
        <v>42</v>
      </c>
    </row>
    <row r="247" customFormat="false" ht="18" hidden="true" customHeight="true" outlineLevel="0" collapsed="false">
      <c r="O247" s="67" t="s">
        <v>657</v>
      </c>
      <c r="P247" s="67" t="s">
        <v>658</v>
      </c>
      <c r="Q247" s="67" t="s">
        <v>659</v>
      </c>
      <c r="R247" s="67" t="s">
        <v>38</v>
      </c>
      <c r="S247" s="67" t="n">
        <v>45</v>
      </c>
    </row>
    <row r="248" customFormat="false" ht="18" hidden="true" customHeight="true" outlineLevel="0" collapsed="false">
      <c r="O248" s="67" t="s">
        <v>660</v>
      </c>
      <c r="P248" s="67" t="s">
        <v>661</v>
      </c>
      <c r="Q248" s="67" t="s">
        <v>662</v>
      </c>
      <c r="R248" s="67" t="s">
        <v>42</v>
      </c>
      <c r="S248" s="67" t="n">
        <v>74</v>
      </c>
    </row>
    <row r="249" customFormat="false" ht="18" hidden="true" customHeight="true" outlineLevel="0" collapsed="false">
      <c r="O249" s="67" t="s">
        <v>663</v>
      </c>
      <c r="P249" s="67" t="s">
        <v>664</v>
      </c>
      <c r="Q249" s="67" t="s">
        <v>665</v>
      </c>
      <c r="R249" s="67" t="s">
        <v>35</v>
      </c>
      <c r="S249" s="67" t="n">
        <v>100</v>
      </c>
    </row>
    <row r="250" customFormat="false" ht="18" hidden="true" customHeight="true" outlineLevel="0" collapsed="false">
      <c r="O250" s="67" t="s">
        <v>666</v>
      </c>
      <c r="P250" s="67" t="s">
        <v>667</v>
      </c>
      <c r="Q250" s="67" t="s">
        <v>668</v>
      </c>
      <c r="R250" s="67" t="s">
        <v>38</v>
      </c>
      <c r="S250" s="67" t="n">
        <v>53</v>
      </c>
    </row>
    <row r="251" customFormat="false" ht="18" hidden="true" customHeight="true" outlineLevel="0" collapsed="false">
      <c r="O251" s="67" t="s">
        <v>669</v>
      </c>
      <c r="P251" s="67" t="s">
        <v>670</v>
      </c>
      <c r="Q251" s="67" t="s">
        <v>671</v>
      </c>
      <c r="R251" s="67" t="s">
        <v>38</v>
      </c>
      <c r="S251" s="67" t="n">
        <v>41</v>
      </c>
    </row>
    <row r="252" customFormat="false" ht="18" hidden="true" customHeight="true" outlineLevel="0" collapsed="false">
      <c r="O252" s="67" t="s">
        <v>672</v>
      </c>
      <c r="P252" s="67" t="s">
        <v>673</v>
      </c>
      <c r="Q252" s="67" t="s">
        <v>674</v>
      </c>
      <c r="R252" s="67" t="s">
        <v>38</v>
      </c>
      <c r="S252" s="67" t="n">
        <v>47</v>
      </c>
    </row>
    <row r="253" customFormat="false" ht="18" hidden="true" customHeight="true" outlineLevel="0" collapsed="false">
      <c r="O253" s="67" t="s">
        <v>675</v>
      </c>
      <c r="P253" s="67" t="s">
        <v>676</v>
      </c>
      <c r="Q253" s="67" t="s">
        <v>677</v>
      </c>
      <c r="R253" s="67" t="s">
        <v>60</v>
      </c>
      <c r="S253" s="67" t="n">
        <v>29</v>
      </c>
    </row>
    <row r="254" customFormat="false" ht="18" hidden="true" customHeight="true" outlineLevel="0" collapsed="false">
      <c r="O254" s="67" t="s">
        <v>678</v>
      </c>
      <c r="P254" s="67" t="s">
        <v>679</v>
      </c>
      <c r="Q254" s="67" t="s">
        <v>680</v>
      </c>
      <c r="R254" s="67" t="s">
        <v>60</v>
      </c>
      <c r="S254" s="67" t="n">
        <v>30</v>
      </c>
    </row>
    <row r="255" customFormat="false" ht="18" hidden="true" customHeight="true" outlineLevel="0" collapsed="false">
      <c r="O255" s="67" t="s">
        <v>681</v>
      </c>
      <c r="P255" s="67" t="s">
        <v>682</v>
      </c>
      <c r="Q255" s="67" t="s">
        <v>683</v>
      </c>
      <c r="R255" s="67" t="s">
        <v>35</v>
      </c>
      <c r="S255" s="67" t="n">
        <v>100</v>
      </c>
    </row>
    <row r="256" customFormat="false" ht="18" hidden="true" customHeight="true" outlineLevel="0" collapsed="false">
      <c r="O256" s="67" t="s">
        <v>684</v>
      </c>
      <c r="P256" s="67" t="s">
        <v>685</v>
      </c>
      <c r="Q256" s="67" t="s">
        <v>686</v>
      </c>
      <c r="R256" s="67" t="s">
        <v>38</v>
      </c>
      <c r="S256" s="67" t="n">
        <v>46</v>
      </c>
    </row>
    <row r="257" customFormat="false" ht="18" hidden="true" customHeight="true" outlineLevel="0" collapsed="false">
      <c r="O257" s="67" t="s">
        <v>687</v>
      </c>
      <c r="P257" s="67" t="s">
        <v>688</v>
      </c>
      <c r="Q257" s="67" t="s">
        <v>689</v>
      </c>
      <c r="R257" s="67" t="s">
        <v>42</v>
      </c>
      <c r="S257" s="67" t="n">
        <v>65</v>
      </c>
    </row>
    <row r="258" customFormat="false" ht="18" hidden="true" customHeight="true" outlineLevel="0" collapsed="false">
      <c r="O258" s="67" t="s">
        <v>690</v>
      </c>
      <c r="P258" s="67" t="s">
        <v>691</v>
      </c>
      <c r="Q258" s="67" t="s">
        <v>692</v>
      </c>
      <c r="R258" s="67" t="s">
        <v>38</v>
      </c>
      <c r="S258" s="67" t="n">
        <v>54</v>
      </c>
    </row>
    <row r="259" customFormat="false" ht="18" hidden="true" customHeight="true" outlineLevel="0" collapsed="false">
      <c r="O259" s="67" t="s">
        <v>693</v>
      </c>
      <c r="P259" s="67" t="s">
        <v>694</v>
      </c>
      <c r="Q259" s="67" t="s">
        <v>695</v>
      </c>
      <c r="R259" s="67" t="s">
        <v>38</v>
      </c>
      <c r="S259" s="67" t="n">
        <v>49</v>
      </c>
    </row>
    <row r="260" customFormat="false" ht="18" hidden="true" customHeight="true" outlineLevel="0" collapsed="false">
      <c r="O260" s="67" t="s">
        <v>696</v>
      </c>
      <c r="P260" s="67" t="s">
        <v>697</v>
      </c>
      <c r="Q260" s="67" t="s">
        <v>698</v>
      </c>
      <c r="R260" s="67" t="s">
        <v>42</v>
      </c>
      <c r="S260" s="67" t="n">
        <v>67</v>
      </c>
    </row>
    <row r="261" customFormat="false" ht="18" hidden="true" customHeight="true" outlineLevel="0" collapsed="false">
      <c r="O261" s="67" t="s">
        <v>699</v>
      </c>
      <c r="P261" s="67" t="s">
        <v>700</v>
      </c>
      <c r="Q261" s="67" t="s">
        <v>701</v>
      </c>
      <c r="R261" s="67" t="s">
        <v>38</v>
      </c>
      <c r="S261" s="67" t="n">
        <v>48</v>
      </c>
    </row>
    <row r="262" customFormat="false" ht="18" hidden="true" customHeight="true" outlineLevel="0" collapsed="false">
      <c r="O262" s="67" t="s">
        <v>702</v>
      </c>
      <c r="P262" s="67" t="s">
        <v>703</v>
      </c>
      <c r="Q262" s="67" t="s">
        <v>704</v>
      </c>
      <c r="R262" s="67" t="s">
        <v>60</v>
      </c>
      <c r="S262" s="67" t="n">
        <v>30</v>
      </c>
    </row>
    <row r="263" customFormat="false" ht="18" hidden="true" customHeight="true" outlineLevel="0" collapsed="false">
      <c r="O263" s="67" t="s">
        <v>705</v>
      </c>
      <c r="P263" s="67" t="s">
        <v>706</v>
      </c>
      <c r="Q263" s="67" t="s">
        <v>707</v>
      </c>
      <c r="R263" s="67" t="s">
        <v>38</v>
      </c>
      <c r="S263" s="67" t="n">
        <v>46</v>
      </c>
    </row>
    <row r="264" customFormat="false" ht="18" hidden="true" customHeight="true" outlineLevel="0" collapsed="false">
      <c r="O264" s="67" t="s">
        <v>708</v>
      </c>
      <c r="P264" s="67" t="s">
        <v>709</v>
      </c>
      <c r="Q264" s="67" t="s">
        <v>710</v>
      </c>
      <c r="R264" s="67" t="s">
        <v>42</v>
      </c>
      <c r="S264" s="67" t="n">
        <v>61</v>
      </c>
    </row>
    <row r="265" customFormat="false" ht="18" hidden="true" customHeight="true" outlineLevel="0" collapsed="false">
      <c r="O265" s="67" t="s">
        <v>711</v>
      </c>
      <c r="P265" s="67" t="s">
        <v>712</v>
      </c>
      <c r="Q265" s="67" t="s">
        <v>713</v>
      </c>
      <c r="R265" s="67" t="s">
        <v>42</v>
      </c>
      <c r="S265" s="67" t="n">
        <v>80</v>
      </c>
    </row>
    <row r="266" customFormat="false" ht="18" hidden="true" customHeight="true" outlineLevel="0" collapsed="false">
      <c r="O266" s="67" t="s">
        <v>714</v>
      </c>
      <c r="P266" s="67" t="s">
        <v>715</v>
      </c>
      <c r="Q266" s="67" t="s">
        <v>716</v>
      </c>
      <c r="R266" s="67" t="s">
        <v>42</v>
      </c>
      <c r="S266" s="67" t="n">
        <v>61</v>
      </c>
    </row>
    <row r="267" customFormat="false" ht="18" hidden="true" customHeight="true" outlineLevel="0" collapsed="false">
      <c r="O267" s="67" t="s">
        <v>717</v>
      </c>
      <c r="P267" s="67" t="s">
        <v>718</v>
      </c>
      <c r="Q267" s="67" t="s">
        <v>719</v>
      </c>
      <c r="R267" s="67" t="s">
        <v>42</v>
      </c>
      <c r="S267" s="67" t="n">
        <v>65</v>
      </c>
    </row>
    <row r="268" customFormat="false" ht="18" hidden="true" customHeight="true" outlineLevel="0" collapsed="false">
      <c r="O268" s="67" t="s">
        <v>720</v>
      </c>
      <c r="P268" s="67" t="s">
        <v>721</v>
      </c>
      <c r="Q268" s="67" t="s">
        <v>722</v>
      </c>
      <c r="R268" s="67" t="s">
        <v>38</v>
      </c>
      <c r="S268" s="67" t="n">
        <v>43</v>
      </c>
    </row>
    <row r="269" customFormat="false" ht="18" hidden="true" customHeight="true" outlineLevel="0" collapsed="false">
      <c r="O269" s="67" t="s">
        <v>723</v>
      </c>
      <c r="P269" s="67" t="s">
        <v>724</v>
      </c>
      <c r="Q269" s="67" t="s">
        <v>725</v>
      </c>
      <c r="R269" s="67" t="s">
        <v>38</v>
      </c>
      <c r="S269" s="67" t="n">
        <v>38</v>
      </c>
    </row>
    <row r="270" customFormat="false" ht="18" hidden="true" customHeight="true" outlineLevel="0" collapsed="false">
      <c r="O270" s="67" t="s">
        <v>726</v>
      </c>
      <c r="P270" s="67" t="s">
        <v>727</v>
      </c>
      <c r="Q270" s="67" t="s">
        <v>728</v>
      </c>
      <c r="R270" s="67" t="s">
        <v>38</v>
      </c>
      <c r="S270" s="67" t="n">
        <v>60</v>
      </c>
    </row>
    <row r="271" customFormat="false" ht="18" hidden="true" customHeight="true" outlineLevel="0" collapsed="false">
      <c r="O271" s="67" t="s">
        <v>729</v>
      </c>
      <c r="P271" s="67" t="s">
        <v>730</v>
      </c>
      <c r="Q271" s="67" t="s">
        <v>731</v>
      </c>
      <c r="R271" s="67" t="s">
        <v>42</v>
      </c>
      <c r="S271" s="67" t="n">
        <v>80</v>
      </c>
    </row>
    <row r="272" customFormat="false" ht="18" hidden="true" customHeight="true" outlineLevel="0" collapsed="false">
      <c r="O272" s="67" t="s">
        <v>732</v>
      </c>
      <c r="P272" s="67" t="s">
        <v>733</v>
      </c>
      <c r="Q272" s="67" t="s">
        <v>734</v>
      </c>
      <c r="R272" s="67" t="s">
        <v>35</v>
      </c>
      <c r="S272" s="67" t="n">
        <v>100</v>
      </c>
    </row>
    <row r="273" customFormat="false" ht="18" hidden="true" customHeight="true" outlineLevel="0" collapsed="false">
      <c r="O273" s="67" t="s">
        <v>735</v>
      </c>
      <c r="P273" s="67" t="s">
        <v>736</v>
      </c>
      <c r="Q273" s="67" t="s">
        <v>737</v>
      </c>
      <c r="R273" s="67" t="s">
        <v>60</v>
      </c>
      <c r="S273" s="67" t="n">
        <v>28</v>
      </c>
    </row>
    <row r="274" customFormat="false" ht="18" hidden="true" customHeight="true" outlineLevel="0" collapsed="false">
      <c r="O274" s="67" t="s">
        <v>738</v>
      </c>
      <c r="P274" s="67" t="s">
        <v>739</v>
      </c>
      <c r="Q274" s="67"/>
      <c r="R274" s="67" t="s">
        <v>42</v>
      </c>
      <c r="S274" s="67" t="n">
        <v>100</v>
      </c>
    </row>
    <row r="275" customFormat="false" ht="18" hidden="true" customHeight="true" outlineLevel="0" collapsed="false">
      <c r="O275" s="67" t="s">
        <v>740</v>
      </c>
      <c r="P275" s="67" t="s">
        <v>741</v>
      </c>
      <c r="Q275" s="67" t="s">
        <v>742</v>
      </c>
      <c r="R275" s="67" t="s">
        <v>38</v>
      </c>
      <c r="S275" s="67" t="n">
        <v>47</v>
      </c>
    </row>
    <row r="276" customFormat="false" ht="18" hidden="true" customHeight="true" outlineLevel="0" collapsed="false">
      <c r="O276" s="67" t="s">
        <v>743</v>
      </c>
      <c r="P276" s="67" t="s">
        <v>744</v>
      </c>
      <c r="Q276" s="67" t="s">
        <v>745</v>
      </c>
      <c r="R276" s="67" t="s">
        <v>38</v>
      </c>
      <c r="S276" s="67" t="n">
        <v>43</v>
      </c>
    </row>
    <row r="277" customFormat="false" ht="18" hidden="true" customHeight="true" outlineLevel="0" collapsed="false">
      <c r="O277" s="67" t="s">
        <v>746</v>
      </c>
      <c r="P277" s="67" t="s">
        <v>747</v>
      </c>
      <c r="Q277" s="67" t="s">
        <v>746</v>
      </c>
      <c r="R277" s="67" t="s">
        <v>60</v>
      </c>
      <c r="S277" s="67" t="n">
        <v>30</v>
      </c>
    </row>
    <row r="278" customFormat="false" ht="18" hidden="true" customHeight="true" outlineLevel="0" collapsed="false">
      <c r="O278" s="67" t="s">
        <v>748</v>
      </c>
      <c r="P278" s="67" t="s">
        <v>749</v>
      </c>
      <c r="Q278" s="67" t="s">
        <v>750</v>
      </c>
      <c r="R278" s="67" t="s">
        <v>42</v>
      </c>
      <c r="S278" s="67" t="n">
        <v>67</v>
      </c>
    </row>
    <row r="279" customFormat="false" ht="18" hidden="true" customHeight="true" outlineLevel="0" collapsed="false">
      <c r="O279" s="67" t="s">
        <v>751</v>
      </c>
      <c r="P279" s="67" t="s">
        <v>752</v>
      </c>
      <c r="Q279" s="67" t="s">
        <v>753</v>
      </c>
      <c r="R279" s="67" t="s">
        <v>38</v>
      </c>
      <c r="S279" s="67" t="n">
        <v>52</v>
      </c>
    </row>
    <row r="280" customFormat="false" ht="18" hidden="true" customHeight="true" outlineLevel="0" collapsed="false">
      <c r="O280" s="67" t="s">
        <v>754</v>
      </c>
      <c r="P280" s="67" t="s">
        <v>755</v>
      </c>
      <c r="Q280" s="67"/>
      <c r="R280" s="67" t="s">
        <v>60</v>
      </c>
      <c r="S280" s="67" t="n">
        <v>29</v>
      </c>
    </row>
    <row r="281" customFormat="false" ht="18" hidden="true" customHeight="true" outlineLevel="0" collapsed="false">
      <c r="O281" s="67" t="s">
        <v>756</v>
      </c>
      <c r="P281" s="67" t="s">
        <v>757</v>
      </c>
      <c r="Q281" s="67" t="s">
        <v>758</v>
      </c>
      <c r="R281" s="67" t="s">
        <v>42</v>
      </c>
      <c r="S281" s="67" t="n">
        <v>80</v>
      </c>
    </row>
    <row r="282" customFormat="false" ht="18" hidden="true" customHeight="true" outlineLevel="0" collapsed="false">
      <c r="O282" s="67" t="s">
        <v>759</v>
      </c>
      <c r="P282" s="67" t="s">
        <v>760</v>
      </c>
      <c r="Q282" s="67" t="s">
        <v>761</v>
      </c>
      <c r="R282" s="67" t="s">
        <v>38</v>
      </c>
      <c r="S282" s="67" t="n">
        <v>48</v>
      </c>
    </row>
    <row r="283" customFormat="false" ht="18" hidden="true" customHeight="true" outlineLevel="0" collapsed="false">
      <c r="O283" s="67" t="s">
        <v>762</v>
      </c>
      <c r="P283" s="67" t="s">
        <v>763</v>
      </c>
      <c r="Q283" s="67" t="s">
        <v>764</v>
      </c>
      <c r="R283" s="67" t="s">
        <v>38</v>
      </c>
      <c r="S283" s="67" t="n">
        <v>60</v>
      </c>
    </row>
    <row r="284" customFormat="false" ht="18" hidden="true" customHeight="true" outlineLevel="0" collapsed="false">
      <c r="O284" s="67" t="s">
        <v>765</v>
      </c>
      <c r="P284" s="67" t="s">
        <v>766</v>
      </c>
      <c r="Q284" s="67" t="s">
        <v>767</v>
      </c>
      <c r="R284" s="67" t="s">
        <v>38</v>
      </c>
      <c r="S284" s="67" t="n">
        <v>54</v>
      </c>
    </row>
    <row r="285" customFormat="false" ht="18" hidden="true" customHeight="true" outlineLevel="0" collapsed="false">
      <c r="O285" s="67" t="s">
        <v>768</v>
      </c>
      <c r="P285" s="67" t="s">
        <v>769</v>
      </c>
      <c r="Q285" s="67" t="s">
        <v>770</v>
      </c>
      <c r="R285" s="67" t="s">
        <v>38</v>
      </c>
      <c r="S285" s="67" t="n">
        <v>60</v>
      </c>
    </row>
    <row r="286" customFormat="false" ht="18" hidden="true" customHeight="true" outlineLevel="0" collapsed="false">
      <c r="O286" s="67" t="s">
        <v>771</v>
      </c>
      <c r="P286" s="67" t="s">
        <v>772</v>
      </c>
      <c r="Q286" s="67" t="s">
        <v>773</v>
      </c>
      <c r="R286" s="67" t="s">
        <v>42</v>
      </c>
      <c r="S286" s="67" t="n">
        <v>64</v>
      </c>
    </row>
    <row r="287" customFormat="false" ht="18" hidden="true" customHeight="true" outlineLevel="0" collapsed="false">
      <c r="O287" s="67" t="s">
        <v>774</v>
      </c>
      <c r="P287" s="67" t="s">
        <v>775</v>
      </c>
      <c r="Q287" s="67" t="s">
        <v>776</v>
      </c>
      <c r="R287" s="67" t="s">
        <v>35</v>
      </c>
      <c r="S287" s="67" t="n">
        <v>100</v>
      </c>
    </row>
    <row r="288" customFormat="false" ht="18" hidden="true" customHeight="true" outlineLevel="0" collapsed="false">
      <c r="O288" s="67" t="s">
        <v>777</v>
      </c>
      <c r="P288" s="67" t="s">
        <v>778</v>
      </c>
      <c r="Q288" s="67" t="s">
        <v>779</v>
      </c>
      <c r="R288" s="67" t="s">
        <v>38</v>
      </c>
      <c r="S288" s="67" t="n">
        <v>48</v>
      </c>
    </row>
    <row r="289" customFormat="false" ht="18" hidden="true" customHeight="true" outlineLevel="0" collapsed="false">
      <c r="O289" s="67" t="s">
        <v>780</v>
      </c>
      <c r="P289" s="67" t="s">
        <v>781</v>
      </c>
      <c r="Q289" s="67" t="s">
        <v>782</v>
      </c>
      <c r="R289" s="67" t="s">
        <v>42</v>
      </c>
      <c r="S289" s="67" t="n">
        <v>71</v>
      </c>
    </row>
  </sheetData>
  <sheetProtection algorithmName="SHA-512" hashValue="eRSlOZgwEoiKsqGquwaF8ghClRLcZ+HlarThbB/MRXMBwSvOgCKIYGbxrF9aQwT/3LvqU/MzoC96R5pByS4f7w==" saltValue="CCCCXqPbSN6ViNa5LDoIRQ==" spinCount="100000" sheet="true" objects="true" scenarios="true"/>
  <mergeCells count="61">
    <mergeCell ref="B2:T2"/>
    <mergeCell ref="B3:T3"/>
    <mergeCell ref="A4:T4"/>
    <mergeCell ref="B5:E5"/>
    <mergeCell ref="G5:T5"/>
    <mergeCell ref="B6:E16"/>
    <mergeCell ref="G6:I6"/>
    <mergeCell ref="J6:T6"/>
    <mergeCell ref="G7:I7"/>
    <mergeCell ref="J7:T7"/>
    <mergeCell ref="G8:I8"/>
    <mergeCell ref="J8:T8"/>
    <mergeCell ref="G9:I9"/>
    <mergeCell ref="J9:T9"/>
    <mergeCell ref="G10:I10"/>
    <mergeCell ref="J10:T10"/>
    <mergeCell ref="G11:I11"/>
    <mergeCell ref="J11:T11"/>
    <mergeCell ref="G13:T13"/>
    <mergeCell ref="G14:I14"/>
    <mergeCell ref="J14:T14"/>
    <mergeCell ref="G15:I15"/>
    <mergeCell ref="J15:T15"/>
    <mergeCell ref="AD15:AZ15"/>
    <mergeCell ref="G17:AB17"/>
    <mergeCell ref="B18:E18"/>
    <mergeCell ref="G18:I18"/>
    <mergeCell ref="J18:S18"/>
    <mergeCell ref="G19:I19"/>
    <mergeCell ref="J19:S19"/>
    <mergeCell ref="G20:I20"/>
    <mergeCell ref="J20:S20"/>
    <mergeCell ref="G21:I21"/>
    <mergeCell ref="J21:S21"/>
    <mergeCell ref="G22:I22"/>
    <mergeCell ref="J22:S22"/>
    <mergeCell ref="G23:I23"/>
    <mergeCell ref="J23:S23"/>
    <mergeCell ref="G24:I24"/>
    <mergeCell ref="J24:S24"/>
    <mergeCell ref="G26:K26"/>
    <mergeCell ref="L26:N26"/>
    <mergeCell ref="O26:Q26"/>
    <mergeCell ref="R26:S26"/>
    <mergeCell ref="G27:K27"/>
    <mergeCell ref="L27:N27"/>
    <mergeCell ref="O27:Q27"/>
    <mergeCell ref="R27:S27"/>
    <mergeCell ref="G28:I28"/>
    <mergeCell ref="J28:S28"/>
    <mergeCell ref="G29:I29"/>
    <mergeCell ref="J29:S29"/>
    <mergeCell ref="G30:I30"/>
    <mergeCell ref="J30:S30"/>
    <mergeCell ref="G31:I31"/>
    <mergeCell ref="J31:S31"/>
    <mergeCell ref="G32:I32"/>
    <mergeCell ref="J32:S32"/>
    <mergeCell ref="G33:I33"/>
    <mergeCell ref="J33:S33"/>
    <mergeCell ref="A34:T34"/>
  </mergeCells>
  <conditionalFormatting sqref="T27">
    <cfRule type="containsText" priority="2" operator="containsText" aboveAverage="0" equalAverage="0" bottom="0" percent="0" rank="0" text="Low" dxfId="0">
      <formula>NOT(ISERROR(SEARCH("Low",T27)))</formula>
    </cfRule>
    <cfRule type="containsText" priority="3" operator="containsText" aboveAverage="0" equalAverage="0" bottom="0" percent="0" rank="0" text="Medium" dxfId="1">
      <formula>NOT(ISERROR(SEARCH("Medium",T27)))</formula>
    </cfRule>
    <cfRule type="containsText" priority="4" operator="containsText" aboveAverage="0" equalAverage="0" bottom="0" percent="0" rank="0" text="High" dxfId="2">
      <formula>NOT(ISERROR(SEARCH("High",T27)))</formula>
    </cfRule>
    <cfRule type="containsText" priority="5" operator="containsText" aboveAverage="0" equalAverage="0" bottom="0" percent="0" rank="0" text="Prohibited" dxfId="3">
      <formula>NOT(ISERROR(SEARCH("Prohibited",T27)))</formula>
    </cfRule>
  </conditionalFormatting>
  <dataValidations count="3">
    <dataValidation allowBlank="true" errorStyle="stop" operator="between" showDropDown="false" showErrorMessage="true" showInputMessage="true" sqref="J6:T6" type="list">
      <formula1>"Escalation,Non-Escalation,RFI"</formula1>
      <formula2>0</formula2>
    </dataValidation>
    <dataValidation allowBlank="true" errorStyle="stop" operator="between" showDropDown="false" showErrorMessage="true" showInputMessage="true" sqref="G27:K27" type="list">
      <formula1>$O$36:$O$289</formula1>
      <formula2>0</formula2>
    </dataValidation>
    <dataValidation allowBlank="true" errorStyle="stop" operator="between" showDropDown="false" showErrorMessage="true" showInputMessage="true" sqref="J7:T7" type="list">
      <formula1>IF($J$6="RFI", TemplatesRFI, TemplatesStandard)</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9DC3E6"/>
    <pageSetUpPr fitToPage="false"/>
  </sheetPr>
  <dimension ref="A1:B4"/>
  <sheetViews>
    <sheetView showFormulas="false" showGridLines="false" showRowColHeaders="true" showZeros="true" rightToLeft="false" tabSelected="false" showOutlineSymbols="true" defaultGridColor="true" view="normal" topLeftCell="A1" colorId="64" zoomScale="90" zoomScaleNormal="90" zoomScalePageLayoutView="100" workbookViewId="0">
      <selection pane="topLeft" activeCell="B4" activeCellId="0" sqref="B4"/>
    </sheetView>
  </sheetViews>
  <sheetFormatPr defaultColWidth="8.82421875" defaultRowHeight="14.25" zeroHeight="true" outlineLevelRow="0" outlineLevelCol="0"/>
  <cols>
    <col collapsed="false" customWidth="true" hidden="false" outlineLevel="0" max="1" min="1" style="68" width="32.45"/>
    <col collapsed="false" customWidth="true" hidden="false" outlineLevel="0" max="2" min="2" style="68" width="149.45"/>
    <col collapsed="false" customWidth="true" hidden="false" outlineLevel="0" max="3" min="3" style="68" width="4.82"/>
    <col collapsed="false" customWidth="true" hidden="true" outlineLevel="0" max="13" min="4" style="68" width="4.82"/>
    <col collapsed="false" customWidth="false" hidden="true" outlineLevel="0" max="16384" min="14" style="68" width="8.82"/>
  </cols>
  <sheetData>
    <row r="1" customFormat="false" ht="24" hidden="false" customHeight="true" outlineLevel="0" collapsed="false">
      <c r="A1" s="69"/>
      <c r="B1" s="69"/>
    </row>
    <row r="2" customFormat="false" ht="20.25" hidden="false" customHeight="true" outlineLevel="0" collapsed="false">
      <c r="A2" s="70"/>
      <c r="B2" s="70"/>
    </row>
    <row r="3" s="73" customFormat="true" ht="20.25" hidden="true" customHeight="true" outlineLevel="0" collapsed="false">
      <c r="A3" s="71" t="s">
        <v>783</v>
      </c>
      <c r="B3" s="72" t="s">
        <v>784</v>
      </c>
    </row>
    <row r="4" customFormat="false" ht="14.25" hidden="false" customHeight="false" outlineLevel="0" collapsed="false">
      <c r="A4" s="74" t="s">
        <v>785</v>
      </c>
      <c r="B4" s="72" t="s">
        <v>786</v>
      </c>
    </row>
  </sheetData>
  <mergeCells count="2">
    <mergeCell ref="A1:B1"/>
    <mergeCell ref="A2:B2"/>
  </mergeCell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E2"/>
  <sheetViews>
    <sheetView showFormulas="false" showGridLines="true" showRowColHeaders="true" showZeros="true" rightToLeft="false" tabSelected="false" showOutlineSymbols="true" defaultGridColor="true" view="normal" topLeftCell="A1" colorId="64" zoomScale="85" zoomScaleNormal="85" zoomScalePageLayoutView="100" workbookViewId="0">
      <selection pane="topLeft" activeCell="E13" activeCellId="0" sqref="E13"/>
    </sheetView>
  </sheetViews>
  <sheetFormatPr defaultColWidth="8.82421875" defaultRowHeight="14.25" zeroHeight="false" outlineLevelRow="0" outlineLevelCol="0"/>
  <cols>
    <col collapsed="false" customWidth="true" hidden="false" outlineLevel="0" max="1" min="1" style="75" width="12.09"/>
    <col collapsed="false" customWidth="true" hidden="false" outlineLevel="0" max="2" min="2" style="75" width="13.63"/>
    <col collapsed="false" customWidth="true" hidden="false" outlineLevel="0" max="3" min="3" style="75" width="28.73"/>
    <col collapsed="false" customWidth="true" hidden="false" outlineLevel="0" max="4" min="4" style="75" width="8.91"/>
    <col collapsed="false" customWidth="true" hidden="false" outlineLevel="0" max="5" min="5" style="75" width="18.73"/>
    <col collapsed="false" customWidth="true" hidden="false" outlineLevel="0" max="6" min="6" style="75" width="12.91"/>
    <col collapsed="false" customWidth="true" hidden="false" outlineLevel="0" max="7" min="7" style="75" width="20"/>
    <col collapsed="false" customWidth="true" hidden="false" outlineLevel="0" max="8" min="8" style="75" width="14.36"/>
    <col collapsed="false" customWidth="true" hidden="false" outlineLevel="0" max="9" min="9" style="75" width="23.82"/>
    <col collapsed="false" customWidth="true" hidden="false" outlineLevel="0" max="10" min="10" style="75" width="7.73"/>
    <col collapsed="false" customWidth="true" hidden="false" outlineLevel="0" max="11" min="11" style="75" width="16.73"/>
    <col collapsed="false" customWidth="true" hidden="false" outlineLevel="0" max="12" min="12" style="75" width="14.09"/>
    <col collapsed="false" customWidth="true" hidden="false" outlineLevel="0" max="13" min="13" style="75" width="4.82"/>
    <col collapsed="false" customWidth="true" hidden="false" outlineLevel="0" max="14" min="14" style="75" width="11.73"/>
    <col collapsed="false" customWidth="true" hidden="false" outlineLevel="0" max="15" min="15" style="75" width="32.63"/>
    <col collapsed="false" customWidth="true" hidden="false" outlineLevel="0" max="16" min="16" style="75" width="18.45"/>
    <col collapsed="false" customWidth="true" hidden="false" outlineLevel="0" max="17" min="17" style="75" width="32.63"/>
    <col collapsed="false" customWidth="true" hidden="false" outlineLevel="0" max="18" min="18" style="75" width="20.54"/>
    <col collapsed="false" customWidth="true" hidden="false" outlineLevel="0" max="20" min="19" style="75" width="16.27"/>
    <col collapsed="false" customWidth="true" hidden="false" outlineLevel="0" max="21" min="21" style="75" width="13.91"/>
    <col collapsed="false" customWidth="true" hidden="false" outlineLevel="0" max="22" min="22" style="75" width="34"/>
    <col collapsed="false" customWidth="true" hidden="false" outlineLevel="0" max="23" min="23" style="75" width="12.91"/>
    <col collapsed="false" customWidth="true" hidden="false" outlineLevel="0" max="24" min="24" style="75" width="13.91"/>
    <col collapsed="false" customWidth="true" hidden="false" outlineLevel="0" max="25" min="25" style="75" width="17.73"/>
    <col collapsed="false" customWidth="true" hidden="false" outlineLevel="0" max="26" min="26" style="75" width="17.54"/>
    <col collapsed="false" customWidth="true" hidden="false" outlineLevel="0" max="27" min="27" style="75" width="19.82"/>
    <col collapsed="false" customWidth="true" hidden="false" outlineLevel="0" max="28" min="28" style="75" width="29.63"/>
    <col collapsed="false" customWidth="true" hidden="false" outlineLevel="0" max="29" min="29" style="75" width="15.54"/>
    <col collapsed="false" customWidth="true" hidden="false" outlineLevel="0" max="30" min="30" style="75" width="33.18"/>
    <col collapsed="false" customWidth="true" hidden="false" outlineLevel="0" max="31" min="31" style="75" width="32.63"/>
    <col collapsed="false" customWidth="true" hidden="false" outlineLevel="0" max="32" min="32" style="75" width="14.54"/>
    <col collapsed="false" customWidth="true" hidden="false" outlineLevel="0" max="33" min="33" style="75" width="23.63"/>
    <col collapsed="false" customWidth="true" hidden="false" outlineLevel="0" max="34" min="34" style="75" width="13.45"/>
    <col collapsed="false" customWidth="true" hidden="false" outlineLevel="0" max="35" min="35" style="75" width="30.45"/>
    <col collapsed="false" customWidth="true" hidden="false" outlineLevel="0" max="36" min="36" style="75" width="12.45"/>
    <col collapsed="false" customWidth="true" hidden="false" outlineLevel="0" max="37" min="37" style="75" width="16.45"/>
    <col collapsed="false" customWidth="true" hidden="false" outlineLevel="0" max="38" min="38" style="75" width="10.82"/>
    <col collapsed="false" customWidth="true" hidden="false" outlineLevel="0" max="39" min="39" style="75" width="12.45"/>
    <col collapsed="false" customWidth="true" hidden="false" outlineLevel="0" max="40" min="40" style="75" width="10.09"/>
    <col collapsed="false" customWidth="true" hidden="false" outlineLevel="0" max="41" min="41" style="75" width="10.82"/>
    <col collapsed="false" customWidth="true" hidden="false" outlineLevel="0" max="42" min="42" style="75" width="12.45"/>
    <col collapsed="false" customWidth="true" hidden="false" outlineLevel="0" max="43" min="43" style="75" width="22.63"/>
    <col collapsed="false" customWidth="true" hidden="false" outlineLevel="0" max="44" min="44" style="75" width="33.82"/>
    <col collapsed="false" customWidth="true" hidden="false" outlineLevel="0" max="45" min="45" style="75" width="12.45"/>
    <col collapsed="false" customWidth="true" hidden="false" outlineLevel="0" max="46" min="46" style="75" width="13.45"/>
    <col collapsed="false" customWidth="true" hidden="false" outlineLevel="0" max="47" min="47" style="75" width="33.82"/>
    <col collapsed="false" customWidth="true" hidden="false" outlineLevel="0" max="48" min="48" style="75" width="12.45"/>
    <col collapsed="false" customWidth="true" hidden="false" outlineLevel="0" max="49" min="49" style="75" width="24.45"/>
    <col collapsed="false" customWidth="true" hidden="false" outlineLevel="0" max="50" min="50" style="75" width="6.82"/>
    <col collapsed="false" customWidth="true" hidden="false" outlineLevel="0" max="51" min="51" style="75" width="9.82"/>
    <col collapsed="false" customWidth="false" hidden="false" outlineLevel="0" max="16384" min="52" style="75" width="8.82"/>
  </cols>
  <sheetData>
    <row r="1" customFormat="false" ht="27.75" hidden="false" customHeight="true" outlineLevel="0" collapsed="false">
      <c r="A1" s="76" t="s">
        <v>787</v>
      </c>
      <c r="B1" s="77" t="s">
        <v>788</v>
      </c>
      <c r="C1" s="77" t="s">
        <v>789</v>
      </c>
      <c r="D1" s="77" t="s">
        <v>790</v>
      </c>
      <c r="E1" s="77" t="s">
        <v>791</v>
      </c>
      <c r="F1" s="77" t="s">
        <v>792</v>
      </c>
      <c r="G1" s="77" t="s">
        <v>793</v>
      </c>
      <c r="H1" s="77" t="s">
        <v>794</v>
      </c>
      <c r="I1" s="77" t="s">
        <v>795</v>
      </c>
      <c r="J1" s="77" t="s">
        <v>796</v>
      </c>
      <c r="K1" s="77" t="s">
        <v>797</v>
      </c>
      <c r="L1" s="77" t="s">
        <v>798</v>
      </c>
      <c r="M1" s="77" t="s">
        <v>799</v>
      </c>
      <c r="N1" s="77" t="s">
        <v>800</v>
      </c>
      <c r="O1" s="77" t="s">
        <v>801</v>
      </c>
      <c r="P1" s="77" t="s">
        <v>802</v>
      </c>
      <c r="Q1" s="77" t="s">
        <v>803</v>
      </c>
      <c r="R1" s="77" t="s">
        <v>804</v>
      </c>
      <c r="S1" s="77" t="s">
        <v>805</v>
      </c>
      <c r="T1" s="77" t="s">
        <v>806</v>
      </c>
      <c r="U1" s="77" t="s">
        <v>807</v>
      </c>
      <c r="V1" s="77" t="s">
        <v>808</v>
      </c>
      <c r="W1" s="77" t="s">
        <v>809</v>
      </c>
      <c r="X1" s="77" t="s">
        <v>810</v>
      </c>
      <c r="Y1" s="77" t="s">
        <v>811</v>
      </c>
      <c r="Z1" s="77" t="s">
        <v>812</v>
      </c>
      <c r="AA1" s="77" t="s">
        <v>813</v>
      </c>
      <c r="AB1" s="77" t="s">
        <v>814</v>
      </c>
      <c r="AC1" s="77" t="s">
        <v>815</v>
      </c>
      <c r="AD1" s="77" t="s">
        <v>816</v>
      </c>
      <c r="AE1" s="77" t="s">
        <v>817</v>
      </c>
    </row>
    <row r="2" customFormat="false" ht="20.85" hidden="false" customHeight="false" outlineLevel="0" collapsed="false">
      <c r="A2" s="78" t="s">
        <v>818</v>
      </c>
      <c r="B2" s="78" t="s">
        <v>819</v>
      </c>
      <c r="C2" s="78" t="s">
        <v>820</v>
      </c>
      <c r="D2" s="78" t="s">
        <v>718</v>
      </c>
      <c r="E2" s="78" t="s">
        <v>821</v>
      </c>
      <c r="F2" s="78" t="s">
        <v>822</v>
      </c>
      <c r="G2" s="78" t="s">
        <v>823</v>
      </c>
      <c r="H2" s="78" t="s">
        <v>824</v>
      </c>
      <c r="I2" s="78" t="s">
        <v>825</v>
      </c>
      <c r="J2" s="78" t="s">
        <v>826</v>
      </c>
      <c r="K2" s="79" t="n">
        <v>6652.24</v>
      </c>
      <c r="L2" s="80" t="n">
        <v>46147</v>
      </c>
      <c r="M2" s="78" t="s">
        <v>827</v>
      </c>
      <c r="N2" s="78" t="s">
        <v>828</v>
      </c>
      <c r="O2" s="78" t="s">
        <v>829</v>
      </c>
      <c r="P2" s="78"/>
      <c r="Q2" s="78" t="s">
        <v>829</v>
      </c>
      <c r="R2" s="78"/>
      <c r="S2" s="78" t="s">
        <v>830</v>
      </c>
      <c r="T2" s="78" t="s">
        <v>640</v>
      </c>
      <c r="U2" s="78" t="s">
        <v>831</v>
      </c>
      <c r="V2" s="78"/>
      <c r="W2" s="78" t="s">
        <v>822</v>
      </c>
      <c r="X2" s="78" t="s">
        <v>832</v>
      </c>
      <c r="Y2" s="78" t="s">
        <v>833</v>
      </c>
      <c r="Z2" s="78" t="s">
        <v>834</v>
      </c>
      <c r="AA2" s="78"/>
      <c r="AB2" s="78" t="s">
        <v>835</v>
      </c>
      <c r="AC2" s="78" t="s">
        <v>747</v>
      </c>
      <c r="AD2" s="78"/>
      <c r="AE2" s="78" t="str">
        <f aca="false">IF($M2="DR", $O2, $X2)</f>
        <v>IBERIA LINEA0752114330312SAO PAULO    BR</v>
      </c>
    </row>
  </sheetData>
  <sheetProtection algorithmName="SHA-512" hashValue="ZkvCzOxk3pWYPhX7kGo0IHtihiXGYUUykJB8sWdcEhtlCsRJuvV+OzkZ0IFct/sRgI+vdsaD7y2DeNpS3pbVfg==" saltValue="A2SJ+JDaU6YKV6lF44MDsw==" spinCount="100000" sheet="true" objects="true" scenarios="true"/>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EEBF7"/>
    <pageSetUpPr fitToPage="false"/>
  </sheetPr>
  <dimension ref="A1:I179"/>
  <sheetViews>
    <sheetView showFormulas="false" showGridLines="true" showRowColHeaders="true" showZeros="true" rightToLeft="false" tabSelected="false" showOutlineSymbols="true" defaultGridColor="true" view="normal" topLeftCell="A170" colorId="64" zoomScale="115" zoomScaleNormal="115" zoomScalePageLayoutView="100" workbookViewId="0">
      <selection pane="topLeft" activeCell="I178" activeCellId="0" sqref="I178"/>
    </sheetView>
  </sheetViews>
  <sheetFormatPr defaultColWidth="8.6796875" defaultRowHeight="14.25" zeroHeight="false" outlineLevelRow="0" outlineLevelCol="0"/>
  <cols>
    <col collapsed="false" customWidth="true" hidden="false" outlineLevel="0" max="1" min="1" style="0" width="14.82"/>
    <col collapsed="false" customWidth="true" hidden="false" outlineLevel="0" max="2" min="2" style="0" width="9.18"/>
    <col collapsed="false" customWidth="true" hidden="false" outlineLevel="0" max="3" min="3" style="0" width="11.27"/>
    <col collapsed="false" customWidth="true" hidden="false" outlineLevel="0" max="4" min="4" style="0" width="11.54"/>
    <col collapsed="false" customWidth="true" hidden="false" outlineLevel="0" max="5" min="5" style="0" width="12.82"/>
    <col collapsed="false" customWidth="true" hidden="false" outlineLevel="0" max="6" min="6" style="0" width="25.18"/>
    <col collapsed="false" customWidth="true" hidden="false" outlineLevel="0" max="7" min="7" style="0" width="11.18"/>
    <col collapsed="false" customWidth="true" hidden="false" outlineLevel="0" max="8" min="8" style="0" width="14.27"/>
  </cols>
  <sheetData>
    <row r="1" customFormat="false" ht="14.25" hidden="false" customHeight="false" outlineLevel="0" collapsed="false">
      <c r="A1" s="0" t="s">
        <v>836</v>
      </c>
      <c r="B1" s="0" t="s">
        <v>837</v>
      </c>
      <c r="C1" s="0" t="s">
        <v>838</v>
      </c>
      <c r="D1" s="0" t="s">
        <v>839</v>
      </c>
      <c r="E1" s="0" t="s">
        <v>840</v>
      </c>
      <c r="F1" s="0" t="s">
        <v>841</v>
      </c>
      <c r="G1" s="0" t="s">
        <v>842</v>
      </c>
      <c r="H1" s="81" t="s">
        <v>843</v>
      </c>
      <c r="I1" s="81" t="s">
        <v>844</v>
      </c>
    </row>
    <row r="2" customFormat="false" ht="14.25" hidden="false" customHeight="false" outlineLevel="0" collapsed="false">
      <c r="A2" s="82" t="n">
        <v>46142.9303587963</v>
      </c>
      <c r="B2" s="83" t="s">
        <v>845</v>
      </c>
      <c r="C2" s="0" t="n">
        <v>12</v>
      </c>
      <c r="D2" s="0" t="n">
        <v>1</v>
      </c>
      <c r="E2" s="0" t="n">
        <v>5</v>
      </c>
      <c r="F2" s="83" t="s">
        <v>846</v>
      </c>
      <c r="G2" s="83" t="s">
        <v>847</v>
      </c>
    </row>
    <row r="3" customFormat="false" ht="14.25" hidden="false" customHeight="false" outlineLevel="0" collapsed="false">
      <c r="A3" s="82" t="n">
        <v>46142.9374768519</v>
      </c>
      <c r="B3" s="83" t="s">
        <v>845</v>
      </c>
      <c r="C3" s="0" t="n">
        <v>123</v>
      </c>
      <c r="D3" s="0" t="n">
        <v>1</v>
      </c>
      <c r="E3" s="0" t="n">
        <v>1</v>
      </c>
      <c r="F3" s="83" t="s">
        <v>848</v>
      </c>
      <c r="G3" s="83" t="s">
        <v>847</v>
      </c>
    </row>
    <row r="4" customFormat="false" ht="14.25" hidden="false" customHeight="false" outlineLevel="0" collapsed="false">
      <c r="A4" s="82" t="n">
        <v>46145.3708912037</v>
      </c>
      <c r="B4" s="83" t="s">
        <v>845</v>
      </c>
      <c r="C4" s="0" t="n">
        <v>123</v>
      </c>
      <c r="D4" s="0" t="n">
        <v>7</v>
      </c>
      <c r="E4" s="0" t="n">
        <v>0</v>
      </c>
      <c r="F4" s="83" t="s">
        <v>849</v>
      </c>
      <c r="G4" s="83" t="s">
        <v>850</v>
      </c>
    </row>
    <row r="5" customFormat="false" ht="14.25" hidden="false" customHeight="false" outlineLevel="0" collapsed="false">
      <c r="A5" s="82" t="n">
        <v>46145.384375</v>
      </c>
      <c r="B5" s="83" t="s">
        <v>845</v>
      </c>
      <c r="C5" s="0" t="n">
        <v>123</v>
      </c>
      <c r="D5" s="0" t="n">
        <v>7</v>
      </c>
      <c r="E5" s="0" t="n">
        <v>35</v>
      </c>
      <c r="F5" s="83" t="s">
        <v>851</v>
      </c>
      <c r="G5" s="83" t="s">
        <v>852</v>
      </c>
    </row>
    <row r="6" customFormat="false" ht="14.25" hidden="false" customHeight="false" outlineLevel="0" collapsed="false">
      <c r="A6" s="82" t="n">
        <v>46145.402349537</v>
      </c>
      <c r="B6" s="83" t="s">
        <v>845</v>
      </c>
      <c r="C6" s="0" t="n">
        <v>123</v>
      </c>
      <c r="D6" s="0" t="n">
        <v>7</v>
      </c>
      <c r="E6" s="0" t="n">
        <v>35</v>
      </c>
      <c r="F6" s="83" t="s">
        <v>853</v>
      </c>
      <c r="G6" s="83" t="s">
        <v>852</v>
      </c>
    </row>
    <row r="7" customFormat="false" ht="14.25" hidden="false" customHeight="false" outlineLevel="0" collapsed="false">
      <c r="A7" s="82" t="n">
        <v>46145.4669444444</v>
      </c>
      <c r="B7" s="83" t="s">
        <v>845</v>
      </c>
      <c r="C7" s="0" t="n">
        <v>123</v>
      </c>
      <c r="D7" s="0" t="n">
        <v>5</v>
      </c>
      <c r="E7" s="0" t="n">
        <v>23</v>
      </c>
      <c r="F7" s="83" t="s">
        <v>854</v>
      </c>
      <c r="G7" s="83" t="s">
        <v>852</v>
      </c>
    </row>
    <row r="8" customFormat="false" ht="14.25" hidden="false" customHeight="false" outlineLevel="0" collapsed="false">
      <c r="A8" s="82" t="n">
        <v>46145.4736226852</v>
      </c>
      <c r="B8" s="83" t="s">
        <v>845</v>
      </c>
      <c r="C8" s="0" t="n">
        <v>11111</v>
      </c>
      <c r="D8" s="0" t="n">
        <v>1</v>
      </c>
      <c r="E8" s="0" t="n">
        <v>5</v>
      </c>
      <c r="F8" s="83" t="s">
        <v>855</v>
      </c>
      <c r="G8" s="83" t="s">
        <v>852</v>
      </c>
    </row>
    <row r="9" customFormat="false" ht="14.25" hidden="false" customHeight="false" outlineLevel="0" collapsed="false">
      <c r="A9" s="82" t="n">
        <v>46145.474849537</v>
      </c>
      <c r="B9" s="83" t="s">
        <v>845</v>
      </c>
      <c r="C9" s="0" t="n">
        <v>1</v>
      </c>
      <c r="D9" s="0" t="n">
        <v>1</v>
      </c>
      <c r="E9" s="0" t="n">
        <v>5</v>
      </c>
      <c r="F9" s="83" t="s">
        <v>856</v>
      </c>
      <c r="G9" s="83" t="s">
        <v>852</v>
      </c>
    </row>
    <row r="10" customFormat="false" ht="14.25" hidden="false" customHeight="false" outlineLevel="0" collapsed="false">
      <c r="A10" s="82" t="n">
        <v>46145.594849537</v>
      </c>
      <c r="B10" s="83" t="s">
        <v>845</v>
      </c>
      <c r="C10" s="0" t="n">
        <v>123</v>
      </c>
      <c r="D10" s="0" t="n">
        <v>1</v>
      </c>
      <c r="E10" s="0" t="n">
        <v>5</v>
      </c>
      <c r="F10" s="83" t="s">
        <v>857</v>
      </c>
      <c r="G10" s="83" t="s">
        <v>852</v>
      </c>
    </row>
    <row r="11" customFormat="false" ht="14.25" hidden="false" customHeight="false" outlineLevel="0" collapsed="false">
      <c r="A11" s="82" t="n">
        <v>46145.9608680556</v>
      </c>
      <c r="B11" s="83" t="s">
        <v>845</v>
      </c>
      <c r="C11" s="0" t="n">
        <v>19793</v>
      </c>
      <c r="D11" s="0" t="n">
        <v>5</v>
      </c>
      <c r="E11" s="0" t="n">
        <v>23</v>
      </c>
      <c r="F11" s="83" t="s">
        <v>858</v>
      </c>
      <c r="G11" s="83" t="s">
        <v>859</v>
      </c>
    </row>
    <row r="12" customFormat="false" ht="14.25" hidden="false" customHeight="false" outlineLevel="0" collapsed="false">
      <c r="A12" s="82" t="n">
        <v>46145.9725347222</v>
      </c>
      <c r="B12" s="83" t="s">
        <v>845</v>
      </c>
      <c r="C12" s="0" t="n">
        <v>19793</v>
      </c>
      <c r="D12" s="0" t="n">
        <v>5</v>
      </c>
      <c r="E12" s="0" t="n">
        <v>23</v>
      </c>
      <c r="F12" s="83" t="s">
        <v>860</v>
      </c>
      <c r="G12" s="83" t="s">
        <v>859</v>
      </c>
    </row>
    <row r="13" customFormat="false" ht="14.25" hidden="false" customHeight="false" outlineLevel="0" collapsed="false">
      <c r="A13" s="82" t="n">
        <v>46145.9945833333</v>
      </c>
      <c r="B13" s="83" t="s">
        <v>845</v>
      </c>
      <c r="C13" s="0" t="n">
        <v>19793</v>
      </c>
      <c r="D13" s="0" t="n">
        <v>5</v>
      </c>
      <c r="E13" s="0" t="n">
        <v>23</v>
      </c>
      <c r="F13" s="83" t="s">
        <v>861</v>
      </c>
      <c r="G13" s="83" t="s">
        <v>862</v>
      </c>
    </row>
    <row r="14" customFormat="false" ht="14.25" hidden="false" customHeight="false" outlineLevel="0" collapsed="false">
      <c r="A14" s="82" t="n">
        <v>46146.0080671296</v>
      </c>
      <c r="B14" s="83" t="s">
        <v>845</v>
      </c>
      <c r="C14" s="0" t="n">
        <v>19793</v>
      </c>
      <c r="D14" s="0" t="n">
        <v>5</v>
      </c>
      <c r="E14" s="0" t="n">
        <v>23</v>
      </c>
      <c r="F14" s="83" t="s">
        <v>863</v>
      </c>
      <c r="G14" s="83" t="s">
        <v>864</v>
      </c>
    </row>
    <row r="15" customFormat="false" ht="14.25" hidden="false" customHeight="false" outlineLevel="0" collapsed="false">
      <c r="A15" s="82" t="n">
        <v>46146.0188541667</v>
      </c>
      <c r="B15" s="83" t="s">
        <v>845</v>
      </c>
      <c r="C15" s="0" t="n">
        <v>1</v>
      </c>
      <c r="D15" s="0" t="n">
        <v>5</v>
      </c>
      <c r="E15" s="0" t="n">
        <v>23</v>
      </c>
      <c r="F15" s="83" t="s">
        <v>865</v>
      </c>
      <c r="G15" s="83" t="s">
        <v>864</v>
      </c>
    </row>
    <row r="16" customFormat="false" ht="14.25" hidden="false" customHeight="false" outlineLevel="0" collapsed="false">
      <c r="A16" s="82" t="n">
        <v>46146.0290972222</v>
      </c>
      <c r="B16" s="83" t="s">
        <v>845</v>
      </c>
      <c r="C16" s="0" t="n">
        <v>1</v>
      </c>
      <c r="D16" s="0" t="n">
        <v>5</v>
      </c>
      <c r="E16" s="0" t="n">
        <v>23</v>
      </c>
      <c r="F16" s="83" t="s">
        <v>866</v>
      </c>
      <c r="G16" s="83" t="s">
        <v>867</v>
      </c>
    </row>
    <row r="17" customFormat="false" ht="14.25" hidden="false" customHeight="false" outlineLevel="0" collapsed="false">
      <c r="A17" s="82" t="n">
        <v>46146.0402893519</v>
      </c>
      <c r="B17" s="83" t="s">
        <v>845</v>
      </c>
      <c r="C17" s="0" t="n">
        <v>1</v>
      </c>
      <c r="D17" s="0" t="n">
        <v>5</v>
      </c>
      <c r="E17" s="0" t="n">
        <v>23</v>
      </c>
      <c r="F17" s="83" t="s">
        <v>868</v>
      </c>
      <c r="G17" s="83" t="s">
        <v>869</v>
      </c>
    </row>
    <row r="18" customFormat="false" ht="14.25" hidden="false" customHeight="false" outlineLevel="0" collapsed="false">
      <c r="A18" s="82" t="n">
        <v>46146.0638888889</v>
      </c>
      <c r="B18" s="83" t="s">
        <v>845</v>
      </c>
      <c r="C18" s="0" t="n">
        <v>1</v>
      </c>
      <c r="D18" s="0" t="n">
        <v>5</v>
      </c>
      <c r="E18" s="0" t="n">
        <v>23</v>
      </c>
      <c r="F18" s="83" t="s">
        <v>870</v>
      </c>
      <c r="G18" s="83" t="s">
        <v>871</v>
      </c>
    </row>
    <row r="19" customFormat="false" ht="14.25" hidden="false" customHeight="false" outlineLevel="0" collapsed="false">
      <c r="A19" s="82" t="n">
        <v>46146.0778935185</v>
      </c>
      <c r="B19" s="83" t="s">
        <v>845</v>
      </c>
      <c r="C19" s="0" t="n">
        <v>2</v>
      </c>
      <c r="D19" s="0" t="n">
        <v>5</v>
      </c>
      <c r="E19" s="0" t="n">
        <v>23</v>
      </c>
      <c r="F19" s="83" t="s">
        <v>872</v>
      </c>
      <c r="G19" s="83" t="s">
        <v>873</v>
      </c>
    </row>
    <row r="20" customFormat="false" ht="14.25" hidden="false" customHeight="false" outlineLevel="0" collapsed="false">
      <c r="A20" s="82" t="n">
        <v>46146.3166203704</v>
      </c>
      <c r="B20" s="83" t="s">
        <v>845</v>
      </c>
      <c r="C20" s="0" t="n">
        <v>2</v>
      </c>
      <c r="D20" s="0" t="n">
        <v>5</v>
      </c>
      <c r="E20" s="0" t="n">
        <v>23</v>
      </c>
      <c r="F20" s="83" t="s">
        <v>874</v>
      </c>
      <c r="G20" s="83" t="s">
        <v>873</v>
      </c>
    </row>
    <row r="21" customFormat="false" ht="14.25" hidden="false" customHeight="false" outlineLevel="0" collapsed="false">
      <c r="A21" s="82" t="n">
        <v>46146.3284375</v>
      </c>
      <c r="B21" s="83" t="s">
        <v>845</v>
      </c>
      <c r="C21" s="0" t="n">
        <v>3</v>
      </c>
      <c r="D21" s="0" t="n">
        <v>5</v>
      </c>
      <c r="E21" s="0" t="n">
        <v>23</v>
      </c>
      <c r="F21" s="83" t="s">
        <v>875</v>
      </c>
      <c r="G21" s="83" t="s">
        <v>876</v>
      </c>
    </row>
    <row r="22" customFormat="false" ht="14.25" hidden="false" customHeight="false" outlineLevel="0" collapsed="false">
      <c r="A22" s="82" t="n">
        <v>46146.3469560185</v>
      </c>
      <c r="B22" s="83" t="s">
        <v>845</v>
      </c>
      <c r="C22" s="0" t="n">
        <v>19797</v>
      </c>
      <c r="D22" s="0" t="n">
        <v>2</v>
      </c>
      <c r="E22" s="0" t="n">
        <v>11</v>
      </c>
      <c r="F22" s="83" t="s">
        <v>877</v>
      </c>
      <c r="G22" s="83" t="s">
        <v>878</v>
      </c>
    </row>
    <row r="23" customFormat="false" ht="14.25" hidden="false" customHeight="false" outlineLevel="0" collapsed="false">
      <c r="A23" s="82" t="n">
        <v>46146.371712963</v>
      </c>
      <c r="B23" s="83" t="s">
        <v>845</v>
      </c>
      <c r="C23" s="0" t="n">
        <v>94540</v>
      </c>
      <c r="D23" s="0" t="n">
        <v>5</v>
      </c>
      <c r="E23" s="0" t="n">
        <v>17</v>
      </c>
      <c r="F23" s="83" t="s">
        <v>879</v>
      </c>
      <c r="G23" s="83" t="s">
        <v>880</v>
      </c>
    </row>
    <row r="24" customFormat="false" ht="14.25" hidden="false" customHeight="false" outlineLevel="0" collapsed="false">
      <c r="A24" s="82" t="n">
        <v>46146.4778356482</v>
      </c>
      <c r="B24" s="83" t="s">
        <v>845</v>
      </c>
      <c r="C24" s="0" t="n">
        <v>123</v>
      </c>
      <c r="D24" s="0" t="n">
        <v>1</v>
      </c>
      <c r="E24" s="0" t="n">
        <v>5</v>
      </c>
      <c r="F24" s="83" t="s">
        <v>881</v>
      </c>
      <c r="G24" s="83" t="s">
        <v>880</v>
      </c>
    </row>
    <row r="25" customFormat="false" ht="14.25" hidden="false" customHeight="false" outlineLevel="0" collapsed="false">
      <c r="A25" s="82" t="n">
        <v>46146.5253240741</v>
      </c>
      <c r="B25" s="83" t="s">
        <v>845</v>
      </c>
      <c r="C25" s="0" t="n">
        <v>109720</v>
      </c>
      <c r="D25" s="0" t="n">
        <v>5</v>
      </c>
      <c r="E25" s="0" t="n">
        <v>27</v>
      </c>
      <c r="F25" s="83" t="s">
        <v>882</v>
      </c>
      <c r="G25" s="83" t="s">
        <v>880</v>
      </c>
    </row>
    <row r="26" customFormat="false" ht="14.25" hidden="false" customHeight="false" outlineLevel="0" collapsed="false">
      <c r="A26" s="82" t="n">
        <v>46147.4099305556</v>
      </c>
      <c r="B26" s="83" t="s">
        <v>845</v>
      </c>
      <c r="C26" s="0" t="n">
        <v>12345</v>
      </c>
      <c r="D26" s="0" t="n">
        <v>2</v>
      </c>
      <c r="E26" s="0" t="n">
        <v>10</v>
      </c>
      <c r="F26" s="83" t="s">
        <v>883</v>
      </c>
      <c r="G26" s="83" t="s">
        <v>880</v>
      </c>
    </row>
    <row r="27" customFormat="false" ht="14.25" hidden="false" customHeight="false" outlineLevel="0" collapsed="false">
      <c r="A27" s="82" t="n">
        <v>46147.4121296296</v>
      </c>
      <c r="B27" s="83" t="s">
        <v>845</v>
      </c>
      <c r="C27" s="0" t="n">
        <v>12345</v>
      </c>
      <c r="D27" s="0" t="n">
        <v>2</v>
      </c>
      <c r="E27" s="0" t="n">
        <v>10</v>
      </c>
      <c r="F27" s="83" t="s">
        <v>884</v>
      </c>
      <c r="G27" s="83" t="s">
        <v>880</v>
      </c>
    </row>
    <row r="28" customFormat="false" ht="14.25" hidden="false" customHeight="false" outlineLevel="0" collapsed="false">
      <c r="A28" s="82" t="n">
        <v>46147.5093055556</v>
      </c>
      <c r="B28" s="83" t="s">
        <v>845</v>
      </c>
      <c r="C28" s="0" t="n">
        <v>12345</v>
      </c>
      <c r="D28" s="0" t="n">
        <v>2</v>
      </c>
      <c r="E28" s="0" t="n">
        <v>10</v>
      </c>
      <c r="F28" s="83" t="s">
        <v>885</v>
      </c>
      <c r="G28" s="83" t="s">
        <v>880</v>
      </c>
    </row>
    <row r="29" customFormat="false" ht="14.25" hidden="false" customHeight="false" outlineLevel="0" collapsed="false">
      <c r="A29" s="82" t="n">
        <v>46147.5141898148</v>
      </c>
      <c r="B29" s="83" t="s">
        <v>845</v>
      </c>
      <c r="C29" s="0" t="n">
        <v>12345</v>
      </c>
      <c r="D29" s="0" t="n">
        <v>2</v>
      </c>
      <c r="E29" s="0" t="n">
        <v>10</v>
      </c>
      <c r="F29" s="83" t="s">
        <v>886</v>
      </c>
      <c r="G29" s="83" t="s">
        <v>880</v>
      </c>
    </row>
    <row r="30" customFormat="false" ht="14.25" hidden="false" customHeight="false" outlineLevel="0" collapsed="false">
      <c r="A30" s="82" t="n">
        <v>46147.6717476852</v>
      </c>
      <c r="B30" s="83" t="s">
        <v>845</v>
      </c>
      <c r="C30" s="0" t="n">
        <v>108077</v>
      </c>
      <c r="D30" s="0" t="n">
        <v>5</v>
      </c>
      <c r="E30" s="0" t="n">
        <v>15</v>
      </c>
      <c r="F30" s="83" t="s">
        <v>887</v>
      </c>
      <c r="G30" s="83" t="s">
        <v>880</v>
      </c>
    </row>
    <row r="31" customFormat="false" ht="14.25" hidden="false" customHeight="false" outlineLevel="0" collapsed="false">
      <c r="A31" s="82" t="n">
        <v>46147.7965046296</v>
      </c>
      <c r="B31" s="83" t="s">
        <v>845</v>
      </c>
      <c r="C31" s="0" t="n">
        <v>32617</v>
      </c>
      <c r="D31" s="0" t="n">
        <v>4</v>
      </c>
      <c r="E31" s="0" t="n">
        <v>24</v>
      </c>
      <c r="F31" s="83" t="s">
        <v>888</v>
      </c>
      <c r="G31" s="83" t="s">
        <v>880</v>
      </c>
    </row>
    <row r="32" customFormat="false" ht="14.25" hidden="false" customHeight="false" outlineLevel="0" collapsed="false">
      <c r="A32" s="82" t="n">
        <v>46147.95625</v>
      </c>
      <c r="B32" s="83" t="s">
        <v>845</v>
      </c>
      <c r="C32" s="0" t="n">
        <v>48570</v>
      </c>
      <c r="D32" s="0" t="n">
        <v>2</v>
      </c>
      <c r="E32" s="0" t="n">
        <v>8</v>
      </c>
      <c r="F32" s="83" t="s">
        <v>889</v>
      </c>
      <c r="G32" s="83" t="s">
        <v>880</v>
      </c>
    </row>
    <row r="33" customFormat="false" ht="14.25" hidden="false" customHeight="false" outlineLevel="0" collapsed="false">
      <c r="A33" s="82" t="n">
        <v>46147.9824652778</v>
      </c>
      <c r="B33" s="83" t="s">
        <v>845</v>
      </c>
      <c r="C33" s="0" t="n">
        <v>48570</v>
      </c>
      <c r="D33" s="0" t="n">
        <v>2</v>
      </c>
      <c r="E33" s="0" t="n">
        <v>9</v>
      </c>
      <c r="F33" s="83" t="s">
        <v>890</v>
      </c>
      <c r="G33" s="83" t="s">
        <v>880</v>
      </c>
    </row>
    <row r="34" customFormat="false" ht="14.25" hidden="false" customHeight="false" outlineLevel="0" collapsed="false">
      <c r="A34" s="82" t="n">
        <v>46148.0083101852</v>
      </c>
      <c r="B34" s="83" t="s">
        <v>845</v>
      </c>
      <c r="C34" s="0" t="n">
        <v>49215</v>
      </c>
      <c r="D34" s="0" t="n">
        <v>2</v>
      </c>
      <c r="E34" s="0" t="n">
        <v>6</v>
      </c>
      <c r="F34" s="83" t="s">
        <v>891</v>
      </c>
      <c r="G34" s="83" t="s">
        <v>880</v>
      </c>
    </row>
    <row r="35" customFormat="false" ht="14.25" hidden="false" customHeight="false" outlineLevel="0" collapsed="false">
      <c r="A35" s="82" t="n">
        <v>46148.3876388889</v>
      </c>
      <c r="B35" s="83" t="s">
        <v>845</v>
      </c>
      <c r="C35" s="0" t="n">
        <v>85844</v>
      </c>
      <c r="D35" s="0" t="n">
        <v>3</v>
      </c>
      <c r="E35" s="0" t="n">
        <v>9</v>
      </c>
      <c r="F35" s="83" t="s">
        <v>892</v>
      </c>
      <c r="G35" s="83" t="s">
        <v>880</v>
      </c>
    </row>
    <row r="36" customFormat="false" ht="14.25" hidden="false" customHeight="false" outlineLevel="0" collapsed="false">
      <c r="A36" s="82" t="n">
        <v>46148.4038078704</v>
      </c>
      <c r="B36" s="83" t="s">
        <v>845</v>
      </c>
      <c r="C36" s="0" t="n">
        <v>49228</v>
      </c>
      <c r="D36" s="0" t="n">
        <v>2</v>
      </c>
      <c r="E36" s="0" t="n">
        <v>6</v>
      </c>
      <c r="F36" s="83" t="s">
        <v>857</v>
      </c>
      <c r="G36" s="83" t="s">
        <v>880</v>
      </c>
    </row>
    <row r="37" customFormat="false" ht="14.25" hidden="false" customHeight="false" outlineLevel="0" collapsed="false">
      <c r="A37" s="82" t="n">
        <v>46148.4134490741</v>
      </c>
      <c r="B37" s="83" t="s">
        <v>845</v>
      </c>
      <c r="C37" s="0" t="n">
        <v>49246</v>
      </c>
      <c r="D37" s="0" t="n">
        <v>2</v>
      </c>
      <c r="E37" s="0" t="n">
        <v>6</v>
      </c>
      <c r="F37" s="83" t="s">
        <v>893</v>
      </c>
      <c r="G37" s="83" t="s">
        <v>880</v>
      </c>
    </row>
    <row r="38" customFormat="false" ht="14.25" hidden="false" customHeight="false" outlineLevel="0" collapsed="false">
      <c r="A38" s="82" t="n">
        <v>46148.6164699074</v>
      </c>
      <c r="B38" s="83" t="s">
        <v>845</v>
      </c>
      <c r="C38" s="0" t="n">
        <v>1</v>
      </c>
      <c r="D38" s="0" t="n">
        <v>2</v>
      </c>
      <c r="E38" s="0" t="n">
        <v>6</v>
      </c>
      <c r="F38" s="83" t="s">
        <v>894</v>
      </c>
      <c r="G38" s="83" t="s">
        <v>880</v>
      </c>
    </row>
    <row r="39" customFormat="false" ht="14.25" hidden="false" customHeight="false" outlineLevel="0" collapsed="false">
      <c r="A39" s="82" t="n">
        <v>46148.6947106482</v>
      </c>
      <c r="B39" s="83" t="s">
        <v>845</v>
      </c>
      <c r="C39" s="0" t="n">
        <v>107260</v>
      </c>
      <c r="D39" s="0" t="n">
        <v>2</v>
      </c>
      <c r="E39" s="0" t="n">
        <v>8</v>
      </c>
      <c r="F39" s="83" t="s">
        <v>895</v>
      </c>
      <c r="G39" s="83" t="s">
        <v>880</v>
      </c>
    </row>
    <row r="40" customFormat="false" ht="14.25" hidden="false" customHeight="false" outlineLevel="0" collapsed="false">
      <c r="A40" s="82" t="n">
        <v>46148.709212963</v>
      </c>
      <c r="B40" s="83" t="s">
        <v>845</v>
      </c>
      <c r="C40" s="0" t="n">
        <v>107260</v>
      </c>
      <c r="D40" s="0" t="n">
        <v>1</v>
      </c>
      <c r="E40" s="0" t="n">
        <v>5</v>
      </c>
      <c r="F40" s="83" t="s">
        <v>855</v>
      </c>
      <c r="G40" s="83" t="s">
        <v>880</v>
      </c>
    </row>
    <row r="41" customFormat="false" ht="14.25" hidden="false" customHeight="false" outlineLevel="0" collapsed="false">
      <c r="A41" s="82" t="n">
        <v>46149.5302893519</v>
      </c>
      <c r="B41" s="83" t="s">
        <v>845</v>
      </c>
      <c r="C41" s="0" t="n">
        <v>106412</v>
      </c>
      <c r="D41" s="0" t="n">
        <v>2</v>
      </c>
      <c r="E41" s="0" t="n">
        <v>11</v>
      </c>
      <c r="F41" s="83" t="s">
        <v>896</v>
      </c>
      <c r="G41" s="83" t="s">
        <v>880</v>
      </c>
    </row>
    <row r="42" customFormat="false" ht="14.25" hidden="false" customHeight="false" outlineLevel="0" collapsed="false">
      <c r="A42" s="82" t="n">
        <v>46149.6217592593</v>
      </c>
      <c r="B42" s="83" t="s">
        <v>845</v>
      </c>
      <c r="C42" s="0" t="n">
        <v>84448</v>
      </c>
      <c r="D42" s="0" t="n">
        <v>3</v>
      </c>
      <c r="E42" s="0" t="n">
        <v>9</v>
      </c>
      <c r="F42" s="83" t="s">
        <v>897</v>
      </c>
      <c r="G42" s="83" t="s">
        <v>880</v>
      </c>
    </row>
    <row r="43" customFormat="false" ht="14.25" hidden="false" customHeight="false" outlineLevel="0" collapsed="false">
      <c r="A43" s="82" t="n">
        <v>46149.8853472222</v>
      </c>
      <c r="B43" s="83" t="s">
        <v>845</v>
      </c>
      <c r="C43" s="0" t="n">
        <v>84351</v>
      </c>
      <c r="D43" s="0" t="n">
        <v>2</v>
      </c>
      <c r="E43" s="0" t="n">
        <v>12</v>
      </c>
      <c r="F43" s="83" t="s">
        <v>898</v>
      </c>
      <c r="G43" s="83" t="s">
        <v>880</v>
      </c>
    </row>
    <row r="44" customFormat="false" ht="14.25" hidden="false" customHeight="false" outlineLevel="0" collapsed="false">
      <c r="A44" s="82" t="n">
        <v>46149.9405671296</v>
      </c>
      <c r="B44" s="83" t="s">
        <v>845</v>
      </c>
      <c r="C44" s="0" t="n">
        <v>1</v>
      </c>
      <c r="D44" s="0" t="n">
        <v>2</v>
      </c>
      <c r="E44" s="0" t="n">
        <v>14</v>
      </c>
      <c r="F44" s="83" t="s">
        <v>899</v>
      </c>
      <c r="G44" s="83" t="s">
        <v>880</v>
      </c>
    </row>
    <row r="45" customFormat="false" ht="14.25" hidden="false" customHeight="false" outlineLevel="0" collapsed="false">
      <c r="A45" s="82" t="n">
        <v>46150.5959027778</v>
      </c>
      <c r="B45" s="83" t="s">
        <v>845</v>
      </c>
      <c r="C45" s="0" t="n">
        <v>105847</v>
      </c>
      <c r="D45" s="0" t="n">
        <v>5</v>
      </c>
      <c r="E45" s="0" t="n">
        <v>25</v>
      </c>
      <c r="F45" s="83" t="s">
        <v>900</v>
      </c>
      <c r="G45" s="83" t="s">
        <v>880</v>
      </c>
    </row>
    <row r="46" customFormat="false" ht="14.25" hidden="false" customHeight="false" outlineLevel="0" collapsed="false">
      <c r="A46" s="82" t="n">
        <v>46150.8027430556</v>
      </c>
      <c r="B46" s="83" t="s">
        <v>845</v>
      </c>
      <c r="C46" s="0" t="n">
        <v>82335</v>
      </c>
      <c r="D46" s="0" t="n">
        <v>5</v>
      </c>
      <c r="E46" s="0" t="n">
        <v>31</v>
      </c>
      <c r="F46" s="83" t="s">
        <v>901</v>
      </c>
      <c r="G46" s="83" t="s">
        <v>880</v>
      </c>
    </row>
    <row r="47" customFormat="false" ht="14.25" hidden="false" customHeight="false" outlineLevel="0" collapsed="false">
      <c r="A47" s="82" t="n">
        <v>46153.5935300926</v>
      </c>
      <c r="B47" s="83" t="s">
        <v>845</v>
      </c>
      <c r="C47" s="0" t="n">
        <v>81022</v>
      </c>
      <c r="D47" s="0" t="n">
        <v>1</v>
      </c>
      <c r="E47" s="0" t="n">
        <v>7</v>
      </c>
      <c r="F47" s="83" t="s">
        <v>902</v>
      </c>
      <c r="G47" s="83" t="s">
        <v>880</v>
      </c>
    </row>
    <row r="48" customFormat="false" ht="14.25" hidden="false" customHeight="false" outlineLevel="0" collapsed="false">
      <c r="A48" s="82" t="n">
        <v>46153.6393402778</v>
      </c>
      <c r="B48" s="83" t="s">
        <v>845</v>
      </c>
      <c r="C48" s="0" t="n">
        <v>93667</v>
      </c>
      <c r="D48" s="0" t="n">
        <v>5</v>
      </c>
      <c r="E48" s="0" t="n">
        <v>17</v>
      </c>
      <c r="F48" s="83" t="s">
        <v>903</v>
      </c>
      <c r="G48" s="83" t="s">
        <v>880</v>
      </c>
    </row>
    <row r="49" customFormat="false" ht="14.25" hidden="false" customHeight="false" outlineLevel="0" collapsed="false">
      <c r="A49" s="82" t="n">
        <v>46153.647662037</v>
      </c>
      <c r="B49" s="83" t="s">
        <v>845</v>
      </c>
      <c r="C49" s="0" t="n">
        <v>93667</v>
      </c>
      <c r="D49" s="0" t="n">
        <v>4</v>
      </c>
      <c r="E49" s="0" t="n">
        <v>20</v>
      </c>
      <c r="F49" s="83" t="s">
        <v>904</v>
      </c>
      <c r="G49" s="83" t="s">
        <v>880</v>
      </c>
    </row>
    <row r="50" customFormat="false" ht="14.25" hidden="false" customHeight="false" outlineLevel="0" collapsed="false">
      <c r="A50" s="82" t="n">
        <v>46153.7046412037</v>
      </c>
      <c r="B50" s="83" t="s">
        <v>845</v>
      </c>
      <c r="C50" s="0" t="n">
        <v>108993</v>
      </c>
      <c r="D50" s="0" t="n">
        <v>2</v>
      </c>
      <c r="E50" s="0" t="n">
        <v>6</v>
      </c>
      <c r="F50" s="83" t="s">
        <v>905</v>
      </c>
      <c r="G50" s="83" t="s">
        <v>880</v>
      </c>
    </row>
    <row r="51" customFormat="false" ht="14.25" hidden="false" customHeight="false" outlineLevel="0" collapsed="false">
      <c r="A51" s="82" t="n">
        <v>46154.4124305556</v>
      </c>
      <c r="B51" s="83" t="s">
        <v>845</v>
      </c>
      <c r="C51" s="0" t="n">
        <v>108594</v>
      </c>
      <c r="D51" s="0" t="n">
        <v>2</v>
      </c>
      <c r="E51" s="0" t="n">
        <v>8</v>
      </c>
      <c r="F51" s="83" t="s">
        <v>906</v>
      </c>
      <c r="G51" s="83" t="s">
        <v>880</v>
      </c>
    </row>
    <row r="52" customFormat="false" ht="14.25" hidden="false" customHeight="false" outlineLevel="0" collapsed="false">
      <c r="A52" s="82" t="n">
        <v>46154.4815740741</v>
      </c>
      <c r="B52" s="83" t="s">
        <v>845</v>
      </c>
      <c r="C52" s="0" t="n">
        <v>83931</v>
      </c>
      <c r="D52" s="0" t="n">
        <v>3</v>
      </c>
      <c r="E52" s="0" t="n">
        <v>19</v>
      </c>
      <c r="F52" s="83" t="s">
        <v>907</v>
      </c>
      <c r="G52" s="83" t="s">
        <v>880</v>
      </c>
    </row>
    <row r="53" customFormat="false" ht="14.25" hidden="false" customHeight="false" outlineLevel="0" collapsed="false">
      <c r="A53" s="82" t="n">
        <v>46154.516087963</v>
      </c>
      <c r="B53" s="83" t="s">
        <v>845</v>
      </c>
      <c r="C53" s="0" t="n">
        <v>71800</v>
      </c>
      <c r="D53" s="0" t="n">
        <v>2</v>
      </c>
      <c r="E53" s="0" t="n">
        <v>10</v>
      </c>
      <c r="F53" s="83" t="s">
        <v>908</v>
      </c>
      <c r="G53" s="83" t="s">
        <v>880</v>
      </c>
    </row>
    <row r="54" customFormat="false" ht="14.25" hidden="false" customHeight="false" outlineLevel="0" collapsed="false">
      <c r="A54" s="82" t="n">
        <v>46154.5462615741</v>
      </c>
      <c r="B54" s="83" t="s">
        <v>845</v>
      </c>
      <c r="C54" s="0" t="n">
        <v>82052</v>
      </c>
      <c r="D54" s="0" t="n">
        <v>4</v>
      </c>
      <c r="E54" s="0" t="n">
        <v>20</v>
      </c>
      <c r="F54" s="83" t="s">
        <v>909</v>
      </c>
      <c r="G54" s="83" t="s">
        <v>880</v>
      </c>
    </row>
    <row r="55" customFormat="false" ht="14.25" hidden="false" customHeight="false" outlineLevel="0" collapsed="false">
      <c r="A55" s="82" t="n">
        <v>46154.6748148148</v>
      </c>
      <c r="B55" s="83" t="s">
        <v>845</v>
      </c>
      <c r="C55" s="0" t="n">
        <v>71660</v>
      </c>
      <c r="D55" s="0" t="n">
        <v>4</v>
      </c>
      <c r="E55" s="0" t="n">
        <v>23</v>
      </c>
      <c r="F55" s="83" t="s">
        <v>910</v>
      </c>
      <c r="G55" s="83" t="s">
        <v>880</v>
      </c>
    </row>
    <row r="56" customFormat="false" ht="14.25" hidden="false" customHeight="false" outlineLevel="0" collapsed="false">
      <c r="A56" s="82" t="n">
        <v>46154.6750347222</v>
      </c>
      <c r="B56" s="83" t="s">
        <v>845</v>
      </c>
      <c r="C56" s="0" t="n">
        <v>71660</v>
      </c>
      <c r="D56" s="0" t="n">
        <v>4</v>
      </c>
      <c r="E56" s="0" t="n">
        <v>23</v>
      </c>
      <c r="F56" s="83" t="s">
        <v>911</v>
      </c>
      <c r="G56" s="83" t="s">
        <v>880</v>
      </c>
      <c r="H56" s="83" t="s">
        <v>912</v>
      </c>
    </row>
    <row r="57" customFormat="false" ht="14.25" hidden="false" customHeight="false" outlineLevel="0" collapsed="false">
      <c r="A57" s="82" t="n">
        <v>46155.6604282407</v>
      </c>
      <c r="B57" s="83" t="s">
        <v>845</v>
      </c>
      <c r="C57" s="0" t="n">
        <v>115007</v>
      </c>
      <c r="D57" s="0" t="n">
        <v>5</v>
      </c>
      <c r="E57" s="0" t="n">
        <v>31</v>
      </c>
      <c r="F57" s="83" t="s">
        <v>913</v>
      </c>
      <c r="G57" s="83" t="s">
        <v>880</v>
      </c>
    </row>
    <row r="58" customFormat="false" ht="14.25" hidden="false" customHeight="false" outlineLevel="0" collapsed="false">
      <c r="A58" s="82" t="n">
        <v>46155.7403356481</v>
      </c>
      <c r="B58" s="83" t="s">
        <v>845</v>
      </c>
      <c r="C58" s="0" t="n">
        <v>92755</v>
      </c>
      <c r="D58" s="0" t="n">
        <v>5</v>
      </c>
      <c r="E58" s="0" t="n">
        <v>26</v>
      </c>
      <c r="F58" s="83" t="s">
        <v>914</v>
      </c>
      <c r="G58" s="83" t="s">
        <v>880</v>
      </c>
    </row>
    <row r="59" customFormat="false" ht="14.25" hidden="false" customHeight="false" outlineLevel="0" collapsed="false">
      <c r="A59" s="82" t="n">
        <v>46155.810775463</v>
      </c>
      <c r="B59" s="83" t="s">
        <v>845</v>
      </c>
      <c r="C59" s="0" t="n">
        <v>113068</v>
      </c>
      <c r="D59" s="0" t="n">
        <v>5</v>
      </c>
      <c r="E59" s="0" t="n">
        <v>26</v>
      </c>
      <c r="F59" s="83" t="s">
        <v>849</v>
      </c>
      <c r="G59" s="83" t="s">
        <v>880</v>
      </c>
    </row>
    <row r="60" customFormat="false" ht="14.25" hidden="false" customHeight="false" outlineLevel="0" collapsed="false">
      <c r="A60" s="82" t="n">
        <v>46155.8628587963</v>
      </c>
      <c r="B60" s="83" t="s">
        <v>845</v>
      </c>
      <c r="C60" s="0" t="n">
        <v>113068</v>
      </c>
      <c r="D60" s="0" t="n">
        <v>1</v>
      </c>
      <c r="E60" s="0" t="n">
        <v>5</v>
      </c>
      <c r="F60" s="83" t="s">
        <v>915</v>
      </c>
      <c r="G60" s="83" t="s">
        <v>880</v>
      </c>
    </row>
    <row r="61" customFormat="false" ht="14.25" hidden="false" customHeight="false" outlineLevel="0" collapsed="false">
      <c r="A61" s="82" t="n">
        <v>46155.8920949074</v>
      </c>
      <c r="B61" s="83" t="s">
        <v>845</v>
      </c>
      <c r="C61" s="0" t="n">
        <v>113078</v>
      </c>
      <c r="D61" s="0" t="n">
        <v>5</v>
      </c>
      <c r="E61" s="0" t="n">
        <v>26</v>
      </c>
      <c r="F61" s="83" t="s">
        <v>866</v>
      </c>
      <c r="G61" s="83" t="s">
        <v>880</v>
      </c>
    </row>
    <row r="62" customFormat="false" ht="14.25" hidden="false" customHeight="false" outlineLevel="0" collapsed="false">
      <c r="A62" s="82" t="n">
        <v>46155.9405555556</v>
      </c>
      <c r="B62" s="83" t="s">
        <v>845</v>
      </c>
      <c r="C62" s="0" t="n">
        <v>73651</v>
      </c>
      <c r="D62" s="0" t="n">
        <v>2</v>
      </c>
      <c r="E62" s="0" t="n">
        <v>6</v>
      </c>
      <c r="F62" s="83" t="s">
        <v>885</v>
      </c>
      <c r="G62" s="83" t="s">
        <v>880</v>
      </c>
    </row>
    <row r="63" customFormat="false" ht="14.25" hidden="false" customHeight="false" outlineLevel="0" collapsed="false">
      <c r="A63" s="82" t="n">
        <v>46155.9627199074</v>
      </c>
      <c r="B63" s="83" t="s">
        <v>845</v>
      </c>
      <c r="C63" s="0" t="n">
        <v>70475</v>
      </c>
      <c r="D63" s="0" t="n">
        <v>2</v>
      </c>
      <c r="E63" s="0" t="n">
        <v>6</v>
      </c>
      <c r="F63" s="83" t="s">
        <v>916</v>
      </c>
      <c r="G63" s="83" t="s">
        <v>880</v>
      </c>
    </row>
    <row r="64" customFormat="false" ht="14.25" hidden="false" customHeight="false" outlineLevel="0" collapsed="false">
      <c r="A64" s="82" t="n">
        <v>46156.267974537</v>
      </c>
      <c r="B64" s="83" t="s">
        <v>845</v>
      </c>
      <c r="C64" s="0" t="n">
        <v>84566</v>
      </c>
      <c r="D64" s="0" t="n">
        <v>2</v>
      </c>
      <c r="E64" s="0" t="n">
        <v>6</v>
      </c>
      <c r="F64" s="83" t="s">
        <v>917</v>
      </c>
      <c r="G64" s="83" t="s">
        <v>880</v>
      </c>
    </row>
    <row r="65" customFormat="false" ht="14.25" hidden="false" customHeight="false" outlineLevel="0" collapsed="false">
      <c r="A65" s="82" t="n">
        <v>46161.3987615741</v>
      </c>
      <c r="B65" s="83" t="s">
        <v>845</v>
      </c>
      <c r="C65" s="0" t="n">
        <v>84576</v>
      </c>
      <c r="D65" s="0" t="n">
        <v>5</v>
      </c>
      <c r="E65" s="0" t="n">
        <v>13</v>
      </c>
      <c r="F65" s="83" t="s">
        <v>899</v>
      </c>
      <c r="G65" s="83" t="s">
        <v>880</v>
      </c>
    </row>
    <row r="66" customFormat="false" ht="14.25" hidden="false" customHeight="false" outlineLevel="0" collapsed="false">
      <c r="A66" s="82" t="n">
        <v>46161.4261342593</v>
      </c>
      <c r="B66" s="83" t="s">
        <v>845</v>
      </c>
      <c r="C66" s="0" t="n">
        <v>84601</v>
      </c>
      <c r="D66" s="0" t="n">
        <v>1</v>
      </c>
      <c r="E66" s="0" t="n">
        <v>7</v>
      </c>
      <c r="F66" s="83" t="s">
        <v>918</v>
      </c>
      <c r="G66" s="83" t="s">
        <v>880</v>
      </c>
    </row>
    <row r="67" customFormat="false" ht="14.25" hidden="false" customHeight="false" outlineLevel="0" collapsed="false">
      <c r="A67" s="82" t="n">
        <v>46161.5000810185</v>
      </c>
      <c r="B67" s="83" t="s">
        <v>845</v>
      </c>
      <c r="C67" s="0" t="n">
        <v>14566</v>
      </c>
      <c r="D67" s="0" t="n">
        <v>1</v>
      </c>
      <c r="E67" s="0" t="n">
        <v>7</v>
      </c>
      <c r="F67" s="83" t="s">
        <v>919</v>
      </c>
      <c r="G67" s="83" t="s">
        <v>880</v>
      </c>
    </row>
    <row r="68" customFormat="false" ht="14.25" hidden="false" customHeight="false" outlineLevel="0" collapsed="false">
      <c r="A68" s="82" t="n">
        <v>46161.6883333333</v>
      </c>
      <c r="B68" s="83" t="s">
        <v>845</v>
      </c>
      <c r="C68" s="0" t="n">
        <v>106793</v>
      </c>
      <c r="D68" s="0" t="n">
        <v>5</v>
      </c>
      <c r="E68" s="0" t="n">
        <v>25</v>
      </c>
      <c r="F68" s="83" t="s">
        <v>863</v>
      </c>
      <c r="G68" s="83" t="s">
        <v>880</v>
      </c>
    </row>
    <row r="69" customFormat="false" ht="14.25" hidden="false" customHeight="false" outlineLevel="0" collapsed="false">
      <c r="A69" s="82" t="n">
        <v>46162.3899421296</v>
      </c>
      <c r="B69" s="83" t="s">
        <v>845</v>
      </c>
      <c r="C69" s="0" t="n">
        <v>136</v>
      </c>
      <c r="D69" s="0" t="n">
        <v>4</v>
      </c>
      <c r="E69" s="0" t="n">
        <v>12</v>
      </c>
      <c r="F69" s="83" t="s">
        <v>920</v>
      </c>
      <c r="G69" s="83" t="s">
        <v>880</v>
      </c>
    </row>
    <row r="70" customFormat="false" ht="14.25" hidden="false" customHeight="false" outlineLevel="0" collapsed="false">
      <c r="A70" s="82" t="n">
        <v>46162.414849537</v>
      </c>
      <c r="B70" s="83" t="s">
        <v>845</v>
      </c>
      <c r="C70" s="0" t="n">
        <v>143</v>
      </c>
      <c r="D70" s="0" t="n">
        <v>2</v>
      </c>
      <c r="E70" s="0" t="n">
        <v>8</v>
      </c>
      <c r="F70" s="83" t="s">
        <v>921</v>
      </c>
      <c r="G70" s="83" t="s">
        <v>880</v>
      </c>
    </row>
    <row r="71" customFormat="false" ht="14.25" hidden="false" customHeight="false" outlineLevel="0" collapsed="false">
      <c r="A71" s="82" t="n">
        <v>46162.5170601852</v>
      </c>
      <c r="B71" s="83" t="s">
        <v>845</v>
      </c>
      <c r="C71" s="0" t="n">
        <v>164</v>
      </c>
      <c r="D71" s="0" t="n">
        <v>1</v>
      </c>
      <c r="E71" s="0" t="n">
        <v>7</v>
      </c>
      <c r="F71" s="83" t="s">
        <v>922</v>
      </c>
      <c r="G71" s="83" t="s">
        <v>880</v>
      </c>
    </row>
    <row r="72" customFormat="false" ht="14.25" hidden="false" customHeight="false" outlineLevel="0" collapsed="false">
      <c r="A72" s="82" t="n">
        <v>46162.6227083333</v>
      </c>
      <c r="B72" s="83" t="s">
        <v>845</v>
      </c>
      <c r="C72" s="0" t="n">
        <v>230</v>
      </c>
      <c r="D72" s="0" t="n">
        <v>1</v>
      </c>
      <c r="E72" s="0" t="n">
        <v>8</v>
      </c>
      <c r="F72" s="83" t="s">
        <v>923</v>
      </c>
      <c r="G72" s="83" t="s">
        <v>880</v>
      </c>
    </row>
    <row r="73" customFormat="false" ht="14.25" hidden="false" customHeight="false" outlineLevel="0" collapsed="false">
      <c r="A73" s="82" t="n">
        <v>46162.6643402778</v>
      </c>
      <c r="B73" s="83" t="s">
        <v>845</v>
      </c>
      <c r="C73" s="0" t="n">
        <v>232</v>
      </c>
      <c r="D73" s="0" t="n">
        <v>1</v>
      </c>
      <c r="E73" s="0" t="n">
        <v>5</v>
      </c>
      <c r="F73" s="83" t="s">
        <v>924</v>
      </c>
      <c r="G73" s="83" t="s">
        <v>880</v>
      </c>
    </row>
    <row r="74" customFormat="false" ht="14.25" hidden="false" customHeight="false" outlineLevel="0" collapsed="false">
      <c r="A74" s="82" t="n">
        <v>46162.7030787037</v>
      </c>
      <c r="B74" s="83" t="s">
        <v>845</v>
      </c>
      <c r="C74" s="0" t="n">
        <v>204</v>
      </c>
      <c r="D74" s="0" t="n">
        <v>1</v>
      </c>
      <c r="E74" s="0" t="n">
        <v>5</v>
      </c>
      <c r="F74" s="83" t="s">
        <v>925</v>
      </c>
      <c r="G74" s="83" t="s">
        <v>880</v>
      </c>
    </row>
    <row r="75" customFormat="false" ht="14.25" hidden="false" customHeight="false" outlineLevel="0" collapsed="false">
      <c r="A75" s="82" t="n">
        <v>46162.803125</v>
      </c>
      <c r="B75" s="83" t="s">
        <v>845</v>
      </c>
      <c r="C75" s="0" t="n">
        <v>239</v>
      </c>
      <c r="D75" s="0" t="n">
        <v>1</v>
      </c>
      <c r="E75" s="0" t="n">
        <v>5</v>
      </c>
      <c r="F75" s="83" t="s">
        <v>856</v>
      </c>
      <c r="G75" s="83" t="s">
        <v>880</v>
      </c>
    </row>
    <row r="76" customFormat="false" ht="14.25" hidden="false" customHeight="false" outlineLevel="0" collapsed="false">
      <c r="A76" s="82" t="n">
        <v>46163.4405787037</v>
      </c>
      <c r="B76" s="83" t="s">
        <v>845</v>
      </c>
      <c r="C76" s="0" t="n">
        <v>4102</v>
      </c>
      <c r="D76" s="0" t="n">
        <v>1</v>
      </c>
      <c r="E76" s="0" t="n">
        <v>5</v>
      </c>
      <c r="F76" s="83" t="s">
        <v>857</v>
      </c>
      <c r="G76" s="83" t="s">
        <v>880</v>
      </c>
    </row>
    <row r="77" customFormat="false" ht="14.25" hidden="false" customHeight="false" outlineLevel="0" collapsed="false">
      <c r="A77" s="82" t="n">
        <v>46163.4716550926</v>
      </c>
      <c r="B77" s="83" t="s">
        <v>845</v>
      </c>
      <c r="C77" s="0" t="n">
        <v>4103</v>
      </c>
      <c r="D77" s="0" t="n">
        <v>1</v>
      </c>
      <c r="E77" s="0" t="n">
        <v>5</v>
      </c>
      <c r="F77" s="83" t="s">
        <v>908</v>
      </c>
      <c r="G77" s="83" t="s">
        <v>880</v>
      </c>
    </row>
    <row r="78" customFormat="false" ht="14.25" hidden="false" customHeight="false" outlineLevel="0" collapsed="false">
      <c r="A78" s="82" t="n">
        <v>46163.4863310185</v>
      </c>
      <c r="B78" s="83" t="s">
        <v>845</v>
      </c>
      <c r="C78" s="0" t="n">
        <v>4106</v>
      </c>
      <c r="D78" s="0" t="n">
        <v>1</v>
      </c>
      <c r="E78" s="0" t="n">
        <v>7</v>
      </c>
      <c r="F78" s="83" t="s">
        <v>926</v>
      </c>
      <c r="G78" s="83" t="s">
        <v>880</v>
      </c>
    </row>
    <row r="79" customFormat="false" ht="14.25" hidden="false" customHeight="false" outlineLevel="0" collapsed="false">
      <c r="A79" s="82" t="n">
        <v>46163.5091666667</v>
      </c>
      <c r="B79" s="83" t="s">
        <v>845</v>
      </c>
      <c r="C79" s="0" t="n">
        <v>4109</v>
      </c>
      <c r="D79" s="0" t="n">
        <v>1</v>
      </c>
      <c r="E79" s="0" t="n">
        <v>5</v>
      </c>
      <c r="F79" s="83" t="s">
        <v>927</v>
      </c>
      <c r="G79" s="83" t="s">
        <v>880</v>
      </c>
    </row>
    <row r="80" customFormat="false" ht="14.25" hidden="false" customHeight="false" outlineLevel="0" collapsed="false">
      <c r="A80" s="82" t="n">
        <v>46163.5336689815</v>
      </c>
      <c r="B80" s="83" t="s">
        <v>845</v>
      </c>
      <c r="C80" s="0" t="n">
        <v>4114</v>
      </c>
      <c r="D80" s="0" t="n">
        <v>1</v>
      </c>
      <c r="E80" s="0" t="n">
        <v>7</v>
      </c>
      <c r="F80" s="83" t="s">
        <v>899</v>
      </c>
      <c r="G80" s="83" t="s">
        <v>880</v>
      </c>
    </row>
    <row r="81" customFormat="false" ht="14.25" hidden="false" customHeight="false" outlineLevel="0" collapsed="false">
      <c r="A81" s="82" t="n">
        <v>46163.5549884259</v>
      </c>
      <c r="B81" s="83" t="s">
        <v>845</v>
      </c>
      <c r="C81" s="0" t="n">
        <v>4115</v>
      </c>
      <c r="D81" s="0" t="n">
        <v>1</v>
      </c>
      <c r="E81" s="0" t="n">
        <v>7</v>
      </c>
      <c r="F81" s="83" t="s">
        <v>928</v>
      </c>
      <c r="G81" s="83" t="s">
        <v>880</v>
      </c>
    </row>
    <row r="82" customFormat="false" ht="14.25" hidden="false" customHeight="false" outlineLevel="0" collapsed="false">
      <c r="A82" s="82" t="n">
        <v>46163.5855439815</v>
      </c>
      <c r="B82" s="83" t="s">
        <v>845</v>
      </c>
      <c r="C82" s="0" t="n">
        <v>4118</v>
      </c>
      <c r="D82" s="0" t="n">
        <v>1</v>
      </c>
      <c r="E82" s="0" t="n">
        <v>7</v>
      </c>
      <c r="F82" s="83" t="s">
        <v>929</v>
      </c>
      <c r="G82" s="83" t="s">
        <v>880</v>
      </c>
    </row>
    <row r="83" customFormat="false" ht="14.25" hidden="false" customHeight="false" outlineLevel="0" collapsed="false">
      <c r="A83" s="82" t="n">
        <v>46164.3685185185</v>
      </c>
      <c r="B83" s="83" t="s">
        <v>845</v>
      </c>
      <c r="C83" s="0" t="n">
        <v>4119</v>
      </c>
      <c r="D83" s="0" t="n">
        <v>1</v>
      </c>
      <c r="E83" s="0" t="n">
        <v>7</v>
      </c>
      <c r="F83" s="83" t="s">
        <v>882</v>
      </c>
      <c r="G83" s="83" t="s">
        <v>880</v>
      </c>
    </row>
    <row r="84" customFormat="false" ht="14.25" hidden="false" customHeight="false" outlineLevel="0" collapsed="false">
      <c r="A84" s="82" t="n">
        <v>46164.3765393519</v>
      </c>
      <c r="B84" s="83" t="s">
        <v>845</v>
      </c>
      <c r="C84" s="0" t="n">
        <v>4120</v>
      </c>
      <c r="D84" s="0" t="n">
        <v>1</v>
      </c>
      <c r="E84" s="0" t="n">
        <v>7</v>
      </c>
      <c r="F84" s="83" t="s">
        <v>915</v>
      </c>
      <c r="G84" s="83" t="s">
        <v>880</v>
      </c>
    </row>
    <row r="85" customFormat="false" ht="14.25" hidden="false" customHeight="false" outlineLevel="0" collapsed="false">
      <c r="A85" s="82" t="n">
        <v>46164.3845601852</v>
      </c>
      <c r="B85" s="83" t="s">
        <v>845</v>
      </c>
      <c r="C85" s="0" t="n">
        <v>4121</v>
      </c>
      <c r="D85" s="0" t="n">
        <v>1</v>
      </c>
      <c r="E85" s="0" t="n">
        <v>7</v>
      </c>
      <c r="F85" s="83" t="s">
        <v>918</v>
      </c>
      <c r="G85" s="83" t="s">
        <v>880</v>
      </c>
    </row>
    <row r="86" customFormat="false" ht="14.25" hidden="false" customHeight="false" outlineLevel="0" collapsed="false">
      <c r="A86" s="82" t="n">
        <v>46164.3928587963</v>
      </c>
      <c r="B86" s="83" t="s">
        <v>845</v>
      </c>
      <c r="C86" s="0" t="n">
        <v>4122</v>
      </c>
      <c r="D86" s="0" t="n">
        <v>1</v>
      </c>
      <c r="E86" s="0" t="n">
        <v>7</v>
      </c>
      <c r="F86" s="83" t="s">
        <v>918</v>
      </c>
      <c r="G86" s="83" t="s">
        <v>880</v>
      </c>
    </row>
    <row r="87" customFormat="false" ht="14.25" hidden="false" customHeight="false" outlineLevel="0" collapsed="false">
      <c r="A87" s="82" t="n">
        <v>46164.3931018519</v>
      </c>
      <c r="B87" s="83" t="s">
        <v>845</v>
      </c>
      <c r="C87" s="0" t="n">
        <v>4122</v>
      </c>
      <c r="D87" s="0" t="n">
        <v>1</v>
      </c>
      <c r="E87" s="0" t="n">
        <v>7</v>
      </c>
      <c r="F87" s="83" t="s">
        <v>911</v>
      </c>
      <c r="G87" s="83" t="s">
        <v>880</v>
      </c>
      <c r="H87" s="83" t="s">
        <v>912</v>
      </c>
    </row>
    <row r="88" customFormat="false" ht="14.25" hidden="false" customHeight="false" outlineLevel="0" collapsed="false">
      <c r="A88" s="82" t="n">
        <v>46164.4087037037</v>
      </c>
      <c r="B88" s="83" t="s">
        <v>845</v>
      </c>
      <c r="C88" s="0" t="n">
        <v>4123</v>
      </c>
      <c r="D88" s="0" t="n">
        <v>1</v>
      </c>
      <c r="E88" s="0" t="n">
        <v>7</v>
      </c>
      <c r="F88" s="83" t="s">
        <v>930</v>
      </c>
      <c r="G88" s="83" t="s">
        <v>880</v>
      </c>
    </row>
    <row r="89" customFormat="false" ht="14.25" hidden="false" customHeight="false" outlineLevel="0" collapsed="false">
      <c r="A89" s="82" t="n">
        <v>46164.4166898148</v>
      </c>
      <c r="B89" s="83" t="s">
        <v>845</v>
      </c>
      <c r="C89" s="0" t="n">
        <v>4124</v>
      </c>
      <c r="D89" s="0" t="n">
        <v>1</v>
      </c>
      <c r="E89" s="0" t="n">
        <v>7</v>
      </c>
      <c r="F89" s="83" t="s">
        <v>898</v>
      </c>
      <c r="G89" s="83" t="s">
        <v>880</v>
      </c>
    </row>
    <row r="90" customFormat="false" ht="14.25" hidden="false" customHeight="false" outlineLevel="0" collapsed="false">
      <c r="A90" s="82" t="n">
        <v>46164.4297222222</v>
      </c>
      <c r="B90" s="83" t="s">
        <v>845</v>
      </c>
      <c r="C90" s="0" t="n">
        <v>4126</v>
      </c>
      <c r="D90" s="0" t="n">
        <v>1</v>
      </c>
      <c r="E90" s="0" t="n">
        <v>5</v>
      </c>
      <c r="F90" s="83" t="s">
        <v>931</v>
      </c>
      <c r="G90" s="83" t="s">
        <v>880</v>
      </c>
    </row>
    <row r="91" customFormat="false" ht="14.25" hidden="false" customHeight="false" outlineLevel="0" collapsed="false">
      <c r="A91" s="82" t="n">
        <v>46164.4395833333</v>
      </c>
      <c r="B91" s="83" t="s">
        <v>845</v>
      </c>
      <c r="C91" s="0" t="n">
        <v>4128</v>
      </c>
      <c r="D91" s="0" t="n">
        <v>1</v>
      </c>
      <c r="E91" s="0" t="n">
        <v>7</v>
      </c>
      <c r="F91" s="83" t="s">
        <v>922</v>
      </c>
      <c r="G91" s="83" t="s">
        <v>880</v>
      </c>
    </row>
    <row r="92" customFormat="false" ht="14.25" hidden="false" customHeight="false" outlineLevel="0" collapsed="false">
      <c r="A92" s="82" t="n">
        <v>46164.4398842593</v>
      </c>
      <c r="B92" s="83" t="s">
        <v>845</v>
      </c>
      <c r="C92" s="0" t="n">
        <v>4128</v>
      </c>
      <c r="D92" s="0" t="n">
        <v>1</v>
      </c>
      <c r="E92" s="0" t="n">
        <v>7</v>
      </c>
      <c r="F92" s="83" t="s">
        <v>911</v>
      </c>
      <c r="G92" s="83" t="s">
        <v>880</v>
      </c>
      <c r="H92" s="83" t="s">
        <v>932</v>
      </c>
    </row>
    <row r="93" customFormat="false" ht="14.25" hidden="false" customHeight="false" outlineLevel="0" collapsed="false">
      <c r="A93" s="82" t="n">
        <v>46167.5066319444</v>
      </c>
      <c r="B93" s="83" t="s">
        <v>845</v>
      </c>
      <c r="C93" s="0" t="n">
        <v>4129</v>
      </c>
      <c r="D93" s="0" t="n">
        <v>1</v>
      </c>
      <c r="E93" s="0" t="n">
        <v>7</v>
      </c>
      <c r="F93" s="83" t="s">
        <v>894</v>
      </c>
      <c r="G93" s="83" t="s">
        <v>880</v>
      </c>
    </row>
    <row r="94" customFormat="false" ht="14.25" hidden="false" customHeight="false" outlineLevel="0" collapsed="false">
      <c r="A94" s="82" t="n">
        <v>46167.5572569444</v>
      </c>
      <c r="B94" s="83" t="s">
        <v>845</v>
      </c>
      <c r="C94" s="0" t="n">
        <v>4130</v>
      </c>
      <c r="D94" s="0" t="n">
        <v>1</v>
      </c>
      <c r="E94" s="0" t="n">
        <v>7</v>
      </c>
      <c r="F94" s="83" t="s">
        <v>933</v>
      </c>
      <c r="G94" s="83" t="s">
        <v>880</v>
      </c>
    </row>
    <row r="95" customFormat="false" ht="14.25" hidden="false" customHeight="false" outlineLevel="0" collapsed="false">
      <c r="A95" s="82" t="n">
        <v>46168.3723726852</v>
      </c>
      <c r="B95" s="83" t="s">
        <v>845</v>
      </c>
      <c r="C95" s="0" t="n">
        <v>4131</v>
      </c>
      <c r="D95" s="0" t="n">
        <v>1</v>
      </c>
      <c r="E95" s="0" t="n">
        <v>7</v>
      </c>
      <c r="F95" s="83" t="s">
        <v>934</v>
      </c>
      <c r="G95" s="83" t="s">
        <v>880</v>
      </c>
    </row>
    <row r="96" customFormat="false" ht="14.25" hidden="false" customHeight="false" outlineLevel="0" collapsed="false">
      <c r="A96" s="82" t="n">
        <v>46168.4001967593</v>
      </c>
      <c r="B96" s="83" t="s">
        <v>845</v>
      </c>
      <c r="C96" s="0" t="n">
        <v>4132</v>
      </c>
      <c r="D96" s="0" t="n">
        <v>5</v>
      </c>
      <c r="E96" s="0" t="n">
        <v>17</v>
      </c>
      <c r="F96" s="83" t="s">
        <v>872</v>
      </c>
      <c r="G96" s="83" t="s">
        <v>880</v>
      </c>
    </row>
    <row r="97" customFormat="false" ht="14.25" hidden="false" customHeight="false" outlineLevel="0" collapsed="false">
      <c r="A97" s="82" t="n">
        <v>46169.3558796296</v>
      </c>
      <c r="B97" s="83" t="s">
        <v>845</v>
      </c>
      <c r="C97" s="0" t="n">
        <v>4137</v>
      </c>
      <c r="D97" s="0" t="n">
        <v>1</v>
      </c>
      <c r="E97" s="0" t="n">
        <v>5</v>
      </c>
      <c r="F97" s="83" t="s">
        <v>935</v>
      </c>
      <c r="G97" s="83" t="s">
        <v>880</v>
      </c>
    </row>
    <row r="98" customFormat="false" ht="14.25" hidden="false" customHeight="false" outlineLevel="0" collapsed="false">
      <c r="A98" s="82" t="n">
        <v>46169.3740740741</v>
      </c>
      <c r="B98" s="83" t="s">
        <v>845</v>
      </c>
      <c r="C98" s="0" t="n">
        <v>4139</v>
      </c>
      <c r="D98" s="0" t="n">
        <v>1</v>
      </c>
      <c r="E98" s="0" t="n">
        <v>7</v>
      </c>
      <c r="F98" s="83" t="s">
        <v>936</v>
      </c>
      <c r="G98" s="83" t="s">
        <v>880</v>
      </c>
    </row>
    <row r="99" customFormat="false" ht="14.25" hidden="false" customHeight="false" outlineLevel="0" collapsed="false">
      <c r="A99" s="82" t="n">
        <v>46169.3948726852</v>
      </c>
      <c r="B99" s="83" t="s">
        <v>845</v>
      </c>
      <c r="C99" s="0" t="n">
        <v>27689</v>
      </c>
      <c r="D99" s="0" t="n">
        <v>1</v>
      </c>
      <c r="E99" s="0" t="n">
        <v>7</v>
      </c>
      <c r="F99" s="83" t="s">
        <v>937</v>
      </c>
      <c r="G99" s="83" t="s">
        <v>880</v>
      </c>
    </row>
    <row r="100" customFormat="false" ht="14.25" hidden="false" customHeight="false" outlineLevel="0" collapsed="false">
      <c r="A100" s="82" t="n">
        <v>46169.4126157407</v>
      </c>
      <c r="B100" s="83" t="s">
        <v>845</v>
      </c>
      <c r="C100" s="0" t="n">
        <v>28253</v>
      </c>
      <c r="D100" s="0" t="n">
        <v>2</v>
      </c>
      <c r="E100" s="0" t="n">
        <v>8</v>
      </c>
      <c r="F100" s="83" t="s">
        <v>923</v>
      </c>
      <c r="G100" s="83" t="s">
        <v>880</v>
      </c>
    </row>
    <row r="101" customFormat="false" ht="14.25" hidden="false" customHeight="false" outlineLevel="0" collapsed="false">
      <c r="A101" s="82" t="n">
        <v>46169.4288194445</v>
      </c>
      <c r="B101" s="83" t="s">
        <v>845</v>
      </c>
      <c r="C101" s="0" t="n">
        <v>28329</v>
      </c>
      <c r="D101" s="0" t="n">
        <v>1</v>
      </c>
      <c r="E101" s="0" t="n">
        <v>5</v>
      </c>
      <c r="F101" s="83" t="s">
        <v>938</v>
      </c>
      <c r="G101" s="83" t="s">
        <v>880</v>
      </c>
    </row>
    <row r="102" customFormat="false" ht="14.25" hidden="false" customHeight="false" outlineLevel="0" collapsed="false">
      <c r="A102" s="82" t="n">
        <v>46171.7543634259</v>
      </c>
      <c r="B102" s="83" t="s">
        <v>845</v>
      </c>
      <c r="C102" s="0" t="n">
        <v>49249</v>
      </c>
      <c r="D102" s="0" t="n">
        <v>1</v>
      </c>
      <c r="E102" s="0" t="n">
        <v>5</v>
      </c>
      <c r="F102" s="83" t="s">
        <v>939</v>
      </c>
      <c r="G102" s="83" t="s">
        <v>880</v>
      </c>
    </row>
    <row r="103" customFormat="false" ht="14.25" hidden="false" customHeight="false" outlineLevel="0" collapsed="false">
      <c r="A103" s="82" t="n">
        <v>46174.6607638889</v>
      </c>
      <c r="B103" s="83" t="s">
        <v>845</v>
      </c>
      <c r="C103" s="0" t="n">
        <v>17458</v>
      </c>
      <c r="D103" s="0" t="n">
        <v>1</v>
      </c>
      <c r="E103" s="0" t="n">
        <v>7</v>
      </c>
      <c r="F103" s="83" t="s">
        <v>940</v>
      </c>
      <c r="G103" s="83" t="s">
        <v>880</v>
      </c>
    </row>
    <row r="104" customFormat="false" ht="14.25" hidden="false" customHeight="false" outlineLevel="0" collapsed="false">
      <c r="A104" s="82" t="n">
        <v>46174.7188657407</v>
      </c>
      <c r="B104" s="83" t="s">
        <v>845</v>
      </c>
      <c r="C104" s="0" t="n">
        <v>17457</v>
      </c>
      <c r="D104" s="0" t="n">
        <v>1</v>
      </c>
      <c r="E104" s="0" t="n">
        <v>7</v>
      </c>
      <c r="F104" s="83" t="s">
        <v>941</v>
      </c>
      <c r="G104" s="83" t="s">
        <v>880</v>
      </c>
    </row>
    <row r="105" customFormat="false" ht="14.25" hidden="false" customHeight="false" outlineLevel="0" collapsed="false">
      <c r="A105" s="82" t="n">
        <v>46174.7497453704</v>
      </c>
      <c r="B105" s="83" t="s">
        <v>845</v>
      </c>
      <c r="C105" s="0" t="n">
        <v>17456</v>
      </c>
      <c r="D105" s="0" t="n">
        <v>1</v>
      </c>
      <c r="E105" s="0" t="n">
        <v>7</v>
      </c>
      <c r="F105" s="83" t="s">
        <v>899</v>
      </c>
      <c r="G105" s="83" t="s">
        <v>880</v>
      </c>
    </row>
    <row r="106" customFormat="false" ht="14.25" hidden="false" customHeight="false" outlineLevel="0" collapsed="false">
      <c r="A106" s="82" t="n">
        <v>46174.8295023148</v>
      </c>
      <c r="B106" s="83" t="s">
        <v>845</v>
      </c>
      <c r="C106" s="0" t="n">
        <v>17455</v>
      </c>
      <c r="D106" s="0" t="n">
        <v>1</v>
      </c>
      <c r="E106" s="0" t="n">
        <v>7</v>
      </c>
      <c r="F106" s="83" t="s">
        <v>942</v>
      </c>
      <c r="G106" s="83" t="s">
        <v>880</v>
      </c>
    </row>
    <row r="107" customFormat="false" ht="14.25" hidden="false" customHeight="false" outlineLevel="0" collapsed="false">
      <c r="A107" s="82" t="n">
        <v>46174.8409490741</v>
      </c>
      <c r="B107" s="83" t="s">
        <v>845</v>
      </c>
      <c r="C107" s="0" t="n">
        <v>17454</v>
      </c>
      <c r="D107" s="0" t="n">
        <v>1</v>
      </c>
      <c r="E107" s="0" t="n">
        <v>7</v>
      </c>
      <c r="F107" s="83" t="s">
        <v>943</v>
      </c>
      <c r="G107" s="83" t="s">
        <v>880</v>
      </c>
    </row>
    <row r="108" customFormat="false" ht="14.25" hidden="false" customHeight="false" outlineLevel="0" collapsed="false">
      <c r="A108" s="82" t="n">
        <v>46174.8628819444</v>
      </c>
      <c r="B108" s="83" t="s">
        <v>845</v>
      </c>
      <c r="C108" s="0" t="n">
        <v>17452</v>
      </c>
      <c r="D108" s="0" t="n">
        <v>1</v>
      </c>
      <c r="E108" s="0" t="n">
        <v>7</v>
      </c>
      <c r="F108" s="83" t="s">
        <v>937</v>
      </c>
      <c r="G108" s="83" t="s">
        <v>880</v>
      </c>
    </row>
    <row r="109" customFormat="false" ht="14.25" hidden="false" customHeight="false" outlineLevel="0" collapsed="false">
      <c r="A109" s="82" t="n">
        <v>46174.8763541667</v>
      </c>
      <c r="B109" s="83" t="s">
        <v>845</v>
      </c>
      <c r="C109" s="0" t="n">
        <v>17449</v>
      </c>
      <c r="D109" s="0" t="n">
        <v>1</v>
      </c>
      <c r="E109" s="0" t="n">
        <v>7</v>
      </c>
      <c r="F109" s="83" t="s">
        <v>885</v>
      </c>
      <c r="G109" s="83" t="s">
        <v>880</v>
      </c>
    </row>
    <row r="110" customFormat="false" ht="14.25" hidden="false" customHeight="false" outlineLevel="0" collapsed="false">
      <c r="A110" s="82" t="n">
        <v>46174.8947222222</v>
      </c>
      <c r="B110" s="83" t="s">
        <v>845</v>
      </c>
      <c r="C110" s="0" t="n">
        <v>17447</v>
      </c>
      <c r="D110" s="0" t="n">
        <v>1</v>
      </c>
      <c r="E110" s="0" t="n">
        <v>7</v>
      </c>
      <c r="F110" s="83" t="s">
        <v>918</v>
      </c>
      <c r="G110" s="83" t="s">
        <v>880</v>
      </c>
    </row>
    <row r="111" customFormat="false" ht="14.25" hidden="false" customHeight="false" outlineLevel="0" collapsed="false">
      <c r="A111" s="82" t="n">
        <v>46191.7665856482</v>
      </c>
      <c r="B111" s="83" t="s">
        <v>845</v>
      </c>
      <c r="C111" s="83" t="s">
        <v>944</v>
      </c>
      <c r="D111" s="0" t="n">
        <v>1</v>
      </c>
      <c r="E111" s="0" t="n">
        <v>1</v>
      </c>
      <c r="F111" s="83" t="s">
        <v>945</v>
      </c>
      <c r="G111" s="83" t="s">
        <v>880</v>
      </c>
    </row>
    <row r="112" customFormat="false" ht="14.25" hidden="false" customHeight="false" outlineLevel="0" collapsed="false">
      <c r="A112" s="82" t="n">
        <v>46192.4213310185</v>
      </c>
      <c r="B112" s="83" t="s">
        <v>845</v>
      </c>
      <c r="C112" s="0" t="n">
        <v>84244</v>
      </c>
      <c r="D112" s="0" t="n">
        <v>4</v>
      </c>
      <c r="E112" s="0" t="n">
        <v>20</v>
      </c>
      <c r="F112" s="83" t="s">
        <v>946</v>
      </c>
      <c r="G112" s="83" t="s">
        <v>880</v>
      </c>
    </row>
    <row r="113" customFormat="false" ht="14.25" hidden="false" customHeight="false" outlineLevel="0" collapsed="false">
      <c r="A113" s="82" t="n">
        <v>46192.5425578704</v>
      </c>
      <c r="B113" s="83" t="s">
        <v>845</v>
      </c>
      <c r="C113" s="0" t="n">
        <v>108704</v>
      </c>
      <c r="D113" s="0" t="n">
        <v>3</v>
      </c>
      <c r="E113" s="0" t="n">
        <v>17</v>
      </c>
      <c r="F113" s="83" t="s">
        <v>947</v>
      </c>
      <c r="G113" s="83" t="s">
        <v>880</v>
      </c>
    </row>
    <row r="114" customFormat="false" ht="14.25" hidden="false" customHeight="false" outlineLevel="0" collapsed="false">
      <c r="A114" s="82" t="n">
        <v>46192.6337384259</v>
      </c>
      <c r="B114" s="83" t="s">
        <v>845</v>
      </c>
      <c r="C114" s="0" t="n">
        <v>113960</v>
      </c>
      <c r="D114" s="0" t="n">
        <v>4</v>
      </c>
      <c r="E114" s="0" t="n">
        <v>18</v>
      </c>
      <c r="F114" s="83" t="s">
        <v>866</v>
      </c>
      <c r="G114" s="83" t="s">
        <v>880</v>
      </c>
    </row>
    <row r="115" customFormat="false" ht="14.25" hidden="false" customHeight="false" outlineLevel="0" collapsed="false">
      <c r="A115" s="82" t="n">
        <v>46192.8099189815</v>
      </c>
      <c r="B115" s="83" t="s">
        <v>845</v>
      </c>
      <c r="C115" s="0" t="n">
        <v>125759</v>
      </c>
      <c r="D115" s="0" t="n">
        <v>4</v>
      </c>
      <c r="E115" s="0" t="n">
        <v>12</v>
      </c>
      <c r="F115" s="83" t="s">
        <v>948</v>
      </c>
      <c r="G115" s="83" t="s">
        <v>880</v>
      </c>
    </row>
    <row r="116" customFormat="false" ht="14.25" hidden="false" customHeight="false" outlineLevel="0" collapsed="false">
      <c r="A116" s="82" t="n">
        <v>46192.8617476852</v>
      </c>
      <c r="B116" s="83" t="s">
        <v>845</v>
      </c>
      <c r="C116" s="0" t="n">
        <v>124414</v>
      </c>
      <c r="D116" s="0" t="n">
        <v>4</v>
      </c>
      <c r="E116" s="0" t="n">
        <v>14</v>
      </c>
      <c r="F116" s="83" t="s">
        <v>949</v>
      </c>
      <c r="G116" s="83" t="s">
        <v>880</v>
      </c>
    </row>
    <row r="117" customFormat="false" ht="14.25" hidden="false" customHeight="false" outlineLevel="0" collapsed="false">
      <c r="A117" s="82" t="n">
        <v>46192.9286689815</v>
      </c>
      <c r="B117" s="83" t="s">
        <v>845</v>
      </c>
      <c r="C117" s="0" t="n">
        <v>125153</v>
      </c>
      <c r="D117" s="0" t="n">
        <v>4</v>
      </c>
      <c r="E117" s="0" t="n">
        <v>14</v>
      </c>
      <c r="F117" s="83" t="s">
        <v>950</v>
      </c>
      <c r="G117" s="83" t="s">
        <v>880</v>
      </c>
    </row>
    <row r="118" customFormat="false" ht="14.25" hidden="false" customHeight="false" outlineLevel="0" collapsed="false">
      <c r="A118" s="82" t="n">
        <v>46195.505775463</v>
      </c>
      <c r="B118" s="83" t="s">
        <v>845</v>
      </c>
      <c r="C118" s="0" t="n">
        <v>123034</v>
      </c>
      <c r="D118" s="0" t="n">
        <v>4</v>
      </c>
      <c r="E118" s="0" t="n">
        <v>8</v>
      </c>
      <c r="F118" s="83" t="s">
        <v>942</v>
      </c>
      <c r="G118" s="83" t="s">
        <v>880</v>
      </c>
    </row>
    <row r="119" customFormat="false" ht="14.25" hidden="false" customHeight="false" outlineLevel="0" collapsed="false">
      <c r="A119" s="82" t="n">
        <v>46195.5793518519</v>
      </c>
      <c r="B119" s="83" t="s">
        <v>845</v>
      </c>
      <c r="C119" s="0" t="n">
        <v>123034</v>
      </c>
      <c r="D119" s="0" t="n">
        <v>1</v>
      </c>
      <c r="E119" s="0" t="n">
        <v>8</v>
      </c>
      <c r="F119" s="83" t="s">
        <v>951</v>
      </c>
      <c r="G119" s="83" t="s">
        <v>880</v>
      </c>
    </row>
    <row r="120" customFormat="false" ht="14.25" hidden="false" customHeight="false" outlineLevel="0" collapsed="false">
      <c r="A120" s="82" t="n">
        <v>46195.966875</v>
      </c>
      <c r="B120" s="83" t="s">
        <v>845</v>
      </c>
      <c r="C120" s="0" t="n">
        <v>125435</v>
      </c>
      <c r="D120" s="0" t="n">
        <v>4</v>
      </c>
      <c r="E120" s="0" t="n">
        <v>8</v>
      </c>
      <c r="F120" s="83" t="s">
        <v>952</v>
      </c>
      <c r="G120" s="83" t="s">
        <v>880</v>
      </c>
    </row>
    <row r="121" customFormat="false" ht="14.25" hidden="false" customHeight="false" outlineLevel="0" collapsed="false">
      <c r="A121" s="82" t="n">
        <v>46196.5364814815</v>
      </c>
      <c r="B121" s="83" t="s">
        <v>845</v>
      </c>
      <c r="C121" s="0" t="n">
        <v>124896</v>
      </c>
      <c r="D121" s="0" t="n">
        <v>2</v>
      </c>
      <c r="E121" s="0" t="n">
        <v>6</v>
      </c>
      <c r="F121" s="83" t="s">
        <v>928</v>
      </c>
      <c r="G121" s="83" t="s">
        <v>880</v>
      </c>
    </row>
    <row r="122" customFormat="false" ht="14.25" hidden="false" customHeight="false" outlineLevel="0" collapsed="false">
      <c r="A122" s="82" t="n">
        <v>46196.7279861111</v>
      </c>
      <c r="B122" s="83" t="s">
        <v>845</v>
      </c>
      <c r="C122" s="0" t="n">
        <v>115987</v>
      </c>
      <c r="D122" s="0" t="n">
        <v>2</v>
      </c>
      <c r="E122" s="0" t="n">
        <v>10</v>
      </c>
      <c r="F122" s="83" t="s">
        <v>953</v>
      </c>
      <c r="G122" s="83" t="s">
        <v>880</v>
      </c>
    </row>
    <row r="123" customFormat="false" ht="14.25" hidden="false" customHeight="false" outlineLevel="0" collapsed="false">
      <c r="A123" s="82" t="n">
        <v>46196.9578819444</v>
      </c>
      <c r="B123" s="83" t="s">
        <v>845</v>
      </c>
      <c r="C123" s="0" t="n">
        <v>124677</v>
      </c>
      <c r="D123" s="0" t="n">
        <v>4</v>
      </c>
      <c r="E123" s="0" t="n">
        <v>12</v>
      </c>
      <c r="F123" s="83" t="s">
        <v>954</v>
      </c>
      <c r="G123" s="83" t="s">
        <v>880</v>
      </c>
    </row>
    <row r="124" customFormat="false" ht="14.25" hidden="false" customHeight="false" outlineLevel="0" collapsed="false">
      <c r="A124" s="82" t="n">
        <v>46197.0400115741</v>
      </c>
      <c r="B124" s="83" t="s">
        <v>845</v>
      </c>
      <c r="C124" s="0" t="n">
        <v>124379</v>
      </c>
      <c r="D124" s="0" t="n">
        <v>4</v>
      </c>
      <c r="E124" s="0" t="n">
        <v>14</v>
      </c>
      <c r="F124" s="83" t="s">
        <v>955</v>
      </c>
      <c r="G124" s="83" t="s">
        <v>880</v>
      </c>
    </row>
    <row r="125" customFormat="false" ht="14.25" hidden="false" customHeight="false" outlineLevel="0" collapsed="false">
      <c r="A125" s="82" t="n">
        <v>46198.5394791667</v>
      </c>
      <c r="B125" s="83" t="s">
        <v>845</v>
      </c>
      <c r="C125" s="0" t="n">
        <v>114067</v>
      </c>
      <c r="D125" s="0" t="n">
        <v>4</v>
      </c>
      <c r="E125" s="0" t="n">
        <v>20</v>
      </c>
      <c r="F125" s="83" t="s">
        <v>934</v>
      </c>
      <c r="G125" s="83" t="s">
        <v>880</v>
      </c>
    </row>
    <row r="126" customFormat="false" ht="14.25" hidden="false" customHeight="false" outlineLevel="0" collapsed="false">
      <c r="A126" s="82" t="n">
        <v>46198.6438773148</v>
      </c>
      <c r="B126" s="83" t="s">
        <v>845</v>
      </c>
      <c r="C126" s="0" t="n">
        <v>16978</v>
      </c>
      <c r="D126" s="0" t="n">
        <v>2</v>
      </c>
      <c r="E126" s="0" t="n">
        <v>10</v>
      </c>
      <c r="F126" s="83" t="s">
        <v>956</v>
      </c>
      <c r="G126" s="83" t="s">
        <v>880</v>
      </c>
    </row>
    <row r="127" customFormat="false" ht="14.25" hidden="false" customHeight="false" outlineLevel="0" collapsed="false">
      <c r="A127" s="82" t="n">
        <v>46198.7478587963</v>
      </c>
      <c r="B127" s="83" t="s">
        <v>845</v>
      </c>
      <c r="C127" s="0" t="n">
        <v>16882</v>
      </c>
      <c r="D127" s="0" t="n">
        <v>1</v>
      </c>
      <c r="E127" s="0" t="n">
        <v>5</v>
      </c>
      <c r="F127" s="83" t="s">
        <v>957</v>
      </c>
      <c r="G127" s="83" t="s">
        <v>880</v>
      </c>
    </row>
    <row r="128" customFormat="false" ht="14.25" hidden="false" customHeight="false" outlineLevel="0" collapsed="false">
      <c r="A128" s="82" t="n">
        <v>46198.853599537</v>
      </c>
      <c r="B128" s="83" t="s">
        <v>845</v>
      </c>
      <c r="C128" s="0" t="n">
        <v>16962</v>
      </c>
      <c r="D128" s="0" t="n">
        <v>1</v>
      </c>
      <c r="E128" s="0" t="n">
        <v>7</v>
      </c>
      <c r="F128" s="83" t="s">
        <v>877</v>
      </c>
      <c r="G128" s="83" t="s">
        <v>880</v>
      </c>
    </row>
    <row r="129" customFormat="false" ht="14.25" hidden="false" customHeight="false" outlineLevel="0" collapsed="false">
      <c r="A129" s="82" t="n">
        <v>46198.9290972222</v>
      </c>
      <c r="B129" s="83" t="s">
        <v>845</v>
      </c>
      <c r="C129" s="0" t="n">
        <v>16954</v>
      </c>
      <c r="D129" s="0" t="n">
        <v>1</v>
      </c>
      <c r="E129" s="0" t="n">
        <v>7</v>
      </c>
      <c r="F129" s="83" t="s">
        <v>958</v>
      </c>
      <c r="G129" s="83" t="s">
        <v>880</v>
      </c>
    </row>
    <row r="130" customFormat="false" ht="14.25" hidden="false" customHeight="false" outlineLevel="0" collapsed="false">
      <c r="A130" s="82" t="n">
        <v>46199.3694328704</v>
      </c>
      <c r="B130" s="83" t="s">
        <v>845</v>
      </c>
      <c r="C130" s="0" t="n">
        <v>16890</v>
      </c>
      <c r="D130" s="0" t="n">
        <v>3</v>
      </c>
      <c r="E130" s="0" t="n">
        <v>11</v>
      </c>
      <c r="F130" s="83" t="s">
        <v>959</v>
      </c>
      <c r="G130" s="83" t="s">
        <v>880</v>
      </c>
    </row>
    <row r="131" customFormat="false" ht="14.25" hidden="false" customHeight="false" outlineLevel="0" collapsed="false">
      <c r="A131" s="82" t="n">
        <v>46199.4233217593</v>
      </c>
      <c r="B131" s="83" t="s">
        <v>845</v>
      </c>
      <c r="C131" s="0" t="n">
        <v>6903</v>
      </c>
      <c r="D131" s="0" t="n">
        <v>4</v>
      </c>
      <c r="E131" s="0" t="n">
        <v>12</v>
      </c>
      <c r="F131" s="83" t="s">
        <v>960</v>
      </c>
      <c r="G131" s="83" t="s">
        <v>880</v>
      </c>
    </row>
    <row r="132" customFormat="false" ht="14.25" hidden="false" customHeight="false" outlineLevel="0" collapsed="false">
      <c r="A132" s="82" t="n">
        <v>46199.4628125</v>
      </c>
      <c r="B132" s="83" t="s">
        <v>845</v>
      </c>
      <c r="C132" s="0" t="n">
        <v>6904</v>
      </c>
      <c r="D132" s="0" t="n">
        <v>1</v>
      </c>
      <c r="E132" s="0" t="n">
        <v>7</v>
      </c>
      <c r="F132" s="83" t="s">
        <v>961</v>
      </c>
      <c r="G132" s="83" t="s">
        <v>880</v>
      </c>
    </row>
    <row r="133" customFormat="false" ht="14.25" hidden="false" customHeight="false" outlineLevel="0" collapsed="false">
      <c r="A133" s="82" t="n">
        <v>46199.5000115741</v>
      </c>
      <c r="B133" s="83" t="s">
        <v>845</v>
      </c>
      <c r="C133" s="0" t="n">
        <v>6905</v>
      </c>
      <c r="D133" s="0" t="n">
        <v>1</v>
      </c>
      <c r="E133" s="0" t="n">
        <v>5</v>
      </c>
      <c r="F133" s="83" t="s">
        <v>884</v>
      </c>
      <c r="G133" s="83" t="s">
        <v>880</v>
      </c>
    </row>
    <row r="134" customFormat="false" ht="14.25" hidden="false" customHeight="false" outlineLevel="0" collapsed="false">
      <c r="A134" s="82" t="n">
        <v>46202.5</v>
      </c>
      <c r="B134" s="83" t="s">
        <v>845</v>
      </c>
      <c r="C134" s="0" t="n">
        <v>123186</v>
      </c>
      <c r="D134" s="0" t="n">
        <v>2</v>
      </c>
      <c r="E134" s="0" t="n">
        <v>6</v>
      </c>
      <c r="F134" s="83" t="s">
        <v>962</v>
      </c>
      <c r="G134" s="83" t="s">
        <v>880</v>
      </c>
    </row>
    <row r="135" customFormat="false" ht="14.25" hidden="false" customHeight="false" outlineLevel="0" collapsed="false">
      <c r="A135" s="82" t="n">
        <v>46202.5805555556</v>
      </c>
      <c r="B135" s="83" t="s">
        <v>845</v>
      </c>
      <c r="C135" s="0" t="n">
        <v>123208</v>
      </c>
      <c r="D135" s="0" t="n">
        <v>2</v>
      </c>
      <c r="E135" s="0" t="n">
        <v>6</v>
      </c>
      <c r="F135" s="83" t="s">
        <v>963</v>
      </c>
      <c r="G135" s="83" t="s">
        <v>880</v>
      </c>
    </row>
    <row r="136" customFormat="false" ht="14.25" hidden="false" customHeight="false" outlineLevel="0" collapsed="false">
      <c r="A136" s="82" t="n">
        <v>46202.6297569444</v>
      </c>
      <c r="B136" s="83" t="s">
        <v>845</v>
      </c>
      <c r="C136" s="0" t="n">
        <v>125721</v>
      </c>
      <c r="D136" s="0" t="n">
        <v>2</v>
      </c>
      <c r="E136" s="0" t="n">
        <v>8</v>
      </c>
      <c r="F136" s="83" t="s">
        <v>964</v>
      </c>
      <c r="G136" s="83" t="s">
        <v>880</v>
      </c>
    </row>
    <row r="137" customFormat="false" ht="14.25" hidden="false" customHeight="false" outlineLevel="0" collapsed="false">
      <c r="A137" s="82" t="n">
        <v>46202.9249189815</v>
      </c>
      <c r="B137" s="83" t="s">
        <v>845</v>
      </c>
      <c r="C137" s="0" t="n">
        <v>124644</v>
      </c>
      <c r="D137" s="0" t="n">
        <v>2</v>
      </c>
      <c r="E137" s="0" t="n">
        <v>7</v>
      </c>
      <c r="F137" s="83" t="s">
        <v>918</v>
      </c>
      <c r="G137" s="83" t="s">
        <v>880</v>
      </c>
    </row>
    <row r="138" customFormat="false" ht="14.25" hidden="false" customHeight="false" outlineLevel="0" collapsed="false">
      <c r="A138" s="82" t="n">
        <v>46203.6258564815</v>
      </c>
      <c r="B138" s="83" t="s">
        <v>845</v>
      </c>
      <c r="C138" s="0" t="n">
        <v>122584</v>
      </c>
      <c r="D138" s="0" t="n">
        <v>1</v>
      </c>
      <c r="E138" s="0" t="n">
        <v>3</v>
      </c>
      <c r="F138" s="83" t="s">
        <v>965</v>
      </c>
      <c r="G138" s="83" t="s">
        <v>880</v>
      </c>
    </row>
    <row r="139" customFormat="false" ht="14.25" hidden="false" customHeight="false" outlineLevel="0" collapsed="false">
      <c r="A139" s="82" t="n">
        <v>46203.6393287037</v>
      </c>
      <c r="B139" s="83" t="s">
        <v>845</v>
      </c>
      <c r="C139" s="0" t="n">
        <v>123852</v>
      </c>
      <c r="D139" s="0" t="n">
        <v>1</v>
      </c>
      <c r="E139" s="0" t="n">
        <v>3</v>
      </c>
      <c r="F139" s="83" t="s">
        <v>966</v>
      </c>
      <c r="G139" s="83" t="s">
        <v>880</v>
      </c>
    </row>
    <row r="140" customFormat="false" ht="14.25" hidden="false" customHeight="false" outlineLevel="0" collapsed="false">
      <c r="A140" s="82" t="n">
        <v>46204.5821643519</v>
      </c>
      <c r="B140" s="83" t="s">
        <v>845</v>
      </c>
      <c r="C140" s="0" t="n">
        <v>131901</v>
      </c>
      <c r="D140" s="0" t="n">
        <v>2</v>
      </c>
      <c r="E140" s="0" t="n">
        <v>6</v>
      </c>
      <c r="F140" s="83" t="s">
        <v>885</v>
      </c>
      <c r="G140" s="83" t="s">
        <v>880</v>
      </c>
    </row>
    <row r="141" customFormat="false" ht="14.25" hidden="false" customHeight="false" outlineLevel="0" collapsed="false">
      <c r="A141" s="82" t="n">
        <v>46204.6296990741</v>
      </c>
      <c r="B141" s="83" t="s">
        <v>845</v>
      </c>
      <c r="C141" s="0" t="n">
        <v>128317</v>
      </c>
      <c r="D141" s="0" t="n">
        <v>4</v>
      </c>
      <c r="E141" s="0" t="n">
        <v>14</v>
      </c>
      <c r="F141" s="83" t="s">
        <v>967</v>
      </c>
      <c r="G141" s="83" t="s">
        <v>880</v>
      </c>
    </row>
    <row r="142" customFormat="false" ht="14.25" hidden="false" customHeight="false" outlineLevel="0" collapsed="false">
      <c r="A142" s="82" t="n">
        <v>46205.3846527778</v>
      </c>
      <c r="B142" s="83" t="s">
        <v>845</v>
      </c>
      <c r="C142" s="0" t="n">
        <v>129949</v>
      </c>
      <c r="D142" s="0" t="n">
        <v>2</v>
      </c>
      <c r="E142" s="0" t="n">
        <v>8</v>
      </c>
      <c r="F142" s="83" t="s">
        <v>968</v>
      </c>
      <c r="G142" s="83" t="s">
        <v>880</v>
      </c>
    </row>
    <row r="143" customFormat="false" ht="14.25" hidden="false" customHeight="false" outlineLevel="0" collapsed="false">
      <c r="A143" s="82" t="n">
        <v>46205.4341782407</v>
      </c>
      <c r="B143" s="83" t="s">
        <v>845</v>
      </c>
      <c r="C143" s="0" t="n">
        <v>130837</v>
      </c>
      <c r="D143" s="0" t="n">
        <v>2</v>
      </c>
      <c r="E143" s="0" t="n">
        <v>8</v>
      </c>
      <c r="F143" s="83" t="s">
        <v>969</v>
      </c>
      <c r="G143" s="83" t="s">
        <v>880</v>
      </c>
    </row>
    <row r="144" customFormat="false" ht="14.25" hidden="false" customHeight="false" outlineLevel="0" collapsed="false">
      <c r="A144" s="82" t="n">
        <v>46205.536087963</v>
      </c>
      <c r="B144" s="83" t="s">
        <v>845</v>
      </c>
      <c r="C144" s="0" t="n">
        <v>130321</v>
      </c>
      <c r="D144" s="0" t="n">
        <v>4</v>
      </c>
      <c r="E144" s="0" t="n">
        <v>16</v>
      </c>
      <c r="F144" s="83" t="s">
        <v>970</v>
      </c>
      <c r="G144" s="83" t="s">
        <v>880</v>
      </c>
    </row>
    <row r="145" customFormat="false" ht="14.25" hidden="false" customHeight="false" outlineLevel="0" collapsed="false">
      <c r="A145" s="82" t="n">
        <v>46205.6671064815</v>
      </c>
      <c r="B145" s="83" t="s">
        <v>845</v>
      </c>
      <c r="C145" s="0" t="n">
        <v>132813</v>
      </c>
      <c r="D145" s="0" t="n">
        <v>4</v>
      </c>
      <c r="E145" s="0" t="n">
        <v>14</v>
      </c>
      <c r="F145" s="83" t="s">
        <v>934</v>
      </c>
      <c r="G145" s="83" t="s">
        <v>880</v>
      </c>
    </row>
    <row r="146" customFormat="false" ht="14.25" hidden="false" customHeight="false" outlineLevel="0" collapsed="false">
      <c r="A146" s="82" t="n">
        <v>46205.7378009259</v>
      </c>
      <c r="B146" s="83" t="s">
        <v>845</v>
      </c>
      <c r="C146" s="0" t="n">
        <v>131194</v>
      </c>
      <c r="D146" s="0" t="n">
        <v>1</v>
      </c>
      <c r="E146" s="0" t="n">
        <v>7</v>
      </c>
      <c r="F146" s="83" t="s">
        <v>971</v>
      </c>
      <c r="G146" s="83" t="s">
        <v>880</v>
      </c>
    </row>
    <row r="147" customFormat="false" ht="14.25" hidden="false" customHeight="false" outlineLevel="0" collapsed="false">
      <c r="A147" s="82" t="n">
        <v>46205.8002893519</v>
      </c>
      <c r="B147" s="83" t="s">
        <v>845</v>
      </c>
      <c r="C147" s="0" t="n">
        <v>132618</v>
      </c>
      <c r="D147" s="0" t="n">
        <v>4</v>
      </c>
      <c r="E147" s="0" t="n">
        <v>20</v>
      </c>
      <c r="F147" s="83" t="s">
        <v>972</v>
      </c>
      <c r="G147" s="83" t="s">
        <v>880</v>
      </c>
    </row>
    <row r="148" customFormat="false" ht="14.25" hidden="false" customHeight="false" outlineLevel="0" collapsed="false">
      <c r="A148" s="82" t="n">
        <v>46206.3484259259</v>
      </c>
      <c r="B148" s="83" t="s">
        <v>845</v>
      </c>
      <c r="C148" s="0" t="n">
        <v>132002</v>
      </c>
      <c r="D148" s="0" t="n">
        <v>4</v>
      </c>
      <c r="E148" s="0" t="n">
        <v>24</v>
      </c>
      <c r="F148" s="83" t="s">
        <v>973</v>
      </c>
      <c r="G148" s="83" t="s">
        <v>880</v>
      </c>
    </row>
    <row r="149" customFormat="false" ht="14.25" hidden="false" customHeight="false" outlineLevel="0" collapsed="false">
      <c r="A149" s="82" t="n">
        <v>46206.3989583333</v>
      </c>
      <c r="B149" s="83" t="s">
        <v>845</v>
      </c>
      <c r="C149" s="0" t="n">
        <v>128498</v>
      </c>
      <c r="D149" s="0" t="n">
        <v>3</v>
      </c>
      <c r="E149" s="0" t="n">
        <v>11</v>
      </c>
      <c r="F149" s="83" t="s">
        <v>974</v>
      </c>
      <c r="G149" s="83" t="s">
        <v>880</v>
      </c>
    </row>
    <row r="150" customFormat="false" ht="14.25" hidden="false" customHeight="false" outlineLevel="0" collapsed="false">
      <c r="A150" s="82" t="n">
        <v>46206.4943171296</v>
      </c>
      <c r="B150" s="83" t="s">
        <v>845</v>
      </c>
      <c r="C150" s="0" t="n">
        <v>128201</v>
      </c>
      <c r="D150" s="0" t="n">
        <v>4</v>
      </c>
      <c r="E150" s="0" t="n">
        <v>24</v>
      </c>
      <c r="F150" s="83" t="s">
        <v>975</v>
      </c>
      <c r="G150" s="83" t="s">
        <v>880</v>
      </c>
    </row>
    <row r="151" customFormat="false" ht="14.25" hidden="false" customHeight="false" outlineLevel="0" collapsed="false">
      <c r="A151" s="82" t="n">
        <v>46206.5597685185</v>
      </c>
      <c r="B151" s="83" t="s">
        <v>845</v>
      </c>
      <c r="C151" s="0" t="n">
        <v>129218</v>
      </c>
      <c r="D151" s="0" t="n">
        <v>4</v>
      </c>
      <c r="E151" s="0" t="n">
        <v>14</v>
      </c>
      <c r="F151" s="83" t="s">
        <v>976</v>
      </c>
      <c r="G151" s="83" t="s">
        <v>880</v>
      </c>
    </row>
    <row r="152" customFormat="false" ht="14.25" hidden="false" customHeight="false" outlineLevel="0" collapsed="false">
      <c r="A152" s="82" t="n">
        <v>46206.6146990741</v>
      </c>
      <c r="B152" s="83" t="s">
        <v>845</v>
      </c>
      <c r="C152" s="0" t="n">
        <v>130394</v>
      </c>
      <c r="D152" s="0" t="n">
        <v>2</v>
      </c>
      <c r="E152" s="0" t="n">
        <v>6</v>
      </c>
      <c r="F152" s="83" t="s">
        <v>977</v>
      </c>
      <c r="G152" s="83" t="s">
        <v>880</v>
      </c>
    </row>
    <row r="153" customFormat="false" ht="14.25" hidden="false" customHeight="false" outlineLevel="0" collapsed="false">
      <c r="A153" s="82" t="n">
        <v>46206.7863888889</v>
      </c>
      <c r="B153" s="83" t="s">
        <v>845</v>
      </c>
      <c r="C153" s="0" t="n">
        <v>131670</v>
      </c>
      <c r="D153" s="0" t="n">
        <v>4</v>
      </c>
      <c r="E153" s="0" t="n">
        <v>20</v>
      </c>
      <c r="F153" s="83" t="s">
        <v>978</v>
      </c>
      <c r="G153" s="83" t="s">
        <v>880</v>
      </c>
    </row>
    <row r="154" customFormat="false" ht="14.25" hidden="false" customHeight="false" outlineLevel="0" collapsed="false">
      <c r="A154" s="82" t="n">
        <v>46206.7923842593</v>
      </c>
      <c r="B154" s="83" t="s">
        <v>845</v>
      </c>
      <c r="C154" s="0" t="n">
        <v>131670</v>
      </c>
      <c r="D154" s="0" t="n">
        <v>4</v>
      </c>
      <c r="E154" s="0" t="n">
        <v>20</v>
      </c>
      <c r="F154" s="83" t="s">
        <v>979</v>
      </c>
      <c r="G154" s="83" t="s">
        <v>880</v>
      </c>
    </row>
    <row r="155" customFormat="false" ht="14.25" hidden="false" customHeight="false" outlineLevel="0" collapsed="false">
      <c r="A155" s="82" t="n">
        <v>46209.5140972222</v>
      </c>
      <c r="B155" s="83" t="s">
        <v>845</v>
      </c>
      <c r="C155" s="0" t="n">
        <v>132983</v>
      </c>
      <c r="D155" s="0" t="n">
        <v>3</v>
      </c>
      <c r="E155" s="0" t="n">
        <v>15</v>
      </c>
      <c r="F155" s="83" t="s">
        <v>980</v>
      </c>
      <c r="G155" s="83" t="s">
        <v>880</v>
      </c>
    </row>
    <row r="156" customFormat="false" ht="14.25" hidden="false" customHeight="false" outlineLevel="0" collapsed="false">
      <c r="A156" s="82" t="n">
        <v>46209.5950115741</v>
      </c>
      <c r="B156" s="83" t="s">
        <v>845</v>
      </c>
      <c r="C156" s="0" t="n">
        <v>122828</v>
      </c>
      <c r="D156" s="0" t="n">
        <v>2</v>
      </c>
      <c r="E156" s="0" t="n">
        <v>10</v>
      </c>
      <c r="F156" s="83" t="s">
        <v>879</v>
      </c>
      <c r="G156" s="83" t="s">
        <v>880</v>
      </c>
    </row>
    <row r="157" customFormat="false" ht="14.25" hidden="false" customHeight="false" outlineLevel="0" collapsed="false">
      <c r="A157" s="82" t="n">
        <v>46209.6378703704</v>
      </c>
      <c r="B157" s="83" t="s">
        <v>845</v>
      </c>
      <c r="C157" s="0" t="n">
        <v>132004</v>
      </c>
      <c r="D157" s="0" t="n">
        <v>2</v>
      </c>
      <c r="E157" s="0" t="n">
        <v>8</v>
      </c>
      <c r="F157" s="83" t="s">
        <v>981</v>
      </c>
      <c r="G157" s="83" t="s">
        <v>880</v>
      </c>
    </row>
    <row r="158" customFormat="false" ht="14.25" hidden="false" customHeight="false" outlineLevel="0" collapsed="false">
      <c r="A158" s="82" t="n">
        <v>46209.7211574074</v>
      </c>
      <c r="B158" s="83" t="s">
        <v>845</v>
      </c>
      <c r="C158" s="0" t="n">
        <v>131903</v>
      </c>
      <c r="D158" s="0" t="n">
        <v>2</v>
      </c>
      <c r="E158" s="0" t="n">
        <v>10</v>
      </c>
      <c r="F158" s="83" t="s">
        <v>982</v>
      </c>
      <c r="G158" s="83" t="s">
        <v>880</v>
      </c>
    </row>
    <row r="159" customFormat="false" ht="14.25" hidden="false" customHeight="false" outlineLevel="0" collapsed="false">
      <c r="A159" s="82" t="n">
        <v>46209.7613657407</v>
      </c>
      <c r="B159" s="83" t="s">
        <v>845</v>
      </c>
      <c r="C159" s="0" t="n">
        <v>131328</v>
      </c>
      <c r="D159" s="0" t="n">
        <v>2</v>
      </c>
      <c r="E159" s="0" t="n">
        <v>8</v>
      </c>
      <c r="F159" s="83" t="s">
        <v>954</v>
      </c>
      <c r="G159" s="83" t="s">
        <v>880</v>
      </c>
    </row>
    <row r="160" customFormat="false" ht="14.25" hidden="false" customHeight="false" outlineLevel="0" collapsed="false">
      <c r="A160" s="82" t="n">
        <v>46210.4086342593</v>
      </c>
      <c r="B160" s="83" t="s">
        <v>845</v>
      </c>
      <c r="C160" s="0" t="n">
        <v>129778</v>
      </c>
      <c r="D160" s="0" t="n">
        <v>2</v>
      </c>
      <c r="E160" s="0" t="n">
        <v>8</v>
      </c>
      <c r="F160" s="83" t="s">
        <v>983</v>
      </c>
      <c r="G160" s="83" t="s">
        <v>880</v>
      </c>
    </row>
    <row r="161" customFormat="false" ht="14.25" hidden="false" customHeight="false" outlineLevel="0" collapsed="false">
      <c r="A161" s="82" t="n">
        <v>46210.4636805556</v>
      </c>
      <c r="B161" s="83" t="s">
        <v>845</v>
      </c>
      <c r="C161" s="0" t="n">
        <v>130679</v>
      </c>
      <c r="D161" s="0" t="n">
        <v>4</v>
      </c>
      <c r="E161" s="0" t="n">
        <v>14</v>
      </c>
      <c r="F161" s="83" t="s">
        <v>984</v>
      </c>
      <c r="G161" s="83" t="s">
        <v>880</v>
      </c>
    </row>
    <row r="162" customFormat="false" ht="14.25" hidden="false" customHeight="false" outlineLevel="0" collapsed="false">
      <c r="A162" s="82" t="n">
        <v>46210.5194328704</v>
      </c>
      <c r="B162" s="83" t="s">
        <v>845</v>
      </c>
      <c r="C162" s="0" t="n">
        <v>129548</v>
      </c>
      <c r="D162" s="0" t="n">
        <v>2</v>
      </c>
      <c r="E162" s="0" t="n">
        <v>8</v>
      </c>
      <c r="F162" s="83" t="s">
        <v>985</v>
      </c>
      <c r="G162" s="83" t="s">
        <v>880</v>
      </c>
    </row>
    <row r="163" customFormat="false" ht="14.25" hidden="false" customHeight="false" outlineLevel="0" collapsed="false">
      <c r="A163" s="82" t="n">
        <v>46210.7007523148</v>
      </c>
      <c r="B163" s="83" t="s">
        <v>845</v>
      </c>
      <c r="C163" s="0" t="n">
        <v>128372</v>
      </c>
      <c r="D163" s="0" t="n">
        <v>2</v>
      </c>
      <c r="E163" s="0" t="n">
        <v>8</v>
      </c>
      <c r="F163" s="83" t="s">
        <v>930</v>
      </c>
      <c r="G163" s="83" t="s">
        <v>880</v>
      </c>
    </row>
    <row r="164" customFormat="false" ht="14.25" hidden="false" customHeight="false" outlineLevel="0" collapsed="false">
      <c r="A164" s="82" t="n">
        <v>46210.7526157407</v>
      </c>
      <c r="B164" s="83" t="s">
        <v>845</v>
      </c>
      <c r="C164" s="0" t="n">
        <v>128415</v>
      </c>
      <c r="D164" s="0" t="n">
        <v>4</v>
      </c>
      <c r="E164" s="0" t="n">
        <v>22</v>
      </c>
      <c r="F164" s="83" t="s">
        <v>872</v>
      </c>
      <c r="G164" s="83" t="s">
        <v>880</v>
      </c>
    </row>
    <row r="165" customFormat="false" ht="14.25" hidden="false" customHeight="false" outlineLevel="0" collapsed="false">
      <c r="A165" s="82" t="n">
        <v>46210.7953240741</v>
      </c>
      <c r="B165" s="83" t="s">
        <v>845</v>
      </c>
      <c r="C165" s="0" t="n">
        <v>129188</v>
      </c>
      <c r="D165" s="0" t="n">
        <v>4</v>
      </c>
      <c r="E165" s="0" t="n">
        <v>20</v>
      </c>
      <c r="F165" s="83" t="s">
        <v>986</v>
      </c>
      <c r="G165" s="83" t="s">
        <v>880</v>
      </c>
    </row>
    <row r="166" customFormat="false" ht="14.25" hidden="false" customHeight="false" outlineLevel="0" collapsed="false">
      <c r="A166" s="82" t="n">
        <v>46211.5648611111</v>
      </c>
      <c r="B166" s="83" t="s">
        <v>845</v>
      </c>
      <c r="C166" s="0" t="n">
        <v>132428</v>
      </c>
      <c r="D166" s="0" t="n">
        <v>2</v>
      </c>
      <c r="E166" s="0" t="n">
        <v>6</v>
      </c>
      <c r="F166" s="83" t="s">
        <v>987</v>
      </c>
      <c r="G166" s="83" t="s">
        <v>880</v>
      </c>
    </row>
    <row r="167" customFormat="false" ht="14.25" hidden="false" customHeight="false" outlineLevel="0" collapsed="false">
      <c r="A167" s="82" t="n">
        <v>46211.583125</v>
      </c>
      <c r="B167" s="83" t="s">
        <v>845</v>
      </c>
      <c r="C167" s="0" t="n">
        <v>132276</v>
      </c>
      <c r="D167" s="0" t="n">
        <v>2</v>
      </c>
      <c r="E167" s="0" t="n">
        <v>6</v>
      </c>
      <c r="F167" s="83" t="s">
        <v>988</v>
      </c>
      <c r="G167" s="83" t="s">
        <v>880</v>
      </c>
    </row>
    <row r="168" customFormat="false" ht="14.25" hidden="false" customHeight="false" outlineLevel="0" collapsed="false">
      <c r="A168" s="82" t="n">
        <v>46211.6022106482</v>
      </c>
      <c r="B168" s="83" t="s">
        <v>845</v>
      </c>
      <c r="C168" s="0" t="n">
        <v>130184</v>
      </c>
      <c r="D168" s="0" t="n">
        <v>2</v>
      </c>
      <c r="E168" s="0" t="n">
        <v>6</v>
      </c>
      <c r="F168" s="83" t="s">
        <v>989</v>
      </c>
      <c r="G168" s="83" t="s">
        <v>880</v>
      </c>
    </row>
    <row r="169" customFormat="false" ht="14.25" hidden="false" customHeight="false" outlineLevel="0" collapsed="false">
      <c r="A169" s="82" t="n">
        <v>46211.6256365741</v>
      </c>
      <c r="B169" s="83" t="s">
        <v>845</v>
      </c>
      <c r="C169" s="0" t="n">
        <v>131052</v>
      </c>
      <c r="D169" s="0" t="n">
        <v>2</v>
      </c>
      <c r="E169" s="0" t="n">
        <v>8</v>
      </c>
      <c r="F169" s="83" t="s">
        <v>955</v>
      </c>
      <c r="G169" s="83" t="s">
        <v>880</v>
      </c>
    </row>
    <row r="170" customFormat="false" ht="14.25" hidden="false" customHeight="false" outlineLevel="0" collapsed="false">
      <c r="A170" s="82" t="n">
        <v>46211.7441203704</v>
      </c>
      <c r="B170" s="83" t="s">
        <v>845</v>
      </c>
      <c r="C170" s="0" t="n">
        <v>130756</v>
      </c>
      <c r="D170" s="0" t="n">
        <v>2</v>
      </c>
      <c r="E170" s="0" t="n">
        <v>8</v>
      </c>
      <c r="F170" s="83" t="s">
        <v>971</v>
      </c>
      <c r="G170" s="83" t="s">
        <v>880</v>
      </c>
    </row>
    <row r="171" customFormat="false" ht="14.25" hidden="false" customHeight="false" outlineLevel="0" collapsed="false">
      <c r="A171" s="82" t="n">
        <v>46212.4417013889</v>
      </c>
      <c r="B171" s="83" t="s">
        <v>845</v>
      </c>
      <c r="C171" s="0" t="n">
        <v>132500</v>
      </c>
      <c r="D171" s="0" t="n">
        <v>1</v>
      </c>
      <c r="E171" s="0" t="n">
        <v>7</v>
      </c>
      <c r="F171" s="83" t="s">
        <v>990</v>
      </c>
      <c r="G171" s="83" t="s">
        <v>880</v>
      </c>
    </row>
    <row r="172" customFormat="false" ht="14.25" hidden="false" customHeight="false" outlineLevel="0" collapsed="false">
      <c r="A172" s="82" t="n">
        <v>46212.4419328704</v>
      </c>
    </row>
    <row r="173" customFormat="false" ht="14.25" hidden="false" customHeight="false" outlineLevel="0" collapsed="false">
      <c r="A173" s="82" t="n">
        <v>46212.6750925926</v>
      </c>
      <c r="B173" s="83" t="s">
        <v>845</v>
      </c>
      <c r="C173" s="0" t="n">
        <v>130406</v>
      </c>
      <c r="D173" s="0" t="n">
        <v>5</v>
      </c>
      <c r="E173" s="0" t="n">
        <v>20</v>
      </c>
      <c r="F173" s="83" t="s">
        <v>991</v>
      </c>
      <c r="G173" s="83" t="s">
        <v>880</v>
      </c>
    </row>
    <row r="174" customFormat="false" ht="14.25" hidden="false" customHeight="false" outlineLevel="0" collapsed="false">
      <c r="A174" s="82" t="n">
        <v>46212.7287615741</v>
      </c>
      <c r="B174" s="83" t="s">
        <v>845</v>
      </c>
      <c r="C174" s="0" t="n">
        <v>131012</v>
      </c>
      <c r="D174" s="0" t="n">
        <v>2</v>
      </c>
      <c r="E174" s="0" t="n">
        <v>10</v>
      </c>
      <c r="F174" s="83" t="s">
        <v>971</v>
      </c>
      <c r="G174" s="83" t="s">
        <v>880</v>
      </c>
    </row>
    <row r="175" customFormat="false" ht="14.25" hidden="false" customHeight="false" outlineLevel="0" collapsed="false">
      <c r="A175" s="82" t="n">
        <v>46212.8214814815</v>
      </c>
      <c r="B175" s="83" t="s">
        <v>845</v>
      </c>
      <c r="C175" s="0" t="n">
        <v>128411</v>
      </c>
      <c r="D175" s="0" t="n">
        <v>4</v>
      </c>
      <c r="E175" s="0" t="n">
        <v>22</v>
      </c>
      <c r="F175" s="83" t="s">
        <v>915</v>
      </c>
      <c r="G175" s="83" t="s">
        <v>880</v>
      </c>
    </row>
    <row r="176" customFormat="false" ht="14.25" hidden="false" customHeight="false" outlineLevel="0" collapsed="false">
      <c r="A176" s="82" t="n">
        <v>46213.0491898148</v>
      </c>
      <c r="B176" s="83" t="s">
        <v>845</v>
      </c>
      <c r="C176" s="0" t="n">
        <v>132371</v>
      </c>
      <c r="D176" s="0" t="n">
        <v>4</v>
      </c>
      <c r="E176" s="0" t="n">
        <v>14</v>
      </c>
      <c r="F176" s="83" t="s">
        <v>957</v>
      </c>
      <c r="G176" s="83" t="s">
        <v>880</v>
      </c>
    </row>
    <row r="177" customFormat="false" ht="14.25" hidden="false" customHeight="false" outlineLevel="0" collapsed="false">
      <c r="A177" s="82" t="n">
        <v>46213.073125</v>
      </c>
      <c r="B177" s="83" t="s">
        <v>845</v>
      </c>
      <c r="C177" s="0" t="n">
        <v>130587</v>
      </c>
      <c r="D177" s="0" t="n">
        <v>2</v>
      </c>
      <c r="E177" s="0" t="n">
        <v>6</v>
      </c>
      <c r="F177" s="83" t="s">
        <v>992</v>
      </c>
      <c r="G177" s="83" t="s">
        <v>880</v>
      </c>
    </row>
    <row r="178" customFormat="false" ht="14.25" hidden="false" customHeight="false" outlineLevel="0" collapsed="false">
      <c r="A178" s="82" t="n">
        <v>46230.3771296296</v>
      </c>
      <c r="B178" s="83" t="s">
        <v>845</v>
      </c>
      <c r="C178" s="83" t="s">
        <v>944</v>
      </c>
      <c r="D178" s="0" t="n">
        <v>1</v>
      </c>
      <c r="E178" s="0" t="n">
        <v>3</v>
      </c>
      <c r="F178" s="83" t="s">
        <v>990</v>
      </c>
      <c r="G178" s="83" t="s">
        <v>993</v>
      </c>
      <c r="I178" s="0" t="n">
        <v>0</v>
      </c>
    </row>
    <row r="179" customFormat="false" ht="14.25" hidden="false" customHeight="false" outlineLevel="0" collapsed="false">
      <c r="A179" s="82" t="n">
        <v>46230.4097916667</v>
      </c>
      <c r="B179" s="83" t="s">
        <v>845</v>
      </c>
      <c r="C179" s="83" t="s">
        <v>944</v>
      </c>
      <c r="D179" s="0" t="n">
        <v>2</v>
      </c>
      <c r="E179" s="0" t="n">
        <v>8</v>
      </c>
      <c r="F179" s="83" t="s">
        <v>994</v>
      </c>
      <c r="G179" s="83" t="s">
        <v>993</v>
      </c>
      <c r="I179" s="0" t="n">
        <v>0</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K29"/>
  <sheetViews>
    <sheetView showFormulas="false" showGridLines="true" showRowColHeaders="true" showZeros="true" rightToLeft="false" tabSelected="false" showOutlineSymbols="true" defaultGridColor="true" view="normal" topLeftCell="H1" colorId="64" zoomScale="100" zoomScaleNormal="100" zoomScalePageLayoutView="100" workbookViewId="0">
      <selection pane="topLeft" activeCell="K16" activeCellId="0" sqref="K16"/>
    </sheetView>
  </sheetViews>
  <sheetFormatPr defaultColWidth="8.73046875" defaultRowHeight="14.25" zeroHeight="false" outlineLevelRow="0" outlineLevelCol="0"/>
  <cols>
    <col collapsed="false" customWidth="true" hidden="false" outlineLevel="0" max="1" min="1" style="68" width="13.45"/>
    <col collapsed="false" customWidth="true" hidden="false" outlineLevel="0" max="2" min="2" style="68" width="13.18"/>
    <col collapsed="false" customWidth="true" hidden="false" outlineLevel="0" max="3" min="3" style="68" width="20"/>
    <col collapsed="false" customWidth="true" hidden="false" outlineLevel="0" max="4" min="4" style="68" width="13.18"/>
    <col collapsed="false" customWidth="true" hidden="false" outlineLevel="0" max="5" min="5" style="68" width="18.82"/>
    <col collapsed="false" customWidth="false" hidden="false" outlineLevel="0" max="9" min="6" style="68" width="8.73"/>
    <col collapsed="false" customWidth="true" hidden="false" outlineLevel="0" max="10" min="10" style="0" width="19.18"/>
    <col collapsed="false" customWidth="true" hidden="false" outlineLevel="0" max="11" min="11" style="0" width="255.54"/>
    <col collapsed="false" customWidth="false" hidden="false" outlineLevel="0" max="16384" min="12" style="68" width="8.73"/>
  </cols>
  <sheetData>
    <row r="1" customFormat="false" ht="14.25" hidden="false" customHeight="false" outlineLevel="0" collapsed="false">
      <c r="A1" s="84" t="s">
        <v>2</v>
      </c>
      <c r="B1" s="85" t="s">
        <v>995</v>
      </c>
      <c r="C1" s="85" t="s">
        <v>996</v>
      </c>
      <c r="D1" s="85" t="s">
        <v>3</v>
      </c>
      <c r="E1" s="86" t="s">
        <v>997</v>
      </c>
      <c r="J1" s="83" t="s">
        <v>998</v>
      </c>
      <c r="K1" s="87" t="s">
        <v>999</v>
      </c>
    </row>
    <row r="2" customFormat="false" ht="14.25" hidden="false" customHeight="false" outlineLevel="0" collapsed="false">
      <c r="A2" s="88" t="s">
        <v>1000</v>
      </c>
      <c r="B2" s="89" t="s">
        <v>1001</v>
      </c>
      <c r="C2" s="89" t="s">
        <v>1002</v>
      </c>
      <c r="D2" s="89" t="s">
        <v>1001</v>
      </c>
      <c r="E2" s="90" t="s">
        <v>1003</v>
      </c>
      <c r="J2" s="83" t="s">
        <v>1004</v>
      </c>
      <c r="K2" s="0" t="str">
        <f aca="false">IF(Sheet1!$J$7="Wise",IFERROR(VLOOKUP(Sheet1!$J$9, Template_DB!A:B, 2, FALSE()), "Please Select an Escalation Scenario"),"" )</f>
        <v/>
      </c>
    </row>
    <row r="3" customFormat="false" ht="14.25" hidden="false" customHeight="false" outlineLevel="0" collapsed="false">
      <c r="A3" s="88" t="s">
        <v>1000</v>
      </c>
      <c r="B3" s="89" t="s">
        <v>1005</v>
      </c>
      <c r="C3" s="89" t="s">
        <v>1006</v>
      </c>
      <c r="D3" s="89" t="s">
        <v>1005</v>
      </c>
      <c r="E3" s="90" t="s">
        <v>1007</v>
      </c>
      <c r="J3" s="83" t="s">
        <v>1008</v>
      </c>
      <c r="K3" s="87" t="str">
        <f aca="false" t="array" ref="K3:K3">_xlfn.IFS(AND(Sheet1!$J$6="Escalation", Sheet1!$J$7="Wise"), Template_DB!$B$2, AND(Sheet1!$J$6="Escalation", Sheet1!$J$7="Fluz"), Template_DB!$B$3, AND(Sheet1!$J$6="Non-Escalation", Sheet1!$J$7="Wise"), Template_DB!$B$4, AND(Sheet1!$J$6="Non-Escalation", Sheet1!$J$7="Fluz"), Template_DB!$B$4, AND(Sheet1!$J$6="Escalation", Sheet1!$J$7="Crypto"), Template_DB!$B$5, AND(Sheet1!$J$6="Non-Escalation", Sheet1!$J$7="Crypto"), Template_DB!$B$6, AND(Sheet1!$J$6="RFI", Sheet1!$J$7="Wise"), Template_DB!$B$7, AND(Sheet1!$J$6="RFI", Sheet1!$J$7="Airwallex"), Template_DB!$B$8, AND(Sheet1!$J$6="RFI", Sheet1!$J$7="Common"), Template_DB!$B$9, TRUE(), "Select Template")</f>
        <v>Select Template</v>
      </c>
    </row>
    <row r="4" customFormat="false" ht="14.25" hidden="false" customHeight="false" outlineLevel="0" collapsed="false">
      <c r="A4" s="88" t="s">
        <v>1000</v>
      </c>
      <c r="B4" s="89" t="s">
        <v>1009</v>
      </c>
      <c r="C4" s="89" t="s">
        <v>1010</v>
      </c>
      <c r="D4" s="89" t="s">
        <v>1009</v>
      </c>
      <c r="E4" s="90" t="s">
        <v>1007</v>
      </c>
      <c r="J4" s="83" t="s">
        <v>1011</v>
      </c>
      <c r="K4" s="87" t="n">
        <f aca="false">Sheet1!J14</f>
        <v>0</v>
      </c>
    </row>
    <row r="5" customFormat="false" ht="14.25" hidden="false" customHeight="false" outlineLevel="0" collapsed="false">
      <c r="A5" s="88" t="s">
        <v>1012</v>
      </c>
      <c r="B5" s="89" t="s">
        <v>1013</v>
      </c>
      <c r="C5" s="89" t="s">
        <v>1014</v>
      </c>
      <c r="D5" s="89" t="s">
        <v>1013</v>
      </c>
      <c r="E5" s="90" t="s">
        <v>1007</v>
      </c>
      <c r="J5" s="83" t="s">
        <v>1015</v>
      </c>
      <c r="K5" s="87" t="n">
        <f aca="false">Sheet1!J10</f>
        <v>0</v>
      </c>
    </row>
    <row r="6" customFormat="false" ht="15" hidden="false" customHeight="true" outlineLevel="0" collapsed="false">
      <c r="A6" s="88" t="s">
        <v>1012</v>
      </c>
      <c r="B6" s="91" t="s">
        <v>1009</v>
      </c>
      <c r="C6" s="91" t="s">
        <v>1016</v>
      </c>
      <c r="D6" s="91" t="s">
        <v>1009</v>
      </c>
      <c r="E6" s="90" t="s">
        <v>1007</v>
      </c>
      <c r="J6" s="83" t="s">
        <v>1017</v>
      </c>
      <c r="K6" s="87" t="n">
        <f aca="false">Sheet1!J11</f>
        <v>0</v>
      </c>
    </row>
    <row r="7" customFormat="false" ht="14.25" hidden="false" customHeight="false" outlineLevel="0" collapsed="false">
      <c r="J7" s="83" t="s">
        <v>1018</v>
      </c>
      <c r="K7" s="87" t="n">
        <f aca="false">Sheet1!J15</f>
        <v>0</v>
      </c>
    </row>
    <row r="8" customFormat="false" ht="14.25" hidden="false" customHeight="false" outlineLevel="0" collapsed="false">
      <c r="A8" s="68" t="s">
        <v>1019</v>
      </c>
      <c r="D8" s="68" t="s">
        <v>1001</v>
      </c>
      <c r="E8" s="68" t="s">
        <v>1001</v>
      </c>
      <c r="J8" s="83" t="s">
        <v>1020</v>
      </c>
      <c r="K8" s="87" t="str">
        <f aca="false">IF(COUNTA(Sheet1!J19:J24)&gt;1,SUBSTITUTE(_xlfn.TEXTJOIN(", ", TRUE(), Sheet1!J19:J24), ", "," and ", COUNTA(Sheet1!J19:J24)-1), _xlfn.TEXTJOIN(", ", TRUE(), Sheet1!J19:J24))</f>
        <v/>
      </c>
    </row>
    <row r="9" customFormat="false" ht="14.25" hidden="false" customHeight="false" outlineLevel="0" collapsed="false">
      <c r="A9" s="68" t="s">
        <v>1021</v>
      </c>
      <c r="D9" s="68" t="s">
        <v>1005</v>
      </c>
      <c r="E9" s="68" t="s">
        <v>1022</v>
      </c>
      <c r="J9" s="83" t="s">
        <v>1023</v>
      </c>
      <c r="K9" s="87" t="str">
        <f aca="false">TEXT(K11/K10, "#,##0.00")</f>
        <v>6,652.24</v>
      </c>
    </row>
    <row r="10" customFormat="false" ht="14.25" hidden="false" customHeight="false" outlineLevel="0" collapsed="false">
      <c r="D10" s="68" t="s">
        <v>1009</v>
      </c>
      <c r="E10" s="68" t="s">
        <v>1024</v>
      </c>
      <c r="J10" s="83" t="s">
        <v>1025</v>
      </c>
      <c r="K10" s="87" t="n">
        <f aca="true">COUNT(INDIRECT("ConsolidatedData!K:K"))</f>
        <v>1</v>
      </c>
    </row>
    <row r="11" customFormat="false" ht="14.25" hidden="false" customHeight="false" outlineLevel="0" collapsed="false">
      <c r="J11" s="83" t="s">
        <v>1026</v>
      </c>
      <c r="K11" s="87" t="str">
        <f aca="true">TEXT(SUM(INDIRECT("ConsolidatedData!K:K")), "#,##0.00")</f>
        <v>6,652.24</v>
      </c>
    </row>
    <row r="12" customFormat="false" ht="14.25" hidden="false" customHeight="false" outlineLevel="0" collapsed="false">
      <c r="J12" s="83" t="s">
        <v>1027</v>
      </c>
      <c r="K12" s="87" t="str">
        <f aca="true">TEXT(MIN(INDIRECT("ConsolidatedData!L:L")),"mm/dd/yyyy")</f>
        <v>05/05/2026</v>
      </c>
    </row>
    <row r="13" customFormat="false" ht="14.25" hidden="false" customHeight="false" outlineLevel="0" collapsed="false">
      <c r="J13" s="83" t="s">
        <v>1028</v>
      </c>
      <c r="K13" s="87" t="str">
        <f aca="true">TEXT(MAX(INDIRECT("ConsolidatedData!L:L")),"mm/dd/yyyy")</f>
        <v>05/05/2026</v>
      </c>
    </row>
    <row r="14" customFormat="false" ht="14.25" hidden="false" customHeight="false" outlineLevel="0" collapsed="false">
      <c r="J14" s="83" t="s">
        <v>1029</v>
      </c>
      <c r="K14" s="87" t="e">
        <f aca="false" t="array" ref="K14:K14">_xlfn.TEXTJOIN(",",TRUE(),_xlfn.unique(_xlfn._xlws.filter(INDIRECT("ConsolidatedData!F2:F10000"),INDIRECT("ConsolidatedData!F2:F10000")&lt;&gt;"")))</f>
        <v>#NAME?</v>
      </c>
    </row>
    <row r="15" customFormat="false" ht="14.25" hidden="false" customHeight="false" outlineLevel="0" collapsed="false">
      <c r="J15" s="83" t="s">
        <v>1030</v>
      </c>
      <c r="K15" s="0" t="str">
        <f aca="false">IFERROR(VLOOKUP(Sheet1!J8, Program_Library!A:B, 2, FALSE()), "Select a Program")</f>
        <v>Select a Program</v>
      </c>
    </row>
    <row r="16" customFormat="false" ht="14.25" hidden="false" customHeight="false" outlineLevel="0" collapsed="false">
      <c r="J16" s="83" t="s">
        <v>1031</v>
      </c>
      <c r="K16" s="0" t="str">
        <f aca="false">Sheet1!J8&amp;""</f>
        <v/>
      </c>
    </row>
    <row r="17" customFormat="false" ht="14.25" hidden="false" customHeight="false" outlineLevel="0" collapsed="false">
      <c r="J17" s="83" t="s">
        <v>1032</v>
      </c>
      <c r="K17" s="0" t="str">
        <f aca="false">Sheet1!J19&amp;""</f>
        <v/>
      </c>
    </row>
    <row r="18" customFormat="false" ht="14.25" hidden="false" customHeight="false" outlineLevel="0" collapsed="false">
      <c r="J18" s="83" t="s">
        <v>1033</v>
      </c>
      <c r="K18" s="0" t="str">
        <f aca="false">Sheet1!J20&amp;""</f>
        <v/>
      </c>
    </row>
    <row r="19" customFormat="false" ht="14.25" hidden="false" customHeight="false" outlineLevel="0" collapsed="false">
      <c r="J19" s="83" t="s">
        <v>1034</v>
      </c>
      <c r="K19" s="0" t="str">
        <f aca="false">Sheet1!J21&amp;""</f>
        <v/>
      </c>
    </row>
    <row r="20" customFormat="false" ht="14.25" hidden="false" customHeight="false" outlineLevel="0" collapsed="false">
      <c r="J20" s="83" t="s">
        <v>1035</v>
      </c>
      <c r="K20" s="0" t="str">
        <f aca="false">Sheet1!J22&amp;""</f>
        <v/>
      </c>
    </row>
    <row r="21" customFormat="false" ht="14.25" hidden="false" customHeight="false" outlineLevel="0" collapsed="false">
      <c r="J21" s="83" t="s">
        <v>1036</v>
      </c>
      <c r="K21" s="0" t="str">
        <f aca="false">Sheet1!J23&amp;""</f>
        <v/>
      </c>
    </row>
    <row r="22" customFormat="false" ht="14.25" hidden="false" customHeight="false" outlineLevel="0" collapsed="false">
      <c r="J22" s="83" t="s">
        <v>1037</v>
      </c>
      <c r="K22" s="0" t="str">
        <f aca="false">Sheet1!J24&amp;""</f>
        <v/>
      </c>
    </row>
    <row r="23" customFormat="false" ht="14.25" hidden="false" customHeight="false" outlineLevel="0" collapsed="false">
      <c r="J23" s="83" t="s">
        <v>1038</v>
      </c>
      <c r="K23" s="83" t="e">
        <f aca="false" t="array" ref="K23:K23">_xlfn.let(_xlpm.AllAlerts, _xlfn.TEXTJOIN(",", TRUE(), _xlfn._xlws.filter(ConsolidatedData!C2:C1000, ConsolidatedData!C2:C1000&lt;&gt;"")), _xlpm.SplitNames, _xlfn.unique(TRIM(_xlfn.textsplit(_xlpm.AllAlerts, , ","))), _xlpm.RuleCodes, _xlfn.xlookup(_xlpm.SplitNames, Rule_DB!C:C, Rule_DB!B:B, "Code Not Found"), _xlfn.TEXTJOIN(", ", TRUE(), _xlpm.RuleCodes &amp; " - " &amp; _xlpm.SplitNames))</f>
        <v>#NAME?</v>
      </c>
    </row>
    <row r="24" customFormat="false" ht="14.25" hidden="false" customHeight="false" outlineLevel="0" collapsed="false">
      <c r="J24" s="83" t="s">
        <v>1039</v>
      </c>
      <c r="K24" s="87" t="str">
        <f aca="false">TEXT(_xlfn.MINIFS(ConsolidatedData!K:K, ConsolidatedData!K:K, "&gt;0"), "$#,##0.00")</f>
        <v>$6,652.24</v>
      </c>
    </row>
    <row r="25" customFormat="false" ht="14.25" hidden="false" customHeight="false" outlineLevel="0" collapsed="false">
      <c r="J25" s="83" t="s">
        <v>1040</v>
      </c>
      <c r="K25" s="87" t="str">
        <f aca="false">TEXT(_xlfn.MAXIFS(ConsolidatedData!K:K, ConsolidatedData!K:K, "&gt;0"), "$#,##0.00")</f>
        <v>$6,652.24</v>
      </c>
    </row>
    <row r="26" customFormat="false" ht="14.25" hidden="false" customHeight="false" outlineLevel="0" collapsed="false">
      <c r="J26" s="83" t="s">
        <v>1041</v>
      </c>
      <c r="K26" s="87" t="str">
        <f aca="false" t="array" ref="K26:K26">TEXT(SUMPRODUCT((ConsolidatedData!M:M="CR")*IFERROR(VALUE(SUBSTITUTE(ConsolidatedData!K:K, "$", "")), 0)), "#,##0.00")</f>
        <v>0.00</v>
      </c>
    </row>
    <row r="27" customFormat="false" ht="14.25" hidden="false" customHeight="false" outlineLevel="0" collapsed="false">
      <c r="J27" s="83" t="s">
        <v>1042</v>
      </c>
      <c r="K27" s="87" t="str">
        <f aca="false" t="array" ref="K27:K27">TEXT(SUMPRODUCT((ConsolidatedData!M:M="DR")*IFERROR(VALUE(SUBSTITUTE(ConsolidatedData!K:K, "$", "")), 0)), "#,##0.00")</f>
        <v>6,652.24</v>
      </c>
    </row>
    <row r="28" customFormat="false" ht="14.25" hidden="false" customHeight="false" outlineLevel="0" collapsed="false">
      <c r="J28" s="83" t="s">
        <v>1043</v>
      </c>
      <c r="K28" s="87" t="n">
        <f aca="false">COUNTIF(ConsolidatedData!M:M, "CR")</f>
        <v>0</v>
      </c>
    </row>
    <row r="29" customFormat="false" ht="14.25" hidden="false" customHeight="false" outlineLevel="0" collapsed="false">
      <c r="J29" s="83" t="s">
        <v>1044</v>
      </c>
      <c r="K29" s="87" t="n">
        <f aca="false">COUNTIF(ConsolidatedData!M:M, "DR")</f>
        <v>1</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50"/>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selection pane="topLeft" activeCell="A27" activeCellId="0" sqref="A27"/>
    </sheetView>
  </sheetViews>
  <sheetFormatPr defaultColWidth="8.6796875" defaultRowHeight="14.25" zeroHeight="false" outlineLevelRow="0" outlineLevelCol="0"/>
  <cols>
    <col collapsed="false" customWidth="true" hidden="false" outlineLevel="0" max="1" min="1" style="0" width="94"/>
    <col collapsed="false" customWidth="true" hidden="false" outlineLevel="0" max="2" min="2" style="0" width="9.18"/>
    <col collapsed="false" customWidth="true" hidden="false" outlineLevel="0" max="3" min="3" style="0" width="75.18"/>
  </cols>
  <sheetData>
    <row r="1" customFormat="false" ht="15.75" hidden="false" customHeight="true" outlineLevel="0" collapsed="false">
      <c r="A1" s="92" t="s">
        <v>1045</v>
      </c>
      <c r="B1" s="83" t="s">
        <v>1046</v>
      </c>
      <c r="C1" s="83" t="s">
        <v>1047</v>
      </c>
    </row>
    <row r="2" customFormat="false" ht="15.75" hidden="false" customHeight="true" outlineLevel="0" collapsed="false">
      <c r="A2" s="92" t="s">
        <v>1048</v>
      </c>
      <c r="B2" s="0" t="str">
        <f aca="false">LEFT(A2, FIND(" ", A2) -1)</f>
        <v>RULE02</v>
      </c>
      <c r="C2" s="0" t="str">
        <f aca="false">MID(A2, FIND( " ", A2) + 1, LEN(A2))</f>
        <v>Large value card transactions for purchase</v>
      </c>
    </row>
    <row r="3" customFormat="false" ht="15.75" hidden="false" customHeight="true" outlineLevel="0" collapsed="false">
      <c r="A3" s="92" t="s">
        <v>1049</v>
      </c>
      <c r="B3" s="0" t="str">
        <f aca="false">LEFT(A3, FIND(" ", A3) -1)</f>
        <v>RULE03</v>
      </c>
      <c r="C3" s="0" t="str">
        <f aca="false">MID(A3, FIND( " ", A3) + 1, LEN(A3))</f>
        <v>Large value cash withdrawals against card - Weekly</v>
      </c>
    </row>
    <row r="4" customFormat="false" ht="15.75" hidden="false" customHeight="true" outlineLevel="0" collapsed="false">
      <c r="A4" s="92" t="s">
        <v>1050</v>
      </c>
      <c r="B4" s="0" t="str">
        <f aca="false">LEFT(A4, FIND(" ", A4) -1)</f>
        <v>RULE03A</v>
      </c>
      <c r="C4" s="0" t="str">
        <f aca="false">MID(A4, FIND( " ", A4) + 1, LEN(A4))</f>
        <v>Large value cash withdrawals against card - Monthly</v>
      </c>
    </row>
    <row r="5" customFormat="false" ht="15.75" hidden="false" customHeight="true" outlineLevel="0" collapsed="false">
      <c r="A5" s="92" t="s">
        <v>1051</v>
      </c>
      <c r="B5" s="0" t="str">
        <f aca="false">LEFT(A5, FIND(" ", A5) -1)</f>
        <v>RULE04</v>
      </c>
      <c r="C5" s="0" t="str">
        <f aca="false">MID(A5, FIND( " ", A5) + 1, LEN(A5))</f>
        <v>Repeated small value cash withdrawals against card</v>
      </c>
    </row>
    <row r="6" customFormat="false" ht="15.75" hidden="false" customHeight="true" outlineLevel="0" collapsed="false">
      <c r="A6" s="92" t="s">
        <v>1052</v>
      </c>
      <c r="B6" s="0" t="str">
        <f aca="false">LEFT(A6, FIND(" ", A6) -1)</f>
        <v>RULE05</v>
      </c>
      <c r="C6" s="0" t="str">
        <f aca="false">MID(A6, FIND( " ", A6) + 1, LEN(A6))</f>
        <v>Large repetitive card usage at the same merchant</v>
      </c>
    </row>
    <row r="7" customFormat="false" ht="15.75" hidden="false" customHeight="true" outlineLevel="0" collapsed="false">
      <c r="A7" s="92" t="s">
        <v>1053</v>
      </c>
      <c r="B7" s="0" t="str">
        <f aca="false">LEFT(A7, FIND(" ", A7) -1)</f>
        <v>RULE06</v>
      </c>
      <c r="C7" s="0" t="str">
        <f aca="false">MID(A7, FIND( " ", A7) + 1, LEN(A7))</f>
        <v>High value cash deposits in a month</v>
      </c>
    </row>
    <row r="8" customFormat="false" ht="15.75" hidden="false" customHeight="true" outlineLevel="0" collapsed="false">
      <c r="A8" s="92" t="s">
        <v>1054</v>
      </c>
      <c r="B8" s="0" t="str">
        <f aca="false">LEFT(A8, FIND(" ", A8) -1)</f>
        <v>RULE07</v>
      </c>
      <c r="C8" s="0" t="str">
        <f aca="false">MID(A8, FIND( " ", A8) + 1, LEN(A8))</f>
        <v>High value cash withdrawals in a month</v>
      </c>
    </row>
    <row r="9" customFormat="false" ht="15.75" hidden="false" customHeight="true" outlineLevel="0" collapsed="false">
      <c r="A9" s="92" t="s">
        <v>1055</v>
      </c>
      <c r="B9" s="0" t="str">
        <f aca="false">LEFT(A9, FIND(" ", A9) -1)</f>
        <v>RULE10</v>
      </c>
      <c r="C9" s="0" t="str">
        <f aca="false">MID(A9, FIND( " ", A9) + 1, LEN(A9))</f>
        <v>Sudden high value transaction for the client</v>
      </c>
    </row>
    <row r="10" customFormat="false" ht="15.75" hidden="false" customHeight="true" outlineLevel="0" collapsed="false">
      <c r="A10" s="92" t="s">
        <v>1056</v>
      </c>
      <c r="B10" s="0" t="str">
        <f aca="false">LEFT(A10, FIND(" ", A10) -1)</f>
        <v>RULE11</v>
      </c>
      <c r="C10" s="0" t="str">
        <f aca="false">MID(A10, FIND( " ", A10) + 1, LEN(A10))</f>
        <v>Structuring: Splitting of cash withdrawal just below $10,000 in multiple accounts in a day</v>
      </c>
    </row>
    <row r="11" customFormat="false" ht="15.75" hidden="false" customHeight="true" outlineLevel="0" collapsed="false">
      <c r="A11" s="92" t="s">
        <v>1057</v>
      </c>
      <c r="B11" s="0" t="str">
        <f aca="false">LEFT(A11, FIND(" ", A11) -1)</f>
        <v>RULE12</v>
      </c>
      <c r="C11" s="0" t="str">
        <f aca="false">MID(A11, FIND( " ", A11) + 1, LEN(A11))</f>
        <v>Structuring: Splitting cash deposits just below $10,000 in multiple accounts in a day</v>
      </c>
    </row>
    <row r="12" customFormat="false" ht="15.75" hidden="false" customHeight="true" outlineLevel="0" collapsed="false">
      <c r="A12" s="92" t="s">
        <v>1058</v>
      </c>
      <c r="B12" s="0" t="str">
        <f aca="false">LEFT(A12, FIND(" ", A12) -1)</f>
        <v>RULE14</v>
      </c>
      <c r="C12" s="0" t="str">
        <f aca="false">MID(A12, FIND( " ", A12) + 1, LEN(A12))</f>
        <v>Frequent low cash deposits</v>
      </c>
    </row>
    <row r="13" customFormat="false" ht="15.75" hidden="false" customHeight="true" outlineLevel="0" collapsed="false">
      <c r="A13" s="92" t="s">
        <v>1059</v>
      </c>
      <c r="B13" s="0" t="str">
        <f aca="false">LEFT(A13, FIND(" ", A13) -1)</f>
        <v>RULE15</v>
      </c>
      <c r="C13" s="0" t="str">
        <f aca="false">MID(A13, FIND( " ", A13) + 1, LEN(A13))</f>
        <v>Frequent low cash withdrawals</v>
      </c>
    </row>
    <row r="14" customFormat="false" ht="15.75" hidden="false" customHeight="true" outlineLevel="0" collapsed="false">
      <c r="A14" s="92" t="s">
        <v>1060</v>
      </c>
      <c r="B14" s="0" t="str">
        <f aca="false">LEFT(A14, FIND(" ", A14) -1)</f>
        <v>RULE20</v>
      </c>
      <c r="C14" s="0" t="str">
        <f aca="false">MID(A14, FIND( " ", A14) + 1, LEN(A14))</f>
        <v>Early withdrawal of CD's</v>
      </c>
    </row>
    <row r="15" customFormat="false" ht="15.75" hidden="false" customHeight="true" outlineLevel="0" collapsed="false">
      <c r="A15" s="92" t="s">
        <v>1061</v>
      </c>
      <c r="B15" s="0" t="str">
        <f aca="false">LEFT(A15, FIND(" ", A15) -1)</f>
        <v>RULE21</v>
      </c>
      <c r="C15" s="0" t="str">
        <f aca="false">MID(A15, FIND( " ", A15) + 1, LEN(A15))</f>
        <v>High value inward remittance</v>
      </c>
    </row>
    <row r="16" customFormat="false" ht="15.75" hidden="false" customHeight="true" outlineLevel="0" collapsed="false">
      <c r="A16" s="92" t="s">
        <v>1062</v>
      </c>
      <c r="B16" s="0" t="str">
        <f aca="false">LEFT(A16, FIND(" ", A16) -1)</f>
        <v>RULE24</v>
      </c>
      <c r="C16" s="0" t="str">
        <f aca="false">MID(A16, FIND( " ", A16) + 1, LEN(A16))</f>
        <v>Alerts on Foreign Inward remittance of beyond a threshold limit</v>
      </c>
    </row>
    <row r="17" customFormat="false" ht="15.75" hidden="false" customHeight="true" outlineLevel="0" collapsed="false">
      <c r="A17" s="92" t="s">
        <v>1063</v>
      </c>
      <c r="B17" s="0" t="str">
        <f aca="false">LEFT(A17, FIND(" ", A17) -1)</f>
        <v>RULE27A</v>
      </c>
      <c r="C17" s="0" t="str">
        <f aca="false">MID(A17, FIND( " ", A17) + 1, LEN(A17))</f>
        <v>Many to One ACH</v>
      </c>
    </row>
    <row r="18" customFormat="false" ht="15.75" hidden="false" customHeight="true" outlineLevel="0" collapsed="false">
      <c r="A18" s="92" t="s">
        <v>1064</v>
      </c>
      <c r="B18" s="0" t="str">
        <f aca="false">LEFT(A18, FIND(" ", A18) -1)</f>
        <v>RULE27A1</v>
      </c>
      <c r="C18" s="0" t="str">
        <f aca="false">MID(A18, FIND( " ", A18) + 1, LEN(A18))</f>
        <v>Many to One RDFI ACH</v>
      </c>
    </row>
    <row r="19" customFormat="false" ht="15.75" hidden="false" customHeight="true" outlineLevel="0" collapsed="false">
      <c r="A19" s="92" t="s">
        <v>1065</v>
      </c>
      <c r="B19" s="0" t="str">
        <f aca="false">LEFT(A19, FIND(" ", A19) -1)</f>
        <v>RULE27A2</v>
      </c>
      <c r="C19" s="0" t="str">
        <f aca="false">MID(A19, FIND( " ", A19) + 1, LEN(A19))</f>
        <v>Many to One High Volume ACH</v>
      </c>
    </row>
    <row r="20" customFormat="false" ht="15.75" hidden="false" customHeight="true" outlineLevel="0" collapsed="false">
      <c r="A20" s="92" t="s">
        <v>1066</v>
      </c>
      <c r="B20" s="0" t="str">
        <f aca="false">LEFT(A20, FIND(" ", A20) -1)</f>
        <v>RULE27B</v>
      </c>
      <c r="C20" s="0" t="str">
        <f aca="false">MID(A20, FIND( " ", A20) + 1, LEN(A20))</f>
        <v>Many to one fund transfer - Wires</v>
      </c>
    </row>
    <row r="21" customFormat="false" ht="15.75" hidden="false" customHeight="true" outlineLevel="0" collapsed="false">
      <c r="A21" s="92" t="s">
        <v>1067</v>
      </c>
      <c r="B21" s="0" t="str">
        <f aca="false">LEFT(A21, FIND(" ", A21) -1)</f>
        <v>RULE27C</v>
      </c>
      <c r="C21" s="0" t="str">
        <f aca="false">MID(A21, FIND( " ", A21) + 1, LEN(A21))</f>
        <v>Many to one fund transfer - ACH E-Corp</v>
      </c>
    </row>
    <row r="22" customFormat="false" ht="15.75" hidden="false" customHeight="true" outlineLevel="0" collapsed="false">
      <c r="A22" s="92" t="s">
        <v>1068</v>
      </c>
      <c r="B22" s="0" t="str">
        <f aca="false">LEFT(A22, FIND(" ", A22) -1)</f>
        <v>RULE27D</v>
      </c>
      <c r="C22" s="0" t="str">
        <f aca="false">MID(A22, FIND( " ", A22) + 1, LEN(A22))</f>
        <v>Pseudo Debit Many to One</v>
      </c>
    </row>
    <row r="23" customFormat="false" ht="15.75" hidden="false" customHeight="true" outlineLevel="0" collapsed="false">
      <c r="A23" s="92" t="s">
        <v>1069</v>
      </c>
      <c r="B23" s="0" t="str">
        <f aca="false">LEFT(A23, FIND(" ", A23) -1)</f>
        <v>RULE28A</v>
      </c>
      <c r="C23" s="0" t="str">
        <f aca="false">MID(A23, FIND( " ", A23) + 1, LEN(A23))</f>
        <v>One to many fund transfer - ACH</v>
      </c>
    </row>
    <row r="24" customFormat="false" ht="15.75" hidden="false" customHeight="true" outlineLevel="0" collapsed="false">
      <c r="A24" s="92" t="s">
        <v>1070</v>
      </c>
      <c r="B24" s="0" t="str">
        <f aca="false">LEFT(A24, FIND(" ", A24) -1)</f>
        <v>RULE28B</v>
      </c>
      <c r="C24" s="0" t="str">
        <f aca="false">MID(A24, FIND( " ", A24) + 1, LEN(A24))</f>
        <v>One to many fund transfer - Wires</v>
      </c>
    </row>
    <row r="25" customFormat="false" ht="15.75" hidden="false" customHeight="true" outlineLevel="0" collapsed="false">
      <c r="A25" s="92" t="s">
        <v>1071</v>
      </c>
      <c r="B25" s="0" t="str">
        <f aca="false">LEFT(A25, FIND(" ", A25) -1)</f>
        <v>RULE28C</v>
      </c>
      <c r="C25" s="0" t="str">
        <f aca="false">MID(A25, FIND( " ", A25) + 1, LEN(A25))</f>
        <v>One to many fund transfer - ACH E-Corp</v>
      </c>
    </row>
    <row r="26" customFormat="false" ht="15.75" hidden="false" customHeight="true" outlineLevel="0" collapsed="false">
      <c r="A26" s="92" t="s">
        <v>1072</v>
      </c>
      <c r="B26" s="0" t="str">
        <f aca="false">LEFT(A26, FIND(" ", A26) -1)</f>
        <v>RULE28D</v>
      </c>
      <c r="C26" s="0" t="str">
        <f aca="false">MID(A26, FIND( " ", A26) + 1, LEN(A26))</f>
        <v>Pseudo Debit One to Many</v>
      </c>
    </row>
    <row r="27" customFormat="false" ht="15.75" hidden="false" customHeight="true" outlineLevel="0" collapsed="false">
      <c r="A27" s="92" t="s">
        <v>1073</v>
      </c>
      <c r="B27" s="0" t="str">
        <f aca="false">LEFT(A27, FIND(" ", A27) -1)</f>
        <v>RULE30</v>
      </c>
      <c r="C27" s="0" t="str">
        <f aca="false">MID(A27, FIND( " ", A27) + 1, LEN(A27))</f>
        <v>High value transactions with a country with high ML risk</v>
      </c>
    </row>
    <row r="28" customFormat="false" ht="15.75" hidden="false" customHeight="true" outlineLevel="0" collapsed="false">
      <c r="A28" s="92" t="s">
        <v>1074</v>
      </c>
      <c r="B28" s="0" t="str">
        <f aca="false">LEFT(A28, FIND(" ", A28) -1)</f>
        <v>RULE31</v>
      </c>
      <c r="C28" s="0" t="str">
        <f aca="false">MID(A28, FIND( " ", A28) + 1, LEN(A28))</f>
        <v>Inward and outward ACH of same amount on same day</v>
      </c>
    </row>
    <row r="29" customFormat="false" ht="15.75" hidden="false" customHeight="true" outlineLevel="0" collapsed="false">
      <c r="A29" s="92" t="s">
        <v>1075</v>
      </c>
      <c r="B29" s="0" t="str">
        <f aca="false">LEFT(A29, FIND(" ", A29) -1)</f>
        <v>RULE37</v>
      </c>
      <c r="C29" s="0" t="str">
        <f aca="false">MID(A29, FIND( " ", A29) + 1, LEN(A29))</f>
        <v>Opening and closing of loan accounts within short period</v>
      </c>
    </row>
    <row r="30" customFormat="false" ht="15.75" hidden="false" customHeight="true" outlineLevel="0" collapsed="false">
      <c r="A30" s="92" t="s">
        <v>1076</v>
      </c>
      <c r="B30" s="0" t="str">
        <f aca="false">LEFT(A30, FIND(" ", A30) -1)</f>
        <v>RULE43</v>
      </c>
      <c r="C30" s="0" t="str">
        <f aca="false">MID(A30, FIND( " ", A30) + 1, LEN(A30))</f>
        <v>High value cash transactions inconsistent with profile</v>
      </c>
    </row>
    <row r="31" customFormat="false" ht="15.75" hidden="false" customHeight="true" outlineLevel="0" collapsed="false">
      <c r="A31" s="92" t="s">
        <v>1077</v>
      </c>
      <c r="B31" s="0" t="str">
        <f aca="false">LEFT(A31, FIND(" ", A31) -1)</f>
        <v>RULE45</v>
      </c>
      <c r="C31" s="0" t="str">
        <f aca="false">MID(A31, FIND( " ", A31) + 1, LEN(A31))</f>
        <v>High value transactions by high-risk customers compared to profile.</v>
      </c>
    </row>
    <row r="32" customFormat="false" ht="15.75" hidden="false" customHeight="true" outlineLevel="0" collapsed="false">
      <c r="A32" s="92" t="s">
        <v>1078</v>
      </c>
      <c r="B32" s="0" t="str">
        <f aca="false">LEFT(A32, FIND(" ", A32) -1)</f>
        <v>RULE50</v>
      </c>
      <c r="C32" s="0" t="str">
        <f aca="false">MID(A32, FIND( " ", A32) + 1, LEN(A32))</f>
        <v>Cash Deposit of total $10,000 or above in a day</v>
      </c>
    </row>
    <row r="33" customFormat="false" ht="15.75" hidden="false" customHeight="true" outlineLevel="0" collapsed="false">
      <c r="A33" s="92" t="s">
        <v>1079</v>
      </c>
      <c r="B33" s="0" t="str">
        <f aca="false">LEFT(A33, FIND(" ", A33) -1)</f>
        <v>RULE51</v>
      </c>
      <c r="C33" s="0" t="str">
        <f aca="false">MID(A33, FIND( " ", A33) + 1, LEN(A33))</f>
        <v>Cash withdrawal of total $10,000 or above in a day</v>
      </c>
    </row>
    <row r="34" customFormat="false" ht="15.75" hidden="false" customHeight="true" outlineLevel="0" collapsed="false">
      <c r="A34" s="92" t="s">
        <v>1080</v>
      </c>
      <c r="B34" s="0" t="str">
        <f aca="false">LEFT(A34, FIND(" ", A34) -1)</f>
        <v>RULE54</v>
      </c>
      <c r="C34" s="0" t="str">
        <f aca="false">MID(A34, FIND( " ", A34) + 1, LEN(A34))</f>
        <v>Deviation from historical behaviors-All</v>
      </c>
    </row>
    <row r="35" customFormat="false" ht="15.75" hidden="false" customHeight="true" outlineLevel="0" collapsed="false">
      <c r="A35" s="92" t="s">
        <v>1045</v>
      </c>
      <c r="B35" s="0" t="str">
        <f aca="false">LEFT(A35, FIND(" ", A35) -1)</f>
        <v>Rule</v>
      </c>
      <c r="C35" s="0" t="str">
        <f aca="false">MID(A35, FIND( " ", A35) + 1, LEN(A35))</f>
        <v>Code Rule Name</v>
      </c>
    </row>
    <row r="36" customFormat="false" ht="15.75" hidden="false" customHeight="true" outlineLevel="0" collapsed="false">
      <c r="A36" s="92" t="s">
        <v>1081</v>
      </c>
      <c r="B36" s="0" t="str">
        <f aca="false">LEFT(A36, FIND(" ", A36) -1)</f>
        <v>RULE54A1</v>
      </c>
      <c r="C36" s="0" t="str">
        <f aca="false">MID(A36, FIND( " ", A36) + 1, LEN(A36))</f>
        <v>Deviation from historical behaviors-Prepaid Consumer</v>
      </c>
    </row>
    <row r="37" customFormat="false" ht="15.75" hidden="false" customHeight="true" outlineLevel="0" collapsed="false">
      <c r="A37" s="92" t="s">
        <v>1082</v>
      </c>
      <c r="B37" s="0" t="str">
        <f aca="false">LEFT(A37, FIND(" ", A37) -1)</f>
        <v>RULE54A2</v>
      </c>
      <c r="C37" s="0" t="str">
        <f aca="false">MID(A37, FIND( " ", A37) + 1, LEN(A37))</f>
        <v>Deviation from historical behaviors-Prepaid Corporate</v>
      </c>
    </row>
    <row r="38" customFormat="false" ht="15.75" hidden="false" customHeight="true" outlineLevel="0" collapsed="false">
      <c r="A38" s="92" t="s">
        <v>1083</v>
      </c>
      <c r="B38" s="0" t="str">
        <f aca="false">LEFT(A38, FIND(" ", A38) -1)</f>
        <v>RULE56</v>
      </c>
      <c r="C38" s="0" t="str">
        <f aca="false">MID(A38, FIND( " ", A38) + 1, LEN(A38))</f>
        <v>Pattern of "funding" in pre-pay card and rapid "spending" - min pre-load "spend"</v>
      </c>
    </row>
    <row r="39" customFormat="false" ht="15.75" hidden="false" customHeight="true" outlineLevel="0" collapsed="false">
      <c r="A39" s="92" t="s">
        <v>1084</v>
      </c>
      <c r="B39" s="0" t="str">
        <f aca="false">LEFT(A39, FIND(" ", A39) -1)</f>
        <v>RULE76</v>
      </c>
      <c r="C39" s="0" t="str">
        <f aca="false">MID(A39, FIND( " ", A39) + 1, LEN(A39))</f>
        <v>Structuring patterns for IN wires between certain amounts.</v>
      </c>
    </row>
    <row r="40" customFormat="false" ht="15.75" hidden="false" customHeight="true" outlineLevel="0" collapsed="false">
      <c r="A40" s="92" t="s">
        <v>1085</v>
      </c>
      <c r="B40" s="0" t="str">
        <f aca="false">LEFT(A40, FIND(" ", A40) -1)</f>
        <v>RULE79</v>
      </c>
      <c r="C40" s="0" t="str">
        <f aca="false">MID(A40, FIND( " ", A40) + 1, LEN(A40))</f>
        <v>Incoming Activity from High Risk Jurisdiction</v>
      </c>
    </row>
    <row r="41" customFormat="false" ht="15.75" hidden="false" customHeight="true" outlineLevel="0" collapsed="false">
      <c r="A41" s="92" t="s">
        <v>1086</v>
      </c>
      <c r="B41" s="0" t="str">
        <f aca="false">LEFT(A41, FIND(" ", A41) -1)</f>
        <v>RULE79A</v>
      </c>
      <c r="C41" s="0" t="str">
        <f aca="false">MID(A41, FIND( " ", A41) + 1, LEN(A41))</f>
        <v>Incoming HR Jurisdiction High Volume Program</v>
      </c>
    </row>
    <row r="42" customFormat="false" ht="15.75" hidden="false" customHeight="true" outlineLevel="0" collapsed="false">
      <c r="A42" s="92" t="s">
        <v>1087</v>
      </c>
      <c r="B42" s="0" t="str">
        <f aca="false">LEFT(A42, FIND(" ", A42) -1)</f>
        <v>RULE79B</v>
      </c>
      <c r="C42" s="0" t="str">
        <f aca="false">MID(A42, FIND( " ", A42) + 1, LEN(A42))</f>
        <v>Incoming Activity from Prohibited Jurisdiction</v>
      </c>
    </row>
    <row r="43" customFormat="false" ht="15.75" hidden="false" customHeight="true" outlineLevel="0" collapsed="false">
      <c r="A43" s="92" t="s">
        <v>1088</v>
      </c>
      <c r="B43" s="0" t="str">
        <f aca="false">LEFT(A43, FIND(" ", A43) -1)</f>
        <v>RULE80</v>
      </c>
      <c r="C43" s="0" t="str">
        <f aca="false">MID(A43, FIND( " ", A43) + 1, LEN(A43))</f>
        <v>Outgoing Activity to High-Risk Jurisdiction</v>
      </c>
    </row>
    <row r="44" customFormat="false" ht="15.75" hidden="false" customHeight="true" outlineLevel="0" collapsed="false">
      <c r="A44" s="92" t="s">
        <v>1089</v>
      </c>
      <c r="B44" s="0" t="str">
        <f aca="false">LEFT(A44, FIND(" ", A44) -1)</f>
        <v>RULE80A</v>
      </c>
      <c r="C44" s="0" t="str">
        <f aca="false">MID(A44, FIND( " ", A44) + 1, LEN(A44))</f>
        <v>Outgoing Activity to High-Risk Jurisdiction-TransferWise</v>
      </c>
    </row>
    <row r="45" customFormat="false" ht="15.75" hidden="false" customHeight="true" outlineLevel="0" collapsed="false">
      <c r="A45" s="92" t="s">
        <v>1090</v>
      </c>
      <c r="B45" s="0" t="str">
        <f aca="false">LEFT(A45, FIND(" ", A45) -1)</f>
        <v>RULE80B</v>
      </c>
      <c r="C45" s="0" t="str">
        <f aca="false">MID(A45, FIND( " ", A45) + 1, LEN(A45))</f>
        <v>Outgoing Activity to Prohibited Jurisdiction</v>
      </c>
    </row>
    <row r="46" customFormat="false" ht="15.75" hidden="false" customHeight="true" outlineLevel="0" collapsed="false">
      <c r="A46" s="92" t="s">
        <v>1091</v>
      </c>
      <c r="B46" s="0" t="str">
        <f aca="false">LEFT(A46, FIND(" ", A46) -1)</f>
        <v>RULE85</v>
      </c>
      <c r="C46" s="0" t="str">
        <f aca="false">MID(A46, FIND( " ", A46) + 1, LEN(A46))</f>
        <v>Transactions Involving Restricted or Prohibited Industries</v>
      </c>
    </row>
    <row r="47" customFormat="false" ht="15.75" hidden="false" customHeight="true" outlineLevel="0" collapsed="false">
      <c r="A47" s="92" t="s">
        <v>1092</v>
      </c>
      <c r="B47" s="0" t="str">
        <f aca="false">LEFT(A47, FIND(" ", A47) -1)</f>
        <v>RULE86</v>
      </c>
      <c r="C47" s="0" t="str">
        <f aca="false">MID(A47, FIND( " ", A47) + 1, LEN(A47))</f>
        <v>Incoming wires from High-Risk Business</v>
      </c>
    </row>
    <row r="48" customFormat="false" ht="15.75" hidden="false" customHeight="true" outlineLevel="0" collapsed="false">
      <c r="A48" s="92" t="s">
        <v>1093</v>
      </c>
      <c r="B48" s="0" t="str">
        <f aca="false">LEFT(A48, FIND(" ", A48) -1)</f>
        <v>RULE87</v>
      </c>
      <c r="C48" s="0" t="str">
        <f aca="false">MID(A48, FIND( " ", A48) + 1, LEN(A48))</f>
        <v>Outgoing Wires from High-Risk Business</v>
      </c>
    </row>
    <row r="49" customFormat="false" ht="15.75" hidden="false" customHeight="true" outlineLevel="0" collapsed="false">
      <c r="A49" s="92" t="s">
        <v>1094</v>
      </c>
      <c r="B49" s="0" t="str">
        <f aca="false">LEFT(A49, FIND(" ", A49) -1)</f>
        <v>RULE88</v>
      </c>
      <c r="C49" s="0" t="str">
        <f aca="false">MID(A49, FIND( " ", A49) + 1, LEN(A49))</f>
        <v>Frequent low cash deposits</v>
      </c>
    </row>
    <row r="50" customFormat="false" ht="15.75" hidden="false" customHeight="true" outlineLevel="0" collapsed="false">
      <c r="A50" s="92"/>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B84"/>
  <sheetViews>
    <sheetView showFormulas="false" showGridLines="true" showRowColHeaders="true" showZeros="true" rightToLeft="false" tabSelected="false" showOutlineSymbols="true" defaultGridColor="true" view="normal" topLeftCell="B1" colorId="64" zoomScale="70" zoomScaleNormal="70" zoomScalePageLayoutView="100" workbookViewId="0">
      <selection pane="topLeft" activeCell="B7" activeCellId="0" sqref="B7"/>
    </sheetView>
  </sheetViews>
  <sheetFormatPr defaultColWidth="8.6796875" defaultRowHeight="14.25" zeroHeight="false" outlineLevelRow="0" outlineLevelCol="0"/>
  <cols>
    <col collapsed="false" customWidth="true" hidden="false" outlineLevel="0" max="1" min="1" style="0" width="46.82"/>
    <col collapsed="false" customWidth="true" hidden="false" outlineLevel="0" max="2" min="2" style="0" width="255.54"/>
  </cols>
  <sheetData>
    <row r="1" customFormat="false" ht="15.75" hidden="false" customHeight="true" outlineLevel="0" collapsed="false">
      <c r="A1" s="93" t="s">
        <v>1022</v>
      </c>
      <c r="B1" s="94" t="s">
        <v>1095</v>
      </c>
    </row>
    <row r="2" customFormat="false" ht="15.75" hidden="false" customHeight="true" outlineLevel="0" collapsed="false">
      <c r="A2" s="95" t="s">
        <v>1096</v>
      </c>
      <c r="B2" s="96" t="s">
        <v>1097</v>
      </c>
    </row>
    <row r="3" customFormat="false" ht="15.75" hidden="false" customHeight="true" outlineLevel="0" collapsed="false">
      <c r="A3" s="97" t="s">
        <v>1098</v>
      </c>
      <c r="B3" s="96" t="s">
        <v>1099</v>
      </c>
    </row>
    <row r="4" customFormat="false" ht="15.75" hidden="false" customHeight="true" outlineLevel="0" collapsed="false">
      <c r="A4" s="97" t="s">
        <v>1100</v>
      </c>
      <c r="B4" s="96" t="s">
        <v>1101</v>
      </c>
    </row>
    <row r="5" customFormat="false" ht="15.75" hidden="false" customHeight="true" outlineLevel="0" collapsed="false">
      <c r="A5" s="97" t="s">
        <v>1102</v>
      </c>
      <c r="B5" s="96" t="s">
        <v>1103</v>
      </c>
    </row>
    <row r="6" customFormat="false" ht="15.75" hidden="false" customHeight="true" outlineLevel="0" collapsed="false">
      <c r="A6" s="97" t="s">
        <v>1104</v>
      </c>
      <c r="B6" s="96" t="s">
        <v>1105</v>
      </c>
    </row>
    <row r="7" customFormat="false" ht="15.75" hidden="false" customHeight="true" outlineLevel="0" collapsed="false">
      <c r="A7" s="97" t="s">
        <v>1106</v>
      </c>
      <c r="B7" s="96" t="s">
        <v>1107</v>
      </c>
    </row>
    <row r="8" customFormat="false" ht="15.75" hidden="false" customHeight="true" outlineLevel="0" collapsed="false">
      <c r="A8" s="97" t="s">
        <v>1108</v>
      </c>
      <c r="B8" s="96" t="s">
        <v>1109</v>
      </c>
    </row>
    <row r="9" customFormat="false" ht="15.75" hidden="false" customHeight="true" outlineLevel="0" collapsed="false">
      <c r="A9" s="97" t="s">
        <v>1110</v>
      </c>
      <c r="B9" s="96" t="s">
        <v>1111</v>
      </c>
    </row>
    <row r="10" customFormat="false" ht="15.75" hidden="false" customHeight="true" outlineLevel="0" collapsed="false">
      <c r="A10" s="97" t="s">
        <v>1112</v>
      </c>
      <c r="B10" s="96" t="s">
        <v>1113</v>
      </c>
    </row>
    <row r="11" customFormat="false" ht="61.5" hidden="false" customHeight="true" outlineLevel="0" collapsed="false">
      <c r="A11" s="98" t="s">
        <v>1114</v>
      </c>
      <c r="B11" s="99" t="s">
        <v>1115</v>
      </c>
    </row>
    <row r="12" customFormat="false" ht="15.75" hidden="false" customHeight="true" outlineLevel="0" collapsed="false">
      <c r="A12" s="97" t="s">
        <v>1116</v>
      </c>
      <c r="B12" s="96" t="s">
        <v>1117</v>
      </c>
    </row>
    <row r="13" customFormat="false" ht="93" hidden="false" customHeight="true" outlineLevel="0" collapsed="false">
      <c r="A13" s="98" t="s">
        <v>1118</v>
      </c>
      <c r="B13" s="99" t="s">
        <v>1119</v>
      </c>
    </row>
    <row r="14" customFormat="false" ht="15.75" hidden="false" customHeight="true" outlineLevel="0" collapsed="false">
      <c r="A14" s="97" t="s">
        <v>1120</v>
      </c>
      <c r="B14" s="96" t="s">
        <v>1121</v>
      </c>
    </row>
    <row r="15" customFormat="false" ht="15.75" hidden="false" customHeight="true" outlineLevel="0" collapsed="false">
      <c r="A15" s="97" t="s">
        <v>1122</v>
      </c>
      <c r="B15" s="96" t="s">
        <v>1123</v>
      </c>
    </row>
    <row r="16" customFormat="false" ht="61.5" hidden="false" customHeight="true" outlineLevel="0" collapsed="false">
      <c r="A16" s="98" t="s">
        <v>1124</v>
      </c>
      <c r="B16" s="100" t="s">
        <v>1125</v>
      </c>
    </row>
    <row r="17" customFormat="false" ht="15.75" hidden="false" customHeight="true" outlineLevel="0" collapsed="false">
      <c r="A17" s="97" t="s">
        <v>1126</v>
      </c>
      <c r="B17" s="96" t="s">
        <v>1127</v>
      </c>
    </row>
    <row r="18" customFormat="false" ht="15.75" hidden="false" customHeight="true" outlineLevel="0" collapsed="false">
      <c r="A18" s="97" t="s">
        <v>1128</v>
      </c>
      <c r="B18" s="96" t="s">
        <v>1129</v>
      </c>
    </row>
    <row r="19" customFormat="false" ht="15.75" hidden="false" customHeight="true" outlineLevel="0" collapsed="false">
      <c r="A19" s="97" t="s">
        <v>1130</v>
      </c>
      <c r="B19" s="96" t="s">
        <v>1131</v>
      </c>
    </row>
    <row r="20" customFormat="false" ht="15.75" hidden="false" customHeight="true" outlineLevel="0" collapsed="false">
      <c r="A20" s="97" t="s">
        <v>1132</v>
      </c>
      <c r="B20" s="101" t="s">
        <v>1133</v>
      </c>
    </row>
    <row r="21" customFormat="false" ht="15.75" hidden="false" customHeight="true" outlineLevel="0" collapsed="false">
      <c r="A21" s="97" t="s">
        <v>1134</v>
      </c>
      <c r="B21" s="96" t="s">
        <v>1135</v>
      </c>
    </row>
    <row r="22" customFormat="false" ht="15.75" hidden="false" customHeight="true" outlineLevel="0" collapsed="false">
      <c r="A22" s="97" t="s">
        <v>1136</v>
      </c>
      <c r="B22" s="96" t="s">
        <v>1137</v>
      </c>
    </row>
    <row r="23" customFormat="false" ht="15.75" hidden="false" customHeight="true" outlineLevel="0" collapsed="false">
      <c r="A23" s="97" t="s">
        <v>1138</v>
      </c>
      <c r="B23" s="96" t="s">
        <v>1139</v>
      </c>
    </row>
    <row r="24" customFormat="false" ht="15.75" hidden="false" customHeight="true" outlineLevel="0" collapsed="false">
      <c r="A24" s="97" t="s">
        <v>1140</v>
      </c>
      <c r="B24" s="96" t="s">
        <v>1141</v>
      </c>
    </row>
    <row r="25" customFormat="false" ht="15.75" hidden="false" customHeight="true" outlineLevel="0" collapsed="false">
      <c r="A25" s="97" t="s">
        <v>1142</v>
      </c>
      <c r="B25" s="102" t="s">
        <v>1143</v>
      </c>
    </row>
    <row r="26" customFormat="false" ht="15.75" hidden="false" customHeight="true" outlineLevel="0" collapsed="false">
      <c r="A26" s="97" t="s">
        <v>1144</v>
      </c>
      <c r="B26" s="96" t="s">
        <v>1145</v>
      </c>
    </row>
    <row r="27" customFormat="false" ht="15.75" hidden="false" customHeight="true" outlineLevel="0" collapsed="false">
      <c r="A27" s="97" t="s">
        <v>1146</v>
      </c>
      <c r="B27" s="96" t="s">
        <v>1147</v>
      </c>
    </row>
    <row r="28" customFormat="false" ht="15.75" hidden="false" customHeight="true" outlineLevel="0" collapsed="false">
      <c r="A28" s="97" t="s">
        <v>1148</v>
      </c>
      <c r="B28" s="96" t="s">
        <v>1149</v>
      </c>
    </row>
    <row r="29" customFormat="false" ht="15.75" hidden="false" customHeight="true" outlineLevel="0" collapsed="false">
      <c r="A29" s="97" t="s">
        <v>1150</v>
      </c>
      <c r="B29" s="96" t="s">
        <v>1151</v>
      </c>
    </row>
    <row r="30" customFormat="false" ht="15.75" hidden="false" customHeight="true" outlineLevel="0" collapsed="false">
      <c r="A30" s="97" t="s">
        <v>1152</v>
      </c>
      <c r="B30" s="96" t="s">
        <v>1153</v>
      </c>
    </row>
    <row r="31" customFormat="false" ht="15.75" hidden="false" customHeight="true" outlineLevel="0" collapsed="false">
      <c r="A31" s="97" t="s">
        <v>1154</v>
      </c>
      <c r="B31" s="96" t="s">
        <v>1155</v>
      </c>
    </row>
    <row r="32" customFormat="false" ht="15.75" hidden="false" customHeight="true" outlineLevel="0" collapsed="false">
      <c r="A32" s="97" t="s">
        <v>1156</v>
      </c>
      <c r="B32" s="96" t="s">
        <v>1157</v>
      </c>
    </row>
    <row r="33" customFormat="false" ht="15.75" hidden="false" customHeight="true" outlineLevel="0" collapsed="false">
      <c r="A33" s="97" t="s">
        <v>1158</v>
      </c>
      <c r="B33" s="96" t="s">
        <v>1159</v>
      </c>
    </row>
    <row r="34" customFormat="false" ht="15.75" hidden="false" customHeight="true" outlineLevel="0" collapsed="false">
      <c r="A34" s="97" t="s">
        <v>1160</v>
      </c>
      <c r="B34" s="96" t="s">
        <v>1161</v>
      </c>
    </row>
    <row r="35" customFormat="false" ht="15.75" hidden="false" customHeight="true" outlineLevel="0" collapsed="false">
      <c r="A35" s="97" t="s">
        <v>1162</v>
      </c>
      <c r="B35" s="96" t="s">
        <v>1163</v>
      </c>
    </row>
    <row r="36" customFormat="false" ht="15.75" hidden="false" customHeight="true" outlineLevel="0" collapsed="false">
      <c r="A36" s="97" t="s">
        <v>1164</v>
      </c>
      <c r="B36" s="96" t="s">
        <v>1165</v>
      </c>
    </row>
    <row r="37" customFormat="false" ht="15.75" hidden="false" customHeight="true" outlineLevel="0" collapsed="false">
      <c r="A37" s="97" t="s">
        <v>1166</v>
      </c>
      <c r="B37" s="96" t="s">
        <v>1167</v>
      </c>
    </row>
    <row r="38" customFormat="false" ht="15.75" hidden="false" customHeight="true" outlineLevel="0" collapsed="false">
      <c r="A38" s="97" t="s">
        <v>1168</v>
      </c>
      <c r="B38" s="96" t="s">
        <v>1169</v>
      </c>
    </row>
    <row r="39" customFormat="false" ht="15.75" hidden="false" customHeight="true" outlineLevel="0" collapsed="false">
      <c r="A39" s="97" t="s">
        <v>1170</v>
      </c>
      <c r="B39" s="96" t="s">
        <v>1171</v>
      </c>
    </row>
    <row r="40" customFormat="false" ht="15.75" hidden="false" customHeight="true" outlineLevel="0" collapsed="false">
      <c r="A40" s="97" t="s">
        <v>1172</v>
      </c>
      <c r="B40" s="96" t="s">
        <v>1173</v>
      </c>
    </row>
    <row r="41" customFormat="false" ht="15.75" hidden="false" customHeight="true" outlineLevel="0" collapsed="false">
      <c r="A41" s="97" t="s">
        <v>1174</v>
      </c>
      <c r="B41" s="96" t="s">
        <v>1175</v>
      </c>
    </row>
    <row r="42" customFormat="false" ht="15.75" hidden="false" customHeight="true" outlineLevel="0" collapsed="false">
      <c r="A42" s="97" t="s">
        <v>1176</v>
      </c>
      <c r="B42" s="102" t="s">
        <v>1177</v>
      </c>
    </row>
    <row r="43" customFormat="false" ht="15.75" hidden="false" customHeight="true" outlineLevel="0" collapsed="false">
      <c r="A43" s="97" t="s">
        <v>1178</v>
      </c>
      <c r="B43" s="96" t="s">
        <v>1179</v>
      </c>
    </row>
    <row r="44" customFormat="false" ht="15.75" hidden="false" customHeight="true" outlineLevel="0" collapsed="false">
      <c r="A44" s="97" t="s">
        <v>1180</v>
      </c>
      <c r="B44" s="96" t="s">
        <v>1181</v>
      </c>
    </row>
    <row r="45" customFormat="false" ht="15.75" hidden="false" customHeight="true" outlineLevel="0" collapsed="false">
      <c r="A45" s="97" t="s">
        <v>1182</v>
      </c>
      <c r="B45" s="96" t="s">
        <v>1183</v>
      </c>
    </row>
    <row r="46" customFormat="false" ht="15.75" hidden="false" customHeight="true" outlineLevel="0" collapsed="false">
      <c r="A46" s="97" t="s">
        <v>1184</v>
      </c>
      <c r="B46" s="102" t="s">
        <v>1185</v>
      </c>
    </row>
    <row r="47" customFormat="false" ht="15.75" hidden="false" customHeight="true" outlineLevel="0" collapsed="false">
      <c r="A47" s="97" t="s">
        <v>1186</v>
      </c>
      <c r="B47" s="96" t="s">
        <v>1187</v>
      </c>
    </row>
    <row r="48" customFormat="false" ht="15.75" hidden="false" customHeight="true" outlineLevel="0" collapsed="false">
      <c r="A48" s="97" t="s">
        <v>1188</v>
      </c>
      <c r="B48" s="96" t="s">
        <v>1189</v>
      </c>
    </row>
    <row r="49" customFormat="false" ht="15.75" hidden="false" customHeight="true" outlineLevel="0" collapsed="false">
      <c r="A49" s="97" t="s">
        <v>1190</v>
      </c>
      <c r="B49" s="96" t="s">
        <v>1191</v>
      </c>
    </row>
    <row r="50" customFormat="false" ht="15.75" hidden="false" customHeight="true" outlineLevel="0" collapsed="false">
      <c r="A50" s="103" t="s">
        <v>1192</v>
      </c>
      <c r="B50" s="96" t="s">
        <v>1193</v>
      </c>
    </row>
    <row r="51" customFormat="false" ht="15.75" hidden="false" customHeight="true" outlineLevel="0" collapsed="false">
      <c r="A51" s="97" t="s">
        <v>1194</v>
      </c>
      <c r="B51" s="96" t="s">
        <v>1195</v>
      </c>
    </row>
    <row r="52" customFormat="false" ht="15.75" hidden="false" customHeight="true" outlineLevel="0" collapsed="false">
      <c r="A52" s="97" t="s">
        <v>1196</v>
      </c>
      <c r="B52" s="96" t="s">
        <v>1197</v>
      </c>
    </row>
    <row r="53" customFormat="false" ht="15.75" hidden="false" customHeight="true" outlineLevel="0" collapsed="false">
      <c r="A53" s="97" t="s">
        <v>1198</v>
      </c>
      <c r="B53" s="96" t="s">
        <v>1199</v>
      </c>
    </row>
    <row r="54" customFormat="false" ht="15.75" hidden="false" customHeight="true" outlineLevel="0" collapsed="false">
      <c r="A54" s="97" t="s">
        <v>1200</v>
      </c>
      <c r="B54" s="96" t="s">
        <v>1201</v>
      </c>
    </row>
    <row r="55" customFormat="false" ht="15.75" hidden="false" customHeight="true" outlineLevel="0" collapsed="false">
      <c r="A55" s="97" t="s">
        <v>1202</v>
      </c>
      <c r="B55" s="96" t="s">
        <v>1203</v>
      </c>
    </row>
    <row r="56" customFormat="false" ht="15.75" hidden="false" customHeight="true" outlineLevel="0" collapsed="false">
      <c r="A56" s="97" t="s">
        <v>1204</v>
      </c>
      <c r="B56" s="96" t="s">
        <v>1205</v>
      </c>
    </row>
    <row r="57" customFormat="false" ht="15.75" hidden="false" customHeight="true" outlineLevel="0" collapsed="false">
      <c r="A57" s="97" t="s">
        <v>1206</v>
      </c>
      <c r="B57" s="96" t="s">
        <v>1207</v>
      </c>
    </row>
    <row r="58" customFormat="false" ht="15.75" hidden="false" customHeight="true" outlineLevel="0" collapsed="false">
      <c r="A58" s="97" t="s">
        <v>1208</v>
      </c>
      <c r="B58" s="102" t="s">
        <v>1209</v>
      </c>
    </row>
    <row r="59" customFormat="false" ht="15.75" hidden="false" customHeight="true" outlineLevel="0" collapsed="false">
      <c r="A59" s="97" t="s">
        <v>1210</v>
      </c>
      <c r="B59" s="96" t="s">
        <v>1211</v>
      </c>
    </row>
    <row r="60" customFormat="false" ht="18" hidden="false" customHeight="true" outlineLevel="0" collapsed="false">
      <c r="A60" s="97" t="s">
        <v>1212</v>
      </c>
      <c r="B60" s="96" t="s">
        <v>1213</v>
      </c>
    </row>
    <row r="61" customFormat="false" ht="15.75" hidden="false" customHeight="true" outlineLevel="0" collapsed="false">
      <c r="A61" s="97" t="s">
        <v>1214</v>
      </c>
      <c r="B61" s="96" t="s">
        <v>1215</v>
      </c>
    </row>
    <row r="62" customFormat="false" ht="15.75" hidden="false" customHeight="true" outlineLevel="0" collapsed="false">
      <c r="A62" s="97" t="s">
        <v>1216</v>
      </c>
      <c r="B62" s="96" t="s">
        <v>1217</v>
      </c>
    </row>
    <row r="63" customFormat="false" ht="15.75" hidden="false" customHeight="true" outlineLevel="0" collapsed="false">
      <c r="A63" s="97" t="s">
        <v>1218</v>
      </c>
      <c r="B63" s="96" t="s">
        <v>1219</v>
      </c>
    </row>
    <row r="64" customFormat="false" ht="15.75" hidden="false" customHeight="true" outlineLevel="0" collapsed="false">
      <c r="A64" s="97" t="s">
        <v>1220</v>
      </c>
      <c r="B64" s="96" t="s">
        <v>1221</v>
      </c>
    </row>
    <row r="65" customFormat="false" ht="15.75" hidden="false" customHeight="true" outlineLevel="0" collapsed="false">
      <c r="A65" s="97" t="s">
        <v>1222</v>
      </c>
      <c r="B65" s="96" t="s">
        <v>1223</v>
      </c>
    </row>
    <row r="66" customFormat="false" ht="15.75" hidden="false" customHeight="true" outlineLevel="0" collapsed="false">
      <c r="A66" s="97" t="s">
        <v>1224</v>
      </c>
      <c r="B66" s="96" t="s">
        <v>1225</v>
      </c>
    </row>
    <row r="67" customFormat="false" ht="15.75" hidden="false" customHeight="true" outlineLevel="0" collapsed="false">
      <c r="A67" s="97" t="s">
        <v>1226</v>
      </c>
      <c r="B67" s="96" t="s">
        <v>1227</v>
      </c>
    </row>
    <row r="68" customFormat="false" ht="15.75" hidden="false" customHeight="true" outlineLevel="0" collapsed="false">
      <c r="A68" s="97" t="s">
        <v>1228</v>
      </c>
      <c r="B68" s="96" t="s">
        <v>1229</v>
      </c>
    </row>
    <row r="69" customFormat="false" ht="15.75" hidden="false" customHeight="true" outlineLevel="0" collapsed="false">
      <c r="A69" s="97" t="s">
        <v>1230</v>
      </c>
      <c r="B69" s="96" t="s">
        <v>1231</v>
      </c>
    </row>
    <row r="70" customFormat="false" ht="15.75" hidden="false" customHeight="true" outlineLevel="0" collapsed="false">
      <c r="A70" s="97" t="s">
        <v>1232</v>
      </c>
      <c r="B70" s="96" t="s">
        <v>1233</v>
      </c>
    </row>
    <row r="71" customFormat="false" ht="15.75" hidden="false" customHeight="true" outlineLevel="0" collapsed="false">
      <c r="A71" s="97" t="s">
        <v>1234</v>
      </c>
      <c r="B71" s="102" t="s">
        <v>1235</v>
      </c>
    </row>
    <row r="72" customFormat="false" ht="15.75" hidden="false" customHeight="true" outlineLevel="0" collapsed="false">
      <c r="A72" s="97" t="s">
        <v>1236</v>
      </c>
      <c r="B72" s="96" t="s">
        <v>1237</v>
      </c>
    </row>
    <row r="73" customFormat="false" ht="15.75" hidden="false" customHeight="true" outlineLevel="0" collapsed="false">
      <c r="A73" s="97" t="s">
        <v>1238</v>
      </c>
      <c r="B73" s="96" t="s">
        <v>1239</v>
      </c>
    </row>
    <row r="74" customFormat="false" ht="15.75" hidden="false" customHeight="true" outlineLevel="0" collapsed="false">
      <c r="A74" s="97" t="s">
        <v>1240</v>
      </c>
      <c r="B74" s="96" t="s">
        <v>1241</v>
      </c>
    </row>
    <row r="75" customFormat="false" ht="15.75" hidden="false" customHeight="true" outlineLevel="0" collapsed="false">
      <c r="A75" s="97" t="s">
        <v>1242</v>
      </c>
      <c r="B75" s="96" t="s">
        <v>1243</v>
      </c>
    </row>
    <row r="76" customFormat="false" ht="15.75" hidden="false" customHeight="true" outlineLevel="0" collapsed="false">
      <c r="A76" s="97" t="s">
        <v>1244</v>
      </c>
      <c r="B76" s="96" t="s">
        <v>1245</v>
      </c>
    </row>
    <row r="77" customFormat="false" ht="15.75" hidden="false" customHeight="true" outlineLevel="0" collapsed="false">
      <c r="A77" s="97" t="s">
        <v>1246</v>
      </c>
      <c r="B77" s="96" t="s">
        <v>1247</v>
      </c>
    </row>
    <row r="78" customFormat="false" ht="15.75" hidden="false" customHeight="true" outlineLevel="0" collapsed="false">
      <c r="A78" s="97" t="s">
        <v>1248</v>
      </c>
      <c r="B78" s="96" t="s">
        <v>1249</v>
      </c>
    </row>
    <row r="79" customFormat="false" ht="15.75" hidden="false" customHeight="true" outlineLevel="0" collapsed="false">
      <c r="A79" s="97" t="s">
        <v>1250</v>
      </c>
      <c r="B79" s="96" t="s">
        <v>1251</v>
      </c>
    </row>
    <row r="80" customFormat="false" ht="15.75" hidden="false" customHeight="true" outlineLevel="0" collapsed="false">
      <c r="A80" s="97" t="s">
        <v>1252</v>
      </c>
      <c r="B80" s="96" t="s">
        <v>1253</v>
      </c>
    </row>
    <row r="81" customFormat="false" ht="15.75" hidden="false" customHeight="true" outlineLevel="0" collapsed="false">
      <c r="A81" s="97" t="s">
        <v>1254</v>
      </c>
      <c r="B81" s="96" t="s">
        <v>1255</v>
      </c>
    </row>
    <row r="82" customFormat="false" ht="15.75" hidden="false" customHeight="true" outlineLevel="0" collapsed="false">
      <c r="A82" s="97" t="s">
        <v>1256</v>
      </c>
      <c r="B82" s="96" t="s">
        <v>1257</v>
      </c>
    </row>
    <row r="83" customFormat="false" ht="15.75" hidden="false" customHeight="true" outlineLevel="0" collapsed="false">
      <c r="A83" s="97" t="s">
        <v>1258</v>
      </c>
      <c r="B83" s="96" t="s">
        <v>1259</v>
      </c>
    </row>
    <row r="84" customFormat="false" ht="15" hidden="false" customHeight="true" outlineLevel="0" collapsed="false">
      <c r="A84" s="104"/>
    </row>
  </sheetData>
  <hyperlinks>
    <hyperlink ref="B25" r:id="rId1" display="EUROEXCHANGE SECURITIES UK LTD is a licensed E-money institution based in the UK, offering services such as international payment processing and multi-currency accounts (https://euroexchange.uk/). CFSB offers settlement services for EUROEXCHANGE SECURITIES UK LTD. "/>
    <hyperlink ref="B42" r:id="rId2" display="iPayLinks is a FinTech company in China delivering one stop cross-border payment solutions including online acquiring, marketplace payout, billing &amp; settlement, customized solutions, covering China, the United States, Europe, Southeast Asia, Middle East, Russia, India, Japan, and South Korea. iPayLinks US INC US, INC supports Chinese marketplace sellers who sell their goods through marketplaces (Amazon, eBay, Wish.com), providing them local bank accounts to collect their settlement funds and remitting back to their local domestic accounts. Transactions can be processed in 130 currencies and settled in 12 currencies (https://www.ipaylinks.com)."/>
    <hyperlink ref="B46" r:id="rId3" display="LEATHERBACK LTD is a financial solutions company with a focus on simplifying global trade and cross-border payments. LEATHERBACK is a Payment Services Customer of CFSB wherein CFSB acts as the RDFI to receive funds on behalf of their consumer and corporate customers from LEATHERBACK’s international bank partners (Clear Bank, European Merchant Bank, Rails Bank, Yes Bank and Silvergate Bank). LEATHERBACK offers a range of services including multicurrency accounts, money transfers, mass collection and payouts, and tools for invoices, expenses, and payroll. Leatherback primarily serves individuals and businesses engaged in international trade. It was founded in 2019 and is based in London, England. (https://leatherback.co/). "/>
    <hyperlink ref="B58" r:id="rId4" display="Panda Remit is a Money Services Business regulated by FinCEN that is headquartered in Singapore and offers remittance services in more than 40 countries/regions. Panda Remit is completed online, with no offline costs, and no middlemen. Money can be sent with Money Transmission Services provided by Community Federal Savings Bank. (About Us | Global Cross-border Money Transfer from United States | Panda Remit)"/>
    <hyperlink ref="B71" r:id="rId5" display="Skrill USA, Inc. is a licensed money transmitter within the US that enables payments and money transfers to be made through the Internet via a digital wallet. Skrill is in the process of partnering with Neteller, which is an e-money transfer service used to transfer money to and from merchants and other Neteller customers. Neteller is owned and operated by British global payments company Paysafe Group, which is also in the process of acquiring Skrill USA, Inc. Skrill USA, Inc. will begin supporting the Neteller US branded e-wallet and the accounts will be used to process payments to online gambling merchants, where such gambling is legal. This product is used for payments to merchants and for money remittance and can be used for online gambling where such gambling is legal. www.skrill.com."/>
  </hyperlink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B18"/>
  <sheetViews>
    <sheetView showFormulas="false" showGridLines="true" showRowColHeaders="true" showZeros="true" rightToLeft="false" tabSelected="false" showOutlineSymbols="true" defaultGridColor="true" view="normal" topLeftCell="A1" colorId="64" zoomScale="50" zoomScaleNormal="50" zoomScalePageLayoutView="100" workbookViewId="0">
      <selection pane="topLeft" activeCell="J4" activeCellId="0" sqref="J4"/>
    </sheetView>
  </sheetViews>
  <sheetFormatPr defaultColWidth="8.6796875" defaultRowHeight="14.25" zeroHeight="false" outlineLevelRow="0" outlineLevelCol="0"/>
  <cols>
    <col collapsed="false" customWidth="true" hidden="false" outlineLevel="0" max="1" min="1" style="105" width="34"/>
    <col collapsed="false" customWidth="true" hidden="false" outlineLevel="0" max="2" min="2" style="106" width="95"/>
  </cols>
  <sheetData>
    <row r="1" customFormat="false" ht="19.5" hidden="false" customHeight="true" outlineLevel="0" collapsed="false">
      <c r="A1" s="107" t="s">
        <v>1260</v>
      </c>
      <c r="B1" s="107" t="s">
        <v>1261</v>
      </c>
    </row>
    <row r="2" customFormat="false" ht="109.5" hidden="false" customHeight="true" outlineLevel="0" collapsed="false">
      <c r="A2" s="108" t="s">
        <v>1002</v>
      </c>
      <c r="B2" s="109" t="s">
        <v>1262</v>
      </c>
    </row>
    <row r="3" customFormat="false" ht="109.5" hidden="false" customHeight="true" outlineLevel="0" collapsed="false">
      <c r="A3" s="108" t="s">
        <v>1006</v>
      </c>
      <c r="B3" s="109" t="s">
        <v>1263</v>
      </c>
    </row>
    <row r="4" customFormat="false" ht="109.5" hidden="false" customHeight="true" outlineLevel="0" collapsed="false">
      <c r="A4" s="108" t="s">
        <v>1014</v>
      </c>
      <c r="B4" s="109" t="s">
        <v>1264</v>
      </c>
    </row>
    <row r="5" customFormat="false" ht="109.5" hidden="false" customHeight="true" outlineLevel="0" collapsed="false">
      <c r="A5" s="108" t="s">
        <v>1265</v>
      </c>
      <c r="B5" s="109" t="s">
        <v>1266</v>
      </c>
    </row>
    <row r="6" customFormat="false" ht="109.5" hidden="false" customHeight="true" outlineLevel="0" collapsed="false">
      <c r="A6" s="108" t="s">
        <v>1267</v>
      </c>
      <c r="B6" s="109" t="s">
        <v>1268</v>
      </c>
    </row>
    <row r="7" customFormat="false" ht="109.5" hidden="false" customHeight="true" outlineLevel="0" collapsed="false">
      <c r="A7" s="108" t="s">
        <v>1269</v>
      </c>
      <c r="B7" s="109" t="s">
        <v>1270</v>
      </c>
    </row>
    <row r="8" customFormat="false" ht="109.5" hidden="false" customHeight="true" outlineLevel="0" collapsed="false">
      <c r="A8" s="108" t="s">
        <v>1271</v>
      </c>
      <c r="B8" s="109" t="s">
        <v>1272</v>
      </c>
    </row>
    <row r="9" customFormat="false" ht="109.5" hidden="false" customHeight="true" outlineLevel="0" collapsed="false">
      <c r="A9" s="108" t="s">
        <v>1273</v>
      </c>
      <c r="B9" s="109" t="s">
        <v>1274</v>
      </c>
    </row>
    <row r="10" customFormat="false" ht="109.5" hidden="false" customHeight="true" outlineLevel="0" collapsed="false">
      <c r="A10" s="108"/>
      <c r="B10" s="109"/>
    </row>
    <row r="11" customFormat="false" ht="109.5" hidden="false" customHeight="true" outlineLevel="0" collapsed="false">
      <c r="A11" s="108"/>
      <c r="B11" s="109"/>
    </row>
    <row r="12" customFormat="false" ht="109.5" hidden="false" customHeight="true" outlineLevel="0" collapsed="false">
      <c r="A12" s="108"/>
      <c r="B12" s="109"/>
    </row>
    <row r="13" customFormat="false" ht="109.5" hidden="false" customHeight="true" outlineLevel="0" collapsed="false">
      <c r="A13" s="108"/>
      <c r="B13" s="109"/>
    </row>
    <row r="14" customFormat="false" ht="109.5" hidden="false" customHeight="true" outlineLevel="0" collapsed="false">
      <c r="A14" s="108"/>
      <c r="B14" s="109"/>
    </row>
    <row r="15" customFormat="false" ht="109.5" hidden="false" customHeight="true" outlineLevel="0" collapsed="false">
      <c r="A15" s="108"/>
      <c r="B15" s="109"/>
    </row>
    <row r="16" customFormat="false" ht="199.5" hidden="false" customHeight="true" outlineLevel="0" collapsed="false">
      <c r="A16" s="108"/>
      <c r="B16" s="109"/>
    </row>
    <row r="17" customFormat="false" ht="199.5" hidden="false" customHeight="true" outlineLevel="0" collapsed="false">
      <c r="A17" s="108"/>
      <c r="B17" s="109"/>
    </row>
    <row r="18" customFormat="false" ht="199.5" hidden="false" customHeight="true" outlineLevel="0" collapsed="false">
      <c r="A18" s="108"/>
      <c r="B18" s="109"/>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B12"/>
  <sheetViews>
    <sheetView showFormulas="false" showGridLines="true" showRowColHeaders="true" showZeros="true" rightToLeft="false" tabSelected="false" showOutlineSymbols="true" defaultGridColor="true" view="normal" topLeftCell="A8" colorId="64" zoomScale="50" zoomScaleNormal="50" zoomScalePageLayoutView="100" workbookViewId="0">
      <selection pane="topLeft" activeCell="B10" activeCellId="0" sqref="B10"/>
    </sheetView>
  </sheetViews>
  <sheetFormatPr defaultColWidth="8.6796875" defaultRowHeight="14.25" zeroHeight="false" outlineLevelRow="0" outlineLevelCol="0"/>
  <cols>
    <col collapsed="false" customWidth="true" hidden="false" outlineLevel="0" max="1" min="1" style="105" width="26.82"/>
    <col collapsed="false" customWidth="true" hidden="false" outlineLevel="0" max="2" min="2" style="106" width="83.45"/>
  </cols>
  <sheetData>
    <row r="1" customFormat="false" ht="15" hidden="false" customHeight="true" outlineLevel="0" collapsed="false">
      <c r="A1" s="107" t="s">
        <v>1275</v>
      </c>
      <c r="B1" s="110" t="s">
        <v>1276</v>
      </c>
    </row>
    <row r="2" customFormat="false" ht="56.25" hidden="false" customHeight="true" outlineLevel="0" collapsed="false">
      <c r="A2" s="108" t="s">
        <v>1277</v>
      </c>
      <c r="B2" s="109" t="s">
        <v>1278</v>
      </c>
    </row>
    <row r="3" customFormat="false" ht="69.75" hidden="false" customHeight="true" outlineLevel="0" collapsed="false">
      <c r="A3" s="111" t="s">
        <v>1279</v>
      </c>
      <c r="B3" s="112" t="s">
        <v>1280</v>
      </c>
    </row>
    <row r="4" customFormat="false" ht="174" hidden="false" customHeight="true" outlineLevel="0" collapsed="false">
      <c r="A4" s="111" t="s">
        <v>1281</v>
      </c>
      <c r="B4" s="112" t="s">
        <v>1282</v>
      </c>
    </row>
    <row r="5" customFormat="false" ht="130.5" hidden="false" customHeight="true" outlineLevel="0" collapsed="false">
      <c r="A5" s="111" t="s">
        <v>1283</v>
      </c>
      <c r="B5" s="112" t="s">
        <v>1284</v>
      </c>
    </row>
    <row r="6" customFormat="false" ht="159" hidden="false" customHeight="true" outlineLevel="0" collapsed="false">
      <c r="A6" s="111" t="s">
        <v>1285</v>
      </c>
      <c r="B6" s="112" t="s">
        <v>1286</v>
      </c>
    </row>
    <row r="7" customFormat="false" ht="115.5" hidden="false" customHeight="true" outlineLevel="0" collapsed="false">
      <c r="A7" s="111" t="s">
        <v>1287</v>
      </c>
      <c r="B7" s="112" t="s">
        <v>1288</v>
      </c>
    </row>
    <row r="8" customFormat="false" ht="130.5" hidden="false" customHeight="true" outlineLevel="0" collapsed="false">
      <c r="A8" s="111" t="s">
        <v>1289</v>
      </c>
      <c r="B8" s="112" t="s">
        <v>1290</v>
      </c>
    </row>
    <row r="9" customFormat="false" ht="144.75" hidden="false" customHeight="true" outlineLevel="0" collapsed="false">
      <c r="A9" s="111" t="s">
        <v>1291</v>
      </c>
      <c r="B9" s="112" t="s">
        <v>1292</v>
      </c>
    </row>
    <row r="10" customFormat="false" ht="145.5" hidden="false" customHeight="true" outlineLevel="0" collapsed="false">
      <c r="A10" s="113" t="s">
        <v>1277</v>
      </c>
      <c r="B10" s="114" t="s">
        <v>1293</v>
      </c>
    </row>
    <row r="11" customFormat="false" ht="409.5" hidden="false" customHeight="true" outlineLevel="0" collapsed="false">
      <c r="A11" s="115" t="s">
        <v>1265</v>
      </c>
      <c r="B11" s="116" t="s">
        <v>1294</v>
      </c>
    </row>
    <row r="12" customFormat="false" ht="409.5" hidden="false" customHeight="true" outlineLevel="0" collapsed="false">
      <c r="A12" s="117" t="s">
        <v>1267</v>
      </c>
      <c r="B12" s="118" t="s">
        <v>1295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N3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1" min="1" style="0" width="24"/>
    <col collapsed="false" customWidth="true" hidden="false" outlineLevel="0" max="2" min="2" style="0" width="34"/>
    <col collapsed="false" customWidth="true" hidden="false" outlineLevel="0" max="3" min="3" style="0" width="75"/>
    <col collapsed="false" customWidth="true" hidden="false" outlineLevel="0" max="4" min="4" style="0" width="48"/>
    <col collapsed="false" customWidth="true" hidden="true" outlineLevel="0" max="14" min="5" style="0" width="13"/>
  </cols>
  <sheetData>
    <row r="1" customFormat="false" ht="30" hidden="false" customHeight="true" outlineLevel="0" collapsed="false">
      <c r="A1" s="119" t="s">
        <v>1296</v>
      </c>
      <c r="B1" s="119" t="s">
        <v>1297</v>
      </c>
      <c r="C1" s="119" t="s">
        <v>1298</v>
      </c>
      <c r="D1" s="119" t="s">
        <v>1299</v>
      </c>
    </row>
    <row r="2" customFormat="false" ht="15" hidden="false" customHeight="false" outlineLevel="0" collapsed="false">
      <c r="A2" s="120" t="str">
        <f aca="false">IF(Sheet1!$J$14="","Customer",Sheet1!$J$14&amp;" (Customer)")</f>
        <v>Customer</v>
      </c>
      <c r="B2" s="120" t="s">
        <v>1300</v>
      </c>
      <c r="C2" s="120" t="str">
        <f aca="false">IF(L2="","",HYPERLINK(L2,"Open Search"))</f>
        <v/>
      </c>
      <c r="D2" s="120" t="str">
        <f aca="false">IF(F2="","",Sheet1!$J$10&amp;"_"&amp;Sheet1!$J$11&amp;"_Customer_"&amp;N2&amp;"_Google.pdf")</f>
        <v/>
      </c>
      <c r="F2" s="0" t="str">
        <f aca="false">IF(Sheet1!$J$14="","",Sheet1!$J$14)</f>
        <v/>
      </c>
      <c r="G2" s="0" t="str">
        <f aca="false">IF(F2="","",SUBSTITUTE(F2,CHAR(34),"%22"))</f>
        <v/>
      </c>
      <c r="H2" s="0" t="str">
        <f aca="false">IF(G2="","",SUBSTITUTE(G2,"&amp;","%26"))</f>
        <v/>
      </c>
      <c r="I2" s="0" t="str">
        <f aca="false">IF(H2="","",SUBSTITUTE(H2,"(","%28"))</f>
        <v/>
      </c>
      <c r="J2" s="0" t="str">
        <f aca="false">IF(I2="","",SUBSTITUTE(I2,")","%29"))</f>
        <v/>
      </c>
      <c r="K2" s="0" t="str">
        <f aca="false">IF(J2="","",SUBSTITUTE(J2," ","+"))</f>
        <v/>
      </c>
      <c r="L2" s="0" t="str">
        <f aca="false">IF(K2="","","https://www.google.com/search?q="&amp;K2&amp;"&amp;num=100&amp;hl=en")</f>
        <v/>
      </c>
      <c r="M2" s="83" t="n">
        <f aca="false">IF(F2="",0,1)</f>
        <v>0</v>
      </c>
      <c r="N2" s="83" t="n">
        <f aca="false">SUM($M$2:M2)</f>
        <v>0</v>
      </c>
    </row>
    <row r="3" customFormat="false" ht="15" hidden="false" customHeight="false" outlineLevel="0" collapsed="false">
      <c r="A3" s="121" t="str">
        <f aca="false">IF(Sheet1!$J$14="","Customer",Sheet1!$J$14&amp;" (Customer)")</f>
        <v>Customer</v>
      </c>
      <c r="B3" s="121" t="s">
        <v>1301</v>
      </c>
      <c r="C3" s="121" t="str">
        <f aca="false">IF(L3="","",HYPERLINK(L3,"Open Search"))</f>
        <v/>
      </c>
      <c r="D3" s="121" t="str">
        <f aca="false">IF(F3="","",Sheet1!$J$10&amp;"_"&amp;Sheet1!$J$11&amp;"_Customer_"&amp;N3&amp;"_Address.pdf")</f>
        <v/>
      </c>
      <c r="F3" s="0" t="str">
        <f aca="false">IF(Sheet1!$J$15="","",Sheet1!$J$15)</f>
        <v/>
      </c>
      <c r="G3" s="0" t="str">
        <f aca="false">IF(F3="","",SUBSTITUTE(F3,CHAR(34),"%22"))</f>
        <v/>
      </c>
      <c r="H3" s="0" t="str">
        <f aca="false">IF(G3="","",SUBSTITUTE(G3,"&amp;","%26"))</f>
        <v/>
      </c>
      <c r="I3" s="0" t="str">
        <f aca="false">IF(H3="","",SUBSTITUTE(H3,"(","%28"))</f>
        <v/>
      </c>
      <c r="J3" s="0" t="str">
        <f aca="false">IF(I3="","",SUBSTITUTE(I3,")","%29"))</f>
        <v/>
      </c>
      <c r="K3" s="0" t="str">
        <f aca="false">IF(J3="","",SUBSTITUTE(J3," ","+"))</f>
        <v/>
      </c>
      <c r="L3" s="0" t="str">
        <f aca="false">IF(K3="","","https://www.google.com/search?q="&amp;K3&amp;"&amp;num=100&amp;hl=en")</f>
        <v/>
      </c>
      <c r="M3" s="83" t="n">
        <f aca="false">IF(F3="",0,1)</f>
        <v>0</v>
      </c>
      <c r="N3" s="83" t="n">
        <f aca="false">SUM($M$2:M3)</f>
        <v>0</v>
      </c>
    </row>
    <row r="4" customFormat="false" ht="15" hidden="false" customHeight="false" outlineLevel="0" collapsed="false">
      <c r="A4" s="120" t="str">
        <f aca="false">IF(Sheet1!$J$14="","Customer",Sheet1!$J$14&amp;" (Customer)")</f>
        <v>Customer</v>
      </c>
      <c r="B4" s="120" t="s">
        <v>1302</v>
      </c>
      <c r="C4" s="120" t="str">
        <f aca="false">IF(L4="","",HYPERLINK(L4,"Open Search"))</f>
        <v/>
      </c>
      <c r="D4" s="120" t="str">
        <f aca="false">IF(F4="","",Sheet1!$J$10&amp;"_"&amp;Sheet1!$J$11&amp;"_Customer_"&amp;N4&amp;"_Google+Address.pdf")</f>
        <v/>
      </c>
      <c r="F4" s="0" t="str">
        <f aca="false">IF(OR(Sheet1!$J$14="",Sheet1!$J$15=""),"",Sheet1!$J$14&amp;" "&amp;Sheet1!$J$15)</f>
        <v/>
      </c>
      <c r="G4" s="0" t="str">
        <f aca="false">IF(F4="","",SUBSTITUTE(F4,CHAR(34),"%22"))</f>
        <v/>
      </c>
      <c r="H4" s="0" t="str">
        <f aca="false">IF(G4="","",SUBSTITUTE(G4,"&amp;","%26"))</f>
        <v/>
      </c>
      <c r="I4" s="0" t="str">
        <f aca="false">IF(H4="","",SUBSTITUTE(H4,"(","%28"))</f>
        <v/>
      </c>
      <c r="J4" s="0" t="str">
        <f aca="false">IF(I4="","",SUBSTITUTE(I4,")","%29"))</f>
        <v/>
      </c>
      <c r="K4" s="0" t="str">
        <f aca="false">IF(J4="","",SUBSTITUTE(J4," ","+"))</f>
        <v/>
      </c>
      <c r="L4" s="0" t="str">
        <f aca="false">IF(K4="","","https://www.google.com/search?q="&amp;K4&amp;"&amp;num=100&amp;hl=en")</f>
        <v/>
      </c>
      <c r="M4" s="83" t="n">
        <f aca="false">IF(F4="",0,1)</f>
        <v>0</v>
      </c>
      <c r="N4" s="83" t="n">
        <f aca="false">SUM($M$2:M4)</f>
        <v>0</v>
      </c>
    </row>
    <row r="5" customFormat="false" ht="15" hidden="false" customHeight="false" outlineLevel="0" collapsed="false">
      <c r="A5" s="121" t="str">
        <f aca="false">IF(Sheet1!$J$14="","Customer",Sheet1!$J$14&amp;" (Customer)")</f>
        <v>Customer</v>
      </c>
      <c r="B5" s="121" t="s">
        <v>1303</v>
      </c>
      <c r="C5" s="121" t="str">
        <f aca="false">L5</f>
        <v/>
      </c>
      <c r="D5" s="121" t="str">
        <f aca="false">IF(F5="","",Sheet1!$J$10&amp;"_"&amp;Sheet1!$J$11&amp;"_Customer_"&amp;N5&amp;"_Negative News 1.pdf")</f>
        <v/>
      </c>
      <c r="F5" s="0" t="str">
        <f aca="false">IF(Sheet1!$J$14="","",CHAR(34)&amp;Sheet1!$J$14&amp;CHAR(34)&amp;" AND (arrest OR corruption OR sentencing OR money laundering OR AML OR launder OR embezzle OR evas OR evad OR crime OR corrupt OR bribe OR theft OR extort OR drug OR traffic OR trafficking OR felony OR sanction OR counterfeit OR terror)")</f>
        <v/>
      </c>
      <c r="G5" s="0" t="str">
        <f aca="false">IF(F5="","",SUBSTITUTE(F5,CHAR(34),"%22"))</f>
        <v/>
      </c>
      <c r="H5" s="0" t="str">
        <f aca="false">IF(G5="","",SUBSTITUTE(G5,"&amp;","%26"))</f>
        <v/>
      </c>
      <c r="I5" s="0" t="str">
        <f aca="false">IF(H5="","",SUBSTITUTE(H5,"(","%28"))</f>
        <v/>
      </c>
      <c r="J5" s="0" t="str">
        <f aca="false">IF(I5="","",SUBSTITUTE(I5,")","%29"))</f>
        <v/>
      </c>
      <c r="K5" s="0" t="str">
        <f aca="false">IF(J5="","",SUBSTITUTE(J5," ","+"))</f>
        <v/>
      </c>
      <c r="L5" s="0" t="str">
        <f aca="false">IF(K5="","","https://www.google.com/search?q="&amp;K5&amp;"&amp;num=100&amp;hl=en")</f>
        <v/>
      </c>
      <c r="M5" s="83" t="n">
        <f aca="false">IF(F5="",0,1)</f>
        <v>0</v>
      </c>
      <c r="N5" s="83" t="n">
        <f aca="false">SUM($M$2:M5)</f>
        <v>0</v>
      </c>
    </row>
    <row r="6" customFormat="false" ht="15" hidden="false" customHeight="false" outlineLevel="0" collapsed="false">
      <c r="A6" s="120" t="str">
        <f aca="false">IF(Sheet1!$J$14="","Customer",Sheet1!$J$14&amp;" (Customer)")</f>
        <v>Customer</v>
      </c>
      <c r="B6" s="120" t="s">
        <v>1304</v>
      </c>
      <c r="C6" s="120" t="str">
        <f aca="false">L6</f>
        <v/>
      </c>
      <c r="D6" s="120" t="str">
        <f aca="false">IF(F6="","",Sheet1!$J$10&amp;"_"&amp;Sheet1!$J$11&amp;"_Customer_"&amp;N6&amp;"_Negative News 2.pdf")</f>
        <v/>
      </c>
      <c r="F6" s="0" t="str">
        <f aca="false">IF(Sheet1!$J$14="","",CHAR(34)&amp;Sheet1!$J$14&amp;CHAR(34)&amp;" AND (arrest OR corruption OR sentencing OR money laundering OR AML OR launder OR embezzle OR evas OR evad OR crime OR corrupt OR bribe OR theft OR extort OR drug OR traffic OR trafficking OR felony OR sanction OR counterfeit OR terror)")</f>
        <v/>
      </c>
      <c r="G6" s="0" t="str">
        <f aca="false">IF(F6="","",SUBSTITUTE(F6,CHAR(34),"%22"))</f>
        <v/>
      </c>
      <c r="H6" s="0" t="str">
        <f aca="false">IF(G6="","",SUBSTITUTE(G6,"&amp;","%26"))</f>
        <v/>
      </c>
      <c r="I6" s="0" t="str">
        <f aca="false">IF(H6="","",SUBSTITUTE(H6,"(","%28"))</f>
        <v/>
      </c>
      <c r="J6" s="0" t="str">
        <f aca="false">IF(I6="","",SUBSTITUTE(I6,")","%29"))</f>
        <v/>
      </c>
      <c r="K6" s="0" t="str">
        <f aca="false">IF(J6="","",SUBSTITUTE(J6," ","+"))</f>
        <v/>
      </c>
      <c r="L6" s="0" t="str">
        <f aca="false">IF(K6="","","https://www.google.com/search?q="&amp;K6&amp;"&amp;num=100&amp;hl=en&amp;start=100")</f>
        <v/>
      </c>
      <c r="M6" s="83" t="n">
        <f aca="false">IF(F6="",0,1)</f>
        <v>0</v>
      </c>
      <c r="N6" s="83" t="n">
        <f aca="false">SUM($M$2:M6)</f>
        <v>0</v>
      </c>
    </row>
    <row r="7" customFormat="false" ht="15" hidden="false" customHeight="false" outlineLevel="0" collapsed="false">
      <c r="A7" s="121" t="str">
        <f aca="false">IF(Sheet1!$J$19="","Counterparty 1",Sheet1!$J$19&amp;" (CP1)")</f>
        <v>Counterparty 1</v>
      </c>
      <c r="B7" s="121" t="s">
        <v>1300</v>
      </c>
      <c r="C7" s="121" t="str">
        <f aca="false">IF(L7="","",HYPERLINK(L7,"Open Search"))</f>
        <v/>
      </c>
      <c r="D7" s="121" t="str">
        <f aca="false">IF(F7="","",Sheet1!$J$10&amp;"_"&amp;Sheet1!$J$11&amp;"_CP1_"&amp;N7&amp;"_Google.pdf")</f>
        <v/>
      </c>
      <c r="F7" s="0" t="str">
        <f aca="false">IF(Sheet1!$J$19="","",Sheet1!$J$19)</f>
        <v/>
      </c>
      <c r="G7" s="0" t="str">
        <f aca="false">IF(F7="","",SUBSTITUTE(F7,CHAR(34),"%22"))</f>
        <v/>
      </c>
      <c r="H7" s="0" t="str">
        <f aca="false">IF(G7="","",SUBSTITUTE(G7,"&amp;","%26"))</f>
        <v/>
      </c>
      <c r="I7" s="0" t="str">
        <f aca="false">IF(H7="","",SUBSTITUTE(H7,"(","%28"))</f>
        <v/>
      </c>
      <c r="J7" s="0" t="str">
        <f aca="false">IF(I7="","",SUBSTITUTE(I7,")","%29"))</f>
        <v/>
      </c>
      <c r="K7" s="0" t="str">
        <f aca="false">IF(J7="","",SUBSTITUTE(J7," ","+"))</f>
        <v/>
      </c>
      <c r="L7" s="0" t="str">
        <f aca="false">IF(K7="","","https://www.google.com/search?q="&amp;K7&amp;"&amp;num=100&amp;hl=en")</f>
        <v/>
      </c>
      <c r="M7" s="83" t="n">
        <f aca="false">IF(F7="",0,1)</f>
        <v>0</v>
      </c>
      <c r="N7" s="83" t="n">
        <f aca="false">SUM($M$7:M7)</f>
        <v>0</v>
      </c>
    </row>
    <row r="8" customFormat="false" ht="15" hidden="false" customHeight="false" outlineLevel="0" collapsed="false">
      <c r="A8" s="120" t="str">
        <f aca="false">IF(Sheet1!$J$19="","Counterparty 1",Sheet1!$J$19&amp;" (CP1)")</f>
        <v>Counterparty 1</v>
      </c>
      <c r="B8" s="120" t="s">
        <v>1301</v>
      </c>
      <c r="C8" s="120" t="str">
        <f aca="false">IF(L8="","",HYPERLINK(L8,"Open Search"))</f>
        <v/>
      </c>
      <c r="D8" s="120" t="str">
        <f aca="false">IF(F8="","",Sheet1!$J$10&amp;"_"&amp;Sheet1!$J$11&amp;"_CP1_"&amp;N8&amp;"_Address.pdf")</f>
        <v/>
      </c>
      <c r="F8" s="0" t="str">
        <f aca="false">IF(Sheet1!$T$19="","",Sheet1!$T$19)</f>
        <v/>
      </c>
      <c r="G8" s="0" t="str">
        <f aca="false">IF(F8="","",SUBSTITUTE(F8,CHAR(34),"%22"))</f>
        <v/>
      </c>
      <c r="H8" s="0" t="str">
        <f aca="false">IF(G8="","",SUBSTITUTE(G8,"&amp;","%26"))</f>
        <v/>
      </c>
      <c r="I8" s="0" t="str">
        <f aca="false">IF(H8="","",SUBSTITUTE(H8,"(","%28"))</f>
        <v/>
      </c>
      <c r="J8" s="0" t="str">
        <f aca="false">IF(I8="","",SUBSTITUTE(I8,")","%29"))</f>
        <v/>
      </c>
      <c r="K8" s="0" t="str">
        <f aca="false">IF(J8="","",SUBSTITUTE(J8," ","+"))</f>
        <v/>
      </c>
      <c r="L8" s="0" t="str">
        <f aca="false">IF(K8="","","https://www.google.com/search?q="&amp;K8&amp;"&amp;num=100&amp;hl=en")</f>
        <v/>
      </c>
      <c r="M8" s="83" t="n">
        <f aca="false">IF(F8="",0,1)</f>
        <v>0</v>
      </c>
      <c r="N8" s="83" t="n">
        <f aca="false">SUM($M$7:M8)</f>
        <v>0</v>
      </c>
    </row>
    <row r="9" customFormat="false" ht="15" hidden="false" customHeight="false" outlineLevel="0" collapsed="false">
      <c r="A9" s="121" t="str">
        <f aca="false">IF(Sheet1!$J$19="","Counterparty 1",Sheet1!$J$19&amp;" (CP1)")</f>
        <v>Counterparty 1</v>
      </c>
      <c r="B9" s="121" t="s">
        <v>1302</v>
      </c>
      <c r="C9" s="121" t="str">
        <f aca="false">IF(L9="","",HYPERLINK(L9,"Open Search"))</f>
        <v/>
      </c>
      <c r="D9" s="121" t="str">
        <f aca="false">IF(F9="","",Sheet1!$J$10&amp;"_"&amp;Sheet1!$J$11&amp;"_CP1_"&amp;N9&amp;"_Google+Address.pdf")</f>
        <v/>
      </c>
      <c r="F9" s="0" t="str">
        <f aca="false">IF(OR(Sheet1!$J$19="",Sheet1!$T$19=""),"",Sheet1!$J$19&amp;" "&amp;Sheet1!$T$19)</f>
        <v/>
      </c>
      <c r="G9" s="0" t="str">
        <f aca="false">IF(F9="","",SUBSTITUTE(F9,CHAR(34),"%22"))</f>
        <v/>
      </c>
      <c r="H9" s="0" t="str">
        <f aca="false">IF(G9="","",SUBSTITUTE(G9,"&amp;","%26"))</f>
        <v/>
      </c>
      <c r="I9" s="0" t="str">
        <f aca="false">IF(H9="","",SUBSTITUTE(H9,"(","%28"))</f>
        <v/>
      </c>
      <c r="J9" s="0" t="str">
        <f aca="false">IF(I9="","",SUBSTITUTE(I9,")","%29"))</f>
        <v/>
      </c>
      <c r="K9" s="0" t="str">
        <f aca="false">IF(J9="","",SUBSTITUTE(J9," ","+"))</f>
        <v/>
      </c>
      <c r="L9" s="0" t="str">
        <f aca="false">IF(K9="","","https://www.google.com/search?q="&amp;K9&amp;"&amp;num=100&amp;hl=en")</f>
        <v/>
      </c>
      <c r="M9" s="83" t="n">
        <f aca="false">IF(F9="",0,1)</f>
        <v>0</v>
      </c>
      <c r="N9" s="83" t="n">
        <f aca="false">SUM($M$7:M9)</f>
        <v>0</v>
      </c>
    </row>
    <row r="10" customFormat="false" ht="15" hidden="false" customHeight="false" outlineLevel="0" collapsed="false">
      <c r="A10" s="120" t="str">
        <f aca="false">IF(Sheet1!$J$19="","Counterparty 1",Sheet1!$J$19&amp;" (CP1)")</f>
        <v>Counterparty 1</v>
      </c>
      <c r="B10" s="120" t="s">
        <v>1303</v>
      </c>
      <c r="C10" s="120" t="str">
        <f aca="false">L10</f>
        <v/>
      </c>
      <c r="D10" s="120" t="str">
        <f aca="false">IF(F10="","",Sheet1!$J$10&amp;"_"&amp;Sheet1!$J$11&amp;"_CP1_"&amp;N10&amp;"_Negative News 1.pdf")</f>
        <v/>
      </c>
      <c r="F10" s="0" t="str">
        <f aca="false">IF(Sheet1!$J$19="","",CHAR(34)&amp;Sheet1!$J$19&amp;CHAR(34)&amp;" AND (arrest OR corruption OR sentencing OR money laundering OR AML OR launder OR embezzle OR evas OR evad OR crime OR corrupt OR bribe OR theft OR extort OR drug OR traffic OR trafficking OR felony OR sanction OR counterfeit OR terror)")</f>
        <v/>
      </c>
      <c r="G10" s="0" t="str">
        <f aca="false">IF(F10="","",SUBSTITUTE(F10,CHAR(34),"%22"))</f>
        <v/>
      </c>
      <c r="H10" s="0" t="str">
        <f aca="false">IF(G10="","",SUBSTITUTE(G10,"&amp;","%26"))</f>
        <v/>
      </c>
      <c r="I10" s="0" t="str">
        <f aca="false">IF(H10="","",SUBSTITUTE(H10,"(","%28"))</f>
        <v/>
      </c>
      <c r="J10" s="0" t="str">
        <f aca="false">IF(I10="","",SUBSTITUTE(I10,")","%29"))</f>
        <v/>
      </c>
      <c r="K10" s="0" t="str">
        <f aca="false">IF(J10="","",SUBSTITUTE(J10," ","+"))</f>
        <v/>
      </c>
      <c r="L10" s="0" t="str">
        <f aca="false">IF(K10="","","https://www.google.com/search?q="&amp;K10&amp;"&amp;num=100&amp;hl=en")</f>
        <v/>
      </c>
      <c r="M10" s="83" t="n">
        <f aca="false">IF(F10="",0,1)</f>
        <v>0</v>
      </c>
      <c r="N10" s="83" t="n">
        <f aca="false">SUM($M$7:M10)</f>
        <v>0</v>
      </c>
    </row>
    <row r="11" customFormat="false" ht="15" hidden="false" customHeight="false" outlineLevel="0" collapsed="false">
      <c r="A11" s="121" t="str">
        <f aca="false">IF(Sheet1!$J$19="","Counterparty 1",Sheet1!$J$19&amp;" (CP1)")</f>
        <v>Counterparty 1</v>
      </c>
      <c r="B11" s="121" t="s">
        <v>1304</v>
      </c>
      <c r="C11" s="121" t="str">
        <f aca="false">L11</f>
        <v/>
      </c>
      <c r="D11" s="121" t="str">
        <f aca="false">IF(F11="","",Sheet1!$J$10&amp;"_"&amp;Sheet1!$J$11&amp;"_CP1_"&amp;N11&amp;"_Negative News 2.pdf")</f>
        <v/>
      </c>
      <c r="F11" s="0" t="str">
        <f aca="false">IF(Sheet1!$J$19="","",CHAR(34)&amp;Sheet1!$J$19&amp;CHAR(34)&amp;" AND (arrest OR corruption OR sentencing OR money laundering OR AML OR launder OR embezzle OR evas OR evad OR crime OR corrupt OR bribe OR theft OR extort OR drug OR traffic OR trafficking OR felony OR sanction OR counterfeit OR terror)")</f>
        <v/>
      </c>
      <c r="G11" s="0" t="str">
        <f aca="false">IF(F11="","",SUBSTITUTE(F11,CHAR(34),"%22"))</f>
        <v/>
      </c>
      <c r="H11" s="0" t="str">
        <f aca="false">IF(G11="","",SUBSTITUTE(G11,"&amp;","%26"))</f>
        <v/>
      </c>
      <c r="I11" s="0" t="str">
        <f aca="false">IF(H11="","",SUBSTITUTE(H11,"(","%28"))</f>
        <v/>
      </c>
      <c r="J11" s="0" t="str">
        <f aca="false">IF(I11="","",SUBSTITUTE(I11,")","%29"))</f>
        <v/>
      </c>
      <c r="K11" s="0" t="str">
        <f aca="false">IF(J11="","",SUBSTITUTE(J11," ","+"))</f>
        <v/>
      </c>
      <c r="L11" s="0" t="str">
        <f aca="false">IF(K11="","","https://www.google.com/search?q="&amp;K11&amp;"&amp;num=100&amp;hl=en&amp;start=100")</f>
        <v/>
      </c>
      <c r="M11" s="83" t="n">
        <f aca="false">IF(F11="",0,1)</f>
        <v>0</v>
      </c>
      <c r="N11" s="83" t="n">
        <f aca="false">SUM($M$7:M11)</f>
        <v>0</v>
      </c>
    </row>
    <row r="12" customFormat="false" ht="15" hidden="false" customHeight="false" outlineLevel="0" collapsed="false">
      <c r="A12" s="120" t="str">
        <f aca="false">IF(Sheet1!$J$20="","Counterparty 2",Sheet1!$J$20&amp;" (CP2)")</f>
        <v>Counterparty 2</v>
      </c>
      <c r="B12" s="120" t="s">
        <v>1300</v>
      </c>
      <c r="C12" s="120" t="str">
        <f aca="false">IF(L12="","",HYPERLINK(L12,"Open Search"))</f>
        <v/>
      </c>
      <c r="D12" s="120" t="str">
        <f aca="false">IF(F12="","",Sheet1!$J$10&amp;"_"&amp;Sheet1!$J$11&amp;"_CP2_"&amp;N12&amp;"_Google.pdf")</f>
        <v/>
      </c>
      <c r="F12" s="0" t="str">
        <f aca="false">IF(Sheet1!$J$20="","",Sheet1!$J$20)</f>
        <v/>
      </c>
      <c r="G12" s="0" t="str">
        <f aca="false">IF(F12="","",SUBSTITUTE(F12,CHAR(34),"%22"))</f>
        <v/>
      </c>
      <c r="H12" s="0" t="str">
        <f aca="false">IF(G12="","",SUBSTITUTE(G12,"&amp;","%26"))</f>
        <v/>
      </c>
      <c r="I12" s="0" t="str">
        <f aca="false">IF(H12="","",SUBSTITUTE(H12,"(","%28"))</f>
        <v/>
      </c>
      <c r="J12" s="0" t="str">
        <f aca="false">IF(I12="","",SUBSTITUTE(I12,")","%29"))</f>
        <v/>
      </c>
      <c r="K12" s="0" t="str">
        <f aca="false">IF(J12="","",SUBSTITUTE(J12," ","+"))</f>
        <v/>
      </c>
      <c r="L12" s="0" t="str">
        <f aca="false">IF(K12="","","https://www.google.com/search?q="&amp;K12&amp;"&amp;num=100&amp;hl=en")</f>
        <v/>
      </c>
      <c r="M12" s="83" t="n">
        <f aca="false">IF(F12="",0,1)</f>
        <v>0</v>
      </c>
      <c r="N12" s="83" t="n">
        <f aca="false">SUM($M$12:M12)</f>
        <v>0</v>
      </c>
    </row>
    <row r="13" customFormat="false" ht="15" hidden="false" customHeight="false" outlineLevel="0" collapsed="false">
      <c r="A13" s="121" t="str">
        <f aca="false">IF(Sheet1!$J$20="","Counterparty 2",Sheet1!$J$20&amp;" (CP2)")</f>
        <v>Counterparty 2</v>
      </c>
      <c r="B13" s="121" t="s">
        <v>1301</v>
      </c>
      <c r="C13" s="121" t="str">
        <f aca="false">IF(L13="","",HYPERLINK(L13,"Open Search"))</f>
        <v/>
      </c>
      <c r="D13" s="121" t="str">
        <f aca="false">IF(F13="","",Sheet1!$J$10&amp;"_"&amp;Sheet1!$J$11&amp;"_CP2_"&amp;N13&amp;"_Address.pdf")</f>
        <v/>
      </c>
      <c r="F13" s="0" t="str">
        <f aca="false">IF(Sheet1!$T$20="","",Sheet1!$T$20)</f>
        <v/>
      </c>
      <c r="G13" s="0" t="str">
        <f aca="false">IF(F13="","",SUBSTITUTE(F13,CHAR(34),"%22"))</f>
        <v/>
      </c>
      <c r="H13" s="0" t="str">
        <f aca="false">IF(G13="","",SUBSTITUTE(G13,"&amp;","%26"))</f>
        <v/>
      </c>
      <c r="I13" s="0" t="str">
        <f aca="false">IF(H13="","",SUBSTITUTE(H13,"(","%28"))</f>
        <v/>
      </c>
      <c r="J13" s="0" t="str">
        <f aca="false">IF(I13="","",SUBSTITUTE(I13,")","%29"))</f>
        <v/>
      </c>
      <c r="K13" s="0" t="str">
        <f aca="false">IF(J13="","",SUBSTITUTE(J13," ","+"))</f>
        <v/>
      </c>
      <c r="L13" s="0" t="str">
        <f aca="false">IF(K13="","","https://www.google.com/search?q="&amp;K13&amp;"&amp;num=100&amp;hl=en")</f>
        <v/>
      </c>
      <c r="M13" s="83" t="n">
        <f aca="false">IF(F13="",0,1)</f>
        <v>0</v>
      </c>
      <c r="N13" s="83" t="n">
        <f aca="false">SUM($M$12:M13)</f>
        <v>0</v>
      </c>
    </row>
    <row r="14" customFormat="false" ht="15" hidden="false" customHeight="false" outlineLevel="0" collapsed="false">
      <c r="A14" s="120" t="str">
        <f aca="false">IF(Sheet1!$J$20="","Counterparty 2",Sheet1!$J$20&amp;" (CP2)")</f>
        <v>Counterparty 2</v>
      </c>
      <c r="B14" s="120" t="s">
        <v>1302</v>
      </c>
      <c r="C14" s="120" t="str">
        <f aca="false">IF(L14="","",HYPERLINK(L14,"Open Search"))</f>
        <v/>
      </c>
      <c r="D14" s="120" t="str">
        <f aca="false">IF(F14="","",Sheet1!$J$10&amp;"_"&amp;Sheet1!$J$11&amp;"_CP2_"&amp;N14&amp;"_Google+Address.pdf")</f>
        <v/>
      </c>
      <c r="F14" s="0" t="str">
        <f aca="false">IF(OR(Sheet1!$J$20="",Sheet1!$T$20=""),"",Sheet1!$J$20&amp;" "&amp;Sheet1!$T$20)</f>
        <v/>
      </c>
      <c r="G14" s="0" t="str">
        <f aca="false">IF(F14="","",SUBSTITUTE(F14,CHAR(34),"%22"))</f>
        <v/>
      </c>
      <c r="H14" s="0" t="str">
        <f aca="false">IF(G14="","",SUBSTITUTE(G14,"&amp;","%26"))</f>
        <v/>
      </c>
      <c r="I14" s="0" t="str">
        <f aca="false">IF(H14="","",SUBSTITUTE(H14,"(","%28"))</f>
        <v/>
      </c>
      <c r="J14" s="0" t="str">
        <f aca="false">IF(I14="","",SUBSTITUTE(I14,")","%29"))</f>
        <v/>
      </c>
      <c r="K14" s="0" t="str">
        <f aca="false">IF(J14="","",SUBSTITUTE(J14," ","+"))</f>
        <v/>
      </c>
      <c r="L14" s="0" t="str">
        <f aca="false">IF(K14="","","https://www.google.com/search?q="&amp;K14&amp;"&amp;num=100&amp;hl=en")</f>
        <v/>
      </c>
      <c r="M14" s="83" t="n">
        <f aca="false">IF(F14="",0,1)</f>
        <v>0</v>
      </c>
      <c r="N14" s="83" t="n">
        <f aca="false">SUM($M$12:M14)</f>
        <v>0</v>
      </c>
    </row>
    <row r="15" customFormat="false" ht="15" hidden="false" customHeight="false" outlineLevel="0" collapsed="false">
      <c r="A15" s="121" t="str">
        <f aca="false">IF(Sheet1!$J$20="","Counterparty 2",Sheet1!$J$20&amp;" (CP2)")</f>
        <v>Counterparty 2</v>
      </c>
      <c r="B15" s="121" t="s">
        <v>1303</v>
      </c>
      <c r="C15" s="121" t="str">
        <f aca="false">L15</f>
        <v/>
      </c>
      <c r="D15" s="121" t="str">
        <f aca="false">IF(F15="","",Sheet1!$J$10&amp;"_"&amp;Sheet1!$J$11&amp;"_CP2_"&amp;N15&amp;"_Negative News 1.pdf")</f>
        <v/>
      </c>
      <c r="F15" s="0" t="str">
        <f aca="false">IF(Sheet1!$J$20="","",CHAR(34)&amp;Sheet1!$J$20&amp;CHAR(34)&amp;" AND (arrest OR corruption OR sentencing OR money laundering OR AML OR launder OR embezzle OR evas OR evad OR crime OR corrupt OR bribe OR theft OR extort OR drug OR traffic OR trafficking OR felony OR sanction OR counterfeit OR terror)")</f>
        <v/>
      </c>
      <c r="G15" s="0" t="str">
        <f aca="false">IF(F15="","",SUBSTITUTE(F15,CHAR(34),"%22"))</f>
        <v/>
      </c>
      <c r="H15" s="0" t="str">
        <f aca="false">IF(G15="","",SUBSTITUTE(G15,"&amp;","%26"))</f>
        <v/>
      </c>
      <c r="I15" s="0" t="str">
        <f aca="false">IF(H15="","",SUBSTITUTE(H15,"(","%28"))</f>
        <v/>
      </c>
      <c r="J15" s="0" t="str">
        <f aca="false">IF(I15="","",SUBSTITUTE(I15,")","%29"))</f>
        <v/>
      </c>
      <c r="K15" s="0" t="str">
        <f aca="false">IF(J15="","",SUBSTITUTE(J15," ","+"))</f>
        <v/>
      </c>
      <c r="L15" s="0" t="str">
        <f aca="false">IF(K15="","","https://www.google.com/search?q="&amp;K15&amp;"&amp;num=100&amp;hl=en")</f>
        <v/>
      </c>
      <c r="M15" s="83" t="n">
        <f aca="false">IF(F15="",0,1)</f>
        <v>0</v>
      </c>
      <c r="N15" s="83" t="n">
        <f aca="false">SUM($M$12:M15)</f>
        <v>0</v>
      </c>
    </row>
    <row r="16" customFormat="false" ht="15" hidden="false" customHeight="false" outlineLevel="0" collapsed="false">
      <c r="A16" s="120" t="str">
        <f aca="false">IF(Sheet1!$J$20="","Counterparty 2",Sheet1!$J$20&amp;" (CP2)")</f>
        <v>Counterparty 2</v>
      </c>
      <c r="B16" s="120" t="s">
        <v>1304</v>
      </c>
      <c r="C16" s="120" t="str">
        <f aca="false">L16</f>
        <v/>
      </c>
      <c r="D16" s="120" t="str">
        <f aca="false">IF(F16="","",Sheet1!$J$10&amp;"_"&amp;Sheet1!$J$11&amp;"_CP2_"&amp;N16&amp;"_Negative News 2.pdf")</f>
        <v/>
      </c>
      <c r="F16" s="0" t="str">
        <f aca="false">IF(Sheet1!$J$20="","",CHAR(34)&amp;Sheet1!$J$20&amp;CHAR(34)&amp;" AND (arrest OR corruption OR sentencing OR money laundering OR AML OR launder OR embezzle OR evas OR evad OR crime OR corrupt OR bribe OR theft OR extort OR drug OR traffic OR trafficking OR felony OR sanction OR counterfeit OR terror)")</f>
        <v/>
      </c>
      <c r="G16" s="0" t="str">
        <f aca="false">IF(F16="","",SUBSTITUTE(F16,CHAR(34),"%22"))</f>
        <v/>
      </c>
      <c r="H16" s="0" t="str">
        <f aca="false">IF(G16="","",SUBSTITUTE(G16,"&amp;","%26"))</f>
        <v/>
      </c>
      <c r="I16" s="0" t="str">
        <f aca="false">IF(H16="","",SUBSTITUTE(H16,"(","%28"))</f>
        <v/>
      </c>
      <c r="J16" s="0" t="str">
        <f aca="false">IF(I16="","",SUBSTITUTE(I16,")","%29"))</f>
        <v/>
      </c>
      <c r="K16" s="0" t="str">
        <f aca="false">IF(J16="","",SUBSTITUTE(J16," ","+"))</f>
        <v/>
      </c>
      <c r="L16" s="0" t="str">
        <f aca="false">IF(K16="","","https://www.google.com/search?q="&amp;K16&amp;"&amp;num=100&amp;hl=en&amp;start=100")</f>
        <v/>
      </c>
      <c r="M16" s="83" t="n">
        <f aca="false">IF(F16="",0,1)</f>
        <v>0</v>
      </c>
      <c r="N16" s="83" t="n">
        <f aca="false">SUM($M$12:M16)</f>
        <v>0</v>
      </c>
    </row>
    <row r="17" customFormat="false" ht="15" hidden="false" customHeight="false" outlineLevel="0" collapsed="false">
      <c r="A17" s="121" t="str">
        <f aca="false">IF(Sheet1!$J$21="","Counterparty 3",Sheet1!$J$21&amp;" (CP3)")</f>
        <v>Counterparty 3</v>
      </c>
      <c r="B17" s="121" t="s">
        <v>1300</v>
      </c>
      <c r="C17" s="121" t="str">
        <f aca="false">IF(L17="","",HYPERLINK(L17,"Open Search"))</f>
        <v/>
      </c>
      <c r="D17" s="121" t="str">
        <f aca="false">IF(F17="","",Sheet1!$J$10&amp;"_"&amp;Sheet1!$J$11&amp;"_CP3_"&amp;N17&amp;"_Google.pdf")</f>
        <v/>
      </c>
      <c r="F17" s="0" t="str">
        <f aca="false">IF(Sheet1!$J$21="","",Sheet1!$J$21)</f>
        <v/>
      </c>
      <c r="G17" s="0" t="str">
        <f aca="false">IF(F17="","",SUBSTITUTE(F17,CHAR(34),"%22"))</f>
        <v/>
      </c>
      <c r="H17" s="0" t="str">
        <f aca="false">IF(G17="","",SUBSTITUTE(G17,"&amp;","%26"))</f>
        <v/>
      </c>
      <c r="I17" s="0" t="str">
        <f aca="false">IF(H17="","",SUBSTITUTE(H17,"(","%28"))</f>
        <v/>
      </c>
      <c r="J17" s="0" t="str">
        <f aca="false">IF(I17="","",SUBSTITUTE(I17,")","%29"))</f>
        <v/>
      </c>
      <c r="K17" s="0" t="str">
        <f aca="false">IF(J17="","",SUBSTITUTE(J17," ","+"))</f>
        <v/>
      </c>
      <c r="L17" s="0" t="str">
        <f aca="false">IF(K17="","","https://www.google.com/search?q="&amp;K17&amp;"&amp;num=100&amp;hl=en")</f>
        <v/>
      </c>
      <c r="M17" s="83" t="n">
        <f aca="false">IF(F17="",0,1)</f>
        <v>0</v>
      </c>
      <c r="N17" s="83" t="n">
        <f aca="false">SUM($M$17:M17)</f>
        <v>0</v>
      </c>
    </row>
    <row r="18" customFormat="false" ht="15" hidden="false" customHeight="false" outlineLevel="0" collapsed="false">
      <c r="A18" s="120" t="str">
        <f aca="false">IF(Sheet1!$J$21="","Counterparty 3",Sheet1!$J$21&amp;" (CP3)")</f>
        <v>Counterparty 3</v>
      </c>
      <c r="B18" s="120" t="s">
        <v>1301</v>
      </c>
      <c r="C18" s="120" t="str">
        <f aca="false">IF(L18="","",HYPERLINK(L18,"Open Search"))</f>
        <v/>
      </c>
      <c r="D18" s="120" t="str">
        <f aca="false">IF(F18="","",Sheet1!$J$10&amp;"_"&amp;Sheet1!$J$11&amp;"_CP3_"&amp;N18&amp;"_Address.pdf")</f>
        <v/>
      </c>
      <c r="F18" s="0" t="str">
        <f aca="false">IF(Sheet1!$T$21="","",Sheet1!$T$21)</f>
        <v/>
      </c>
      <c r="G18" s="0" t="str">
        <f aca="false">IF(F18="","",SUBSTITUTE(F18,CHAR(34),"%22"))</f>
        <v/>
      </c>
      <c r="H18" s="0" t="str">
        <f aca="false">IF(G18="","",SUBSTITUTE(G18,"&amp;","%26"))</f>
        <v/>
      </c>
      <c r="I18" s="0" t="str">
        <f aca="false">IF(H18="","",SUBSTITUTE(H18,"(","%28"))</f>
        <v/>
      </c>
      <c r="J18" s="0" t="str">
        <f aca="false">IF(I18="","",SUBSTITUTE(I18,")","%29"))</f>
        <v/>
      </c>
      <c r="K18" s="0" t="str">
        <f aca="false">IF(J18="","",SUBSTITUTE(J18," ","+"))</f>
        <v/>
      </c>
      <c r="L18" s="0" t="str">
        <f aca="false">IF(K18="","","https://www.google.com/search?q="&amp;K18&amp;"&amp;num=100&amp;hl=en")</f>
        <v/>
      </c>
      <c r="M18" s="83" t="n">
        <f aca="false">IF(F18="",0,1)</f>
        <v>0</v>
      </c>
      <c r="N18" s="83" t="n">
        <f aca="false">SUM($M$17:M18)</f>
        <v>0</v>
      </c>
    </row>
    <row r="19" customFormat="false" ht="15" hidden="false" customHeight="false" outlineLevel="0" collapsed="false">
      <c r="A19" s="121" t="str">
        <f aca="false">IF(Sheet1!$J$21="","Counterparty 3",Sheet1!$J$21&amp;" (CP3)")</f>
        <v>Counterparty 3</v>
      </c>
      <c r="B19" s="121" t="s">
        <v>1302</v>
      </c>
      <c r="C19" s="121" t="str">
        <f aca="false">IF(L19="","",HYPERLINK(L19,"Open Search"))</f>
        <v/>
      </c>
      <c r="D19" s="121" t="str">
        <f aca="false">IF(F19="","",Sheet1!$J$10&amp;"_"&amp;Sheet1!$J$11&amp;"_CP3_"&amp;N19&amp;"_Google+Address.pdf")</f>
        <v/>
      </c>
      <c r="F19" s="0" t="str">
        <f aca="false">IF(OR(Sheet1!$J$21="",Sheet1!$T$21=""),"",Sheet1!$J$21&amp;" "&amp;Sheet1!$T$21)</f>
        <v/>
      </c>
      <c r="G19" s="0" t="str">
        <f aca="false">IF(F19="","",SUBSTITUTE(F19,CHAR(34),"%22"))</f>
        <v/>
      </c>
      <c r="H19" s="0" t="str">
        <f aca="false">IF(G19="","",SUBSTITUTE(G19,"&amp;","%26"))</f>
        <v/>
      </c>
      <c r="I19" s="0" t="str">
        <f aca="false">IF(H19="","",SUBSTITUTE(H19,"(","%28"))</f>
        <v/>
      </c>
      <c r="J19" s="0" t="str">
        <f aca="false">IF(I19="","",SUBSTITUTE(I19,")","%29"))</f>
        <v/>
      </c>
      <c r="K19" s="0" t="str">
        <f aca="false">IF(J19="","",SUBSTITUTE(J19," ","+"))</f>
        <v/>
      </c>
      <c r="L19" s="0" t="str">
        <f aca="false">IF(K19="","","https://www.google.com/search?q="&amp;K19&amp;"&amp;num=100&amp;hl=en")</f>
        <v/>
      </c>
      <c r="M19" s="83" t="n">
        <f aca="false">IF(F19="",0,1)</f>
        <v>0</v>
      </c>
      <c r="N19" s="83" t="n">
        <f aca="false">SUM($M$17:M19)</f>
        <v>0</v>
      </c>
    </row>
    <row r="20" customFormat="false" ht="15" hidden="false" customHeight="false" outlineLevel="0" collapsed="false">
      <c r="A20" s="120" t="str">
        <f aca="false">IF(Sheet1!$J$21="","Counterparty 3",Sheet1!$J$21&amp;" (CP3)")</f>
        <v>Counterparty 3</v>
      </c>
      <c r="B20" s="120" t="s">
        <v>1303</v>
      </c>
      <c r="C20" s="120" t="str">
        <f aca="false">L20</f>
        <v/>
      </c>
      <c r="D20" s="120" t="str">
        <f aca="false">IF(F20="","",Sheet1!$J$10&amp;"_"&amp;Sheet1!$J$11&amp;"_CP3_"&amp;N20&amp;"_Negative News 1.pdf")</f>
        <v/>
      </c>
      <c r="F20" s="0" t="str">
        <f aca="false">IF(Sheet1!$J$21="","",CHAR(34)&amp;Sheet1!$J$21&amp;CHAR(34)&amp;" AND (arrest OR corruption OR sentencing OR money laundering OR AML OR launder OR embezzle OR evas OR evad OR crime OR corrupt OR bribe OR theft OR extort OR drug OR traffic OR trafficking OR felony OR sanction OR counterfeit OR terror)")</f>
        <v/>
      </c>
      <c r="G20" s="0" t="str">
        <f aca="false">IF(F20="","",SUBSTITUTE(F20,CHAR(34),"%22"))</f>
        <v/>
      </c>
      <c r="H20" s="0" t="str">
        <f aca="false">IF(G20="","",SUBSTITUTE(G20,"&amp;","%26"))</f>
        <v/>
      </c>
      <c r="I20" s="0" t="str">
        <f aca="false">IF(H20="","",SUBSTITUTE(H20,"(","%28"))</f>
        <v/>
      </c>
      <c r="J20" s="0" t="str">
        <f aca="false">IF(I20="","",SUBSTITUTE(I20,")","%29"))</f>
        <v/>
      </c>
      <c r="K20" s="0" t="str">
        <f aca="false">IF(J20="","",SUBSTITUTE(J20," ","+"))</f>
        <v/>
      </c>
      <c r="L20" s="0" t="str">
        <f aca="false">IF(K20="","","https://www.google.com/search?q="&amp;K20&amp;"&amp;num=100&amp;hl=en")</f>
        <v/>
      </c>
      <c r="M20" s="83" t="n">
        <f aca="false">IF(F20="",0,1)</f>
        <v>0</v>
      </c>
      <c r="N20" s="83" t="n">
        <f aca="false">SUM($M$17:M20)</f>
        <v>0</v>
      </c>
    </row>
    <row r="21" customFormat="false" ht="15" hidden="false" customHeight="false" outlineLevel="0" collapsed="false">
      <c r="A21" s="121" t="str">
        <f aca="false">IF(Sheet1!$J$21="","Counterparty 3",Sheet1!$J$21&amp;" (CP3)")</f>
        <v>Counterparty 3</v>
      </c>
      <c r="B21" s="121" t="s">
        <v>1304</v>
      </c>
      <c r="C21" s="121" t="str">
        <f aca="false">L21</f>
        <v/>
      </c>
      <c r="D21" s="121" t="str">
        <f aca="false">IF(F21="","",Sheet1!$J$10&amp;"_"&amp;Sheet1!$J$11&amp;"_CP3_"&amp;N21&amp;"_Negative News 2.pdf")</f>
        <v/>
      </c>
      <c r="F21" s="0" t="str">
        <f aca="false">IF(Sheet1!$J$21="","",CHAR(34)&amp;Sheet1!$J$21&amp;CHAR(34)&amp;" AND (arrest OR corruption OR sentencing OR money laundering OR AML OR launder OR embezzle OR evas OR evad OR crime OR corrupt OR bribe OR theft OR extort OR drug OR traffic OR trafficking OR felony OR sanction OR counterfeit OR terror)")</f>
        <v/>
      </c>
      <c r="G21" s="0" t="str">
        <f aca="false">IF(F21="","",SUBSTITUTE(F21,CHAR(34),"%22"))</f>
        <v/>
      </c>
      <c r="H21" s="0" t="str">
        <f aca="false">IF(G21="","",SUBSTITUTE(G21,"&amp;","%26"))</f>
        <v/>
      </c>
      <c r="I21" s="0" t="str">
        <f aca="false">IF(H21="","",SUBSTITUTE(H21,"(","%28"))</f>
        <v/>
      </c>
      <c r="J21" s="0" t="str">
        <f aca="false">IF(I21="","",SUBSTITUTE(I21,")","%29"))</f>
        <v/>
      </c>
      <c r="K21" s="0" t="str">
        <f aca="false">IF(J21="","",SUBSTITUTE(J21," ","+"))</f>
        <v/>
      </c>
      <c r="L21" s="0" t="str">
        <f aca="false">IF(K21="","","https://www.google.com/search?q="&amp;K21&amp;"&amp;num=100&amp;hl=en&amp;start=100")</f>
        <v/>
      </c>
      <c r="M21" s="83" t="n">
        <f aca="false">IF(F21="",0,1)</f>
        <v>0</v>
      </c>
      <c r="N21" s="83" t="n">
        <f aca="false">SUM($M$17:M21)</f>
        <v>0</v>
      </c>
    </row>
    <row r="22" customFormat="false" ht="15" hidden="false" customHeight="false" outlineLevel="0" collapsed="false">
      <c r="A22" s="120" t="str">
        <f aca="false">IF(Sheet1!$J$22="","Counterparty 4",Sheet1!$J$22&amp;" (CP4)")</f>
        <v>Counterparty 4</v>
      </c>
      <c r="B22" s="120" t="s">
        <v>1300</v>
      </c>
      <c r="C22" s="120" t="str">
        <f aca="false">IF(L22="","",HYPERLINK(L22,"Open Search"))</f>
        <v/>
      </c>
      <c r="D22" s="120" t="str">
        <f aca="false">IF(F22="","",Sheet1!$J$10&amp;"_"&amp;Sheet1!$J$11&amp;"_CP4_"&amp;N22&amp;"_Google.pdf")</f>
        <v/>
      </c>
      <c r="F22" s="0" t="str">
        <f aca="false">IF(Sheet1!$J$22="","",Sheet1!$J$22)</f>
        <v/>
      </c>
      <c r="G22" s="0" t="str">
        <f aca="false">IF(F22="","",SUBSTITUTE(F22,CHAR(34),"%22"))</f>
        <v/>
      </c>
      <c r="H22" s="0" t="str">
        <f aca="false">IF(G22="","",SUBSTITUTE(G22,"&amp;","%26"))</f>
        <v/>
      </c>
      <c r="I22" s="0" t="str">
        <f aca="false">IF(H22="","",SUBSTITUTE(H22,"(","%28"))</f>
        <v/>
      </c>
      <c r="J22" s="0" t="str">
        <f aca="false">IF(I22="","",SUBSTITUTE(I22,")","%29"))</f>
        <v/>
      </c>
      <c r="K22" s="0" t="str">
        <f aca="false">IF(J22="","",SUBSTITUTE(J22," ","+"))</f>
        <v/>
      </c>
      <c r="L22" s="0" t="str">
        <f aca="false">IF(K22="","","https://www.google.com/search?q="&amp;K22&amp;"&amp;num=100&amp;hl=en")</f>
        <v/>
      </c>
      <c r="M22" s="83" t="n">
        <f aca="false">IF(F22="",0,1)</f>
        <v>0</v>
      </c>
      <c r="N22" s="83" t="n">
        <f aca="false">SUM($M$22:M22)</f>
        <v>0</v>
      </c>
    </row>
    <row r="23" customFormat="false" ht="15" hidden="false" customHeight="false" outlineLevel="0" collapsed="false">
      <c r="A23" s="121" t="str">
        <f aca="false">IF(Sheet1!$J$22="","Counterparty 4",Sheet1!$J$22&amp;" (CP4)")</f>
        <v>Counterparty 4</v>
      </c>
      <c r="B23" s="121" t="s">
        <v>1301</v>
      </c>
      <c r="C23" s="121" t="str">
        <f aca="false">IF(L23="","",HYPERLINK(L23,"Open Search"))</f>
        <v/>
      </c>
      <c r="D23" s="121" t="str">
        <f aca="false">IF(F23="","",Sheet1!$J$10&amp;"_"&amp;Sheet1!$J$11&amp;"_CP4_"&amp;N23&amp;"_Address.pdf")</f>
        <v/>
      </c>
      <c r="F23" s="0" t="str">
        <f aca="false">IF(Sheet1!$T$22="","",Sheet1!$T$22)</f>
        <v/>
      </c>
      <c r="G23" s="0" t="str">
        <f aca="false">IF(F23="","",SUBSTITUTE(F23,CHAR(34),"%22"))</f>
        <v/>
      </c>
      <c r="H23" s="0" t="str">
        <f aca="false">IF(G23="","",SUBSTITUTE(G23,"&amp;","%26"))</f>
        <v/>
      </c>
      <c r="I23" s="0" t="str">
        <f aca="false">IF(H23="","",SUBSTITUTE(H23,"(","%28"))</f>
        <v/>
      </c>
      <c r="J23" s="0" t="str">
        <f aca="false">IF(I23="","",SUBSTITUTE(I23,")","%29"))</f>
        <v/>
      </c>
      <c r="K23" s="0" t="str">
        <f aca="false">IF(J23="","",SUBSTITUTE(J23," ","+"))</f>
        <v/>
      </c>
      <c r="L23" s="0" t="str">
        <f aca="false">IF(K23="","","https://www.google.com/search?q="&amp;K23&amp;"&amp;num=100&amp;hl=en")</f>
        <v/>
      </c>
      <c r="M23" s="83" t="n">
        <f aca="false">IF(F23="",0,1)</f>
        <v>0</v>
      </c>
      <c r="N23" s="83" t="n">
        <f aca="false">SUM($M$22:M23)</f>
        <v>0</v>
      </c>
    </row>
    <row r="24" customFormat="false" ht="15" hidden="false" customHeight="false" outlineLevel="0" collapsed="false">
      <c r="A24" s="120" t="str">
        <f aca="false">IF(Sheet1!$J$22="","Counterparty 4",Sheet1!$J$22&amp;" (CP4)")</f>
        <v>Counterparty 4</v>
      </c>
      <c r="B24" s="120" t="s">
        <v>1302</v>
      </c>
      <c r="C24" s="120" t="str">
        <f aca="false">IF(L24="","",HYPERLINK(L24,"Open Search"))</f>
        <v/>
      </c>
      <c r="D24" s="120" t="str">
        <f aca="false">IF(F24="","",Sheet1!$J$10&amp;"_"&amp;Sheet1!$J$11&amp;"_CP4_"&amp;N24&amp;"_Google+Address.pdf")</f>
        <v/>
      </c>
      <c r="F24" s="0" t="str">
        <f aca="false">IF(OR(Sheet1!$J$22="",Sheet1!$T$22=""),"",Sheet1!$J$22&amp;" "&amp;Sheet1!$T$22)</f>
        <v/>
      </c>
      <c r="G24" s="0" t="str">
        <f aca="false">IF(F24="","",SUBSTITUTE(F24,CHAR(34),"%22"))</f>
        <v/>
      </c>
      <c r="H24" s="0" t="str">
        <f aca="false">IF(G24="","",SUBSTITUTE(G24,"&amp;","%26"))</f>
        <v/>
      </c>
      <c r="I24" s="0" t="str">
        <f aca="false">IF(H24="","",SUBSTITUTE(H24,"(","%28"))</f>
        <v/>
      </c>
      <c r="J24" s="0" t="str">
        <f aca="false">IF(I24="","",SUBSTITUTE(I24,")","%29"))</f>
        <v/>
      </c>
      <c r="K24" s="0" t="str">
        <f aca="false">IF(J24="","",SUBSTITUTE(J24," ","+"))</f>
        <v/>
      </c>
      <c r="L24" s="0" t="str">
        <f aca="false">IF(K24="","","https://www.google.com/search?q="&amp;K24&amp;"&amp;num=100&amp;hl=en")</f>
        <v/>
      </c>
      <c r="M24" s="83" t="n">
        <f aca="false">IF(F24="",0,1)</f>
        <v>0</v>
      </c>
      <c r="N24" s="83" t="n">
        <f aca="false">SUM($M$22:M24)</f>
        <v>0</v>
      </c>
    </row>
    <row r="25" customFormat="false" ht="15" hidden="false" customHeight="false" outlineLevel="0" collapsed="false">
      <c r="A25" s="121" t="str">
        <f aca="false">IF(Sheet1!$J$22="","Counterparty 4",Sheet1!$J$22&amp;" (CP4)")</f>
        <v>Counterparty 4</v>
      </c>
      <c r="B25" s="121" t="s">
        <v>1303</v>
      </c>
      <c r="C25" s="121" t="str">
        <f aca="false">L25</f>
        <v/>
      </c>
      <c r="D25" s="121" t="str">
        <f aca="false">IF(F25="","",Sheet1!$J$10&amp;"_"&amp;Sheet1!$J$11&amp;"_CP4_"&amp;N25&amp;"_Negative News 1.pdf")</f>
        <v/>
      </c>
      <c r="F25" s="0" t="str">
        <f aca="false">IF(Sheet1!$J$22="","",CHAR(34)&amp;Sheet1!$J$22&amp;CHAR(34)&amp;" AND (arrest OR corruption OR sentencing OR money laundering OR AML OR launder OR embezzle OR evas OR evad OR crime OR corrupt OR bribe OR theft OR extort OR drug OR traffic OR trafficking OR felony OR sanction OR counterfeit OR terror)")</f>
        <v/>
      </c>
      <c r="G25" s="0" t="str">
        <f aca="false">IF(F25="","",SUBSTITUTE(F25,CHAR(34),"%22"))</f>
        <v/>
      </c>
      <c r="H25" s="0" t="str">
        <f aca="false">IF(G25="","",SUBSTITUTE(G25,"&amp;","%26"))</f>
        <v/>
      </c>
      <c r="I25" s="0" t="str">
        <f aca="false">IF(H25="","",SUBSTITUTE(H25,"(","%28"))</f>
        <v/>
      </c>
      <c r="J25" s="0" t="str">
        <f aca="false">IF(I25="","",SUBSTITUTE(I25,")","%29"))</f>
        <v/>
      </c>
      <c r="K25" s="0" t="str">
        <f aca="false">IF(J25="","",SUBSTITUTE(J25," ","+"))</f>
        <v/>
      </c>
      <c r="L25" s="0" t="str">
        <f aca="false">IF(K25="","","https://www.google.com/search?q="&amp;K25&amp;"&amp;num=100&amp;hl=en")</f>
        <v/>
      </c>
      <c r="M25" s="83" t="n">
        <f aca="false">IF(F25="",0,1)</f>
        <v>0</v>
      </c>
      <c r="N25" s="83" t="n">
        <f aca="false">SUM($M$22:M25)</f>
        <v>0</v>
      </c>
    </row>
    <row r="26" customFormat="false" ht="15" hidden="false" customHeight="false" outlineLevel="0" collapsed="false">
      <c r="A26" s="120" t="str">
        <f aca="false">IF(Sheet1!$J$22="","Counterparty 4",Sheet1!$J$22&amp;" (CP4)")</f>
        <v>Counterparty 4</v>
      </c>
      <c r="B26" s="120" t="s">
        <v>1304</v>
      </c>
      <c r="C26" s="120" t="str">
        <f aca="false">L26</f>
        <v/>
      </c>
      <c r="D26" s="120" t="str">
        <f aca="false">IF(F26="","",Sheet1!$J$10&amp;"_"&amp;Sheet1!$J$11&amp;"_CP4_"&amp;N26&amp;"_Negative News 2.pdf")</f>
        <v/>
      </c>
      <c r="F26" s="0" t="str">
        <f aca="false">IF(Sheet1!$J$22="","",CHAR(34)&amp;Sheet1!$J$22&amp;CHAR(34)&amp;" AND (arrest OR corruption OR sentencing OR money laundering OR AML OR launder OR embezzle OR evas OR evad OR crime OR corrupt OR bribe OR theft OR extort OR drug OR traffic OR trafficking OR felony OR sanction OR counterfeit OR terror)")</f>
        <v/>
      </c>
      <c r="G26" s="0" t="str">
        <f aca="false">IF(F26="","",SUBSTITUTE(F26,CHAR(34),"%22"))</f>
        <v/>
      </c>
      <c r="H26" s="0" t="str">
        <f aca="false">IF(G26="","",SUBSTITUTE(G26,"&amp;","%26"))</f>
        <v/>
      </c>
      <c r="I26" s="0" t="str">
        <f aca="false">IF(H26="","",SUBSTITUTE(H26,"(","%28"))</f>
        <v/>
      </c>
      <c r="J26" s="0" t="str">
        <f aca="false">IF(I26="","",SUBSTITUTE(I26,")","%29"))</f>
        <v/>
      </c>
      <c r="K26" s="0" t="str">
        <f aca="false">IF(J26="","",SUBSTITUTE(J26," ","+"))</f>
        <v/>
      </c>
      <c r="L26" s="0" t="str">
        <f aca="false">IF(K26="","","https://www.google.com/search?q="&amp;K26&amp;"&amp;num=100&amp;hl=en&amp;start=100")</f>
        <v/>
      </c>
      <c r="M26" s="83" t="n">
        <f aca="false">IF(F26="",0,1)</f>
        <v>0</v>
      </c>
      <c r="N26" s="83" t="n">
        <f aca="false">SUM($M$22:M26)</f>
        <v>0</v>
      </c>
    </row>
    <row r="27" customFormat="false" ht="15" hidden="false" customHeight="false" outlineLevel="0" collapsed="false">
      <c r="A27" s="121" t="str">
        <f aca="false">IF(Sheet1!$J$23="","Counterparty 5",Sheet1!$J$23&amp;" (CP5)")</f>
        <v>Counterparty 5</v>
      </c>
      <c r="B27" s="121" t="s">
        <v>1300</v>
      </c>
      <c r="C27" s="121" t="str">
        <f aca="false">IF(L27="","",HYPERLINK(L27,"Open Search"))</f>
        <v/>
      </c>
      <c r="D27" s="121" t="str">
        <f aca="false">IF(F27="","",Sheet1!$J$10&amp;"_"&amp;Sheet1!$J$11&amp;"_CP5_"&amp;N27&amp;"_Google.pdf")</f>
        <v/>
      </c>
      <c r="F27" s="0" t="str">
        <f aca="false">IF(Sheet1!$J$23="","",Sheet1!$J$23)</f>
        <v/>
      </c>
      <c r="G27" s="0" t="str">
        <f aca="false">IF(F27="","",SUBSTITUTE(F27,CHAR(34),"%22"))</f>
        <v/>
      </c>
      <c r="H27" s="0" t="str">
        <f aca="false">IF(G27="","",SUBSTITUTE(G27,"&amp;","%26"))</f>
        <v/>
      </c>
      <c r="I27" s="0" t="str">
        <f aca="false">IF(H27="","",SUBSTITUTE(H27,"(","%28"))</f>
        <v/>
      </c>
      <c r="J27" s="0" t="str">
        <f aca="false">IF(I27="","",SUBSTITUTE(I27,")","%29"))</f>
        <v/>
      </c>
      <c r="K27" s="0" t="str">
        <f aca="false">IF(J27="","",SUBSTITUTE(J27," ","+"))</f>
        <v/>
      </c>
      <c r="L27" s="0" t="str">
        <f aca="false">IF(K27="","","https://www.google.com/search?q="&amp;K27&amp;"&amp;num=100&amp;hl=en")</f>
        <v/>
      </c>
      <c r="M27" s="83" t="n">
        <f aca="false">IF(F27="",0,1)</f>
        <v>0</v>
      </c>
      <c r="N27" s="83" t="n">
        <f aca="false">SUM($M$27:M27)</f>
        <v>0</v>
      </c>
    </row>
    <row r="28" customFormat="false" ht="15" hidden="false" customHeight="false" outlineLevel="0" collapsed="false">
      <c r="A28" s="120" t="str">
        <f aca="false">IF(Sheet1!$J$23="","Counterparty 5",Sheet1!$J$23&amp;" (CP5)")</f>
        <v>Counterparty 5</v>
      </c>
      <c r="B28" s="120" t="s">
        <v>1301</v>
      </c>
      <c r="C28" s="120" t="str">
        <f aca="false">IF(L28="","",HYPERLINK(L28,"Open Search"))</f>
        <v/>
      </c>
      <c r="D28" s="120" t="str">
        <f aca="false">IF(F28="","",Sheet1!$J$10&amp;"_"&amp;Sheet1!$J$11&amp;"_CP5_"&amp;N28&amp;"_Address.pdf")</f>
        <v/>
      </c>
      <c r="F28" s="0" t="str">
        <f aca="false">IF(Sheet1!$T$23="","",Sheet1!$T$23)</f>
        <v/>
      </c>
      <c r="G28" s="0" t="str">
        <f aca="false">IF(F28="","",SUBSTITUTE(F28,CHAR(34),"%22"))</f>
        <v/>
      </c>
      <c r="H28" s="0" t="str">
        <f aca="false">IF(G28="","",SUBSTITUTE(G28,"&amp;","%26"))</f>
        <v/>
      </c>
      <c r="I28" s="0" t="str">
        <f aca="false">IF(H28="","",SUBSTITUTE(H28,"(","%28"))</f>
        <v/>
      </c>
      <c r="J28" s="0" t="str">
        <f aca="false">IF(I28="","",SUBSTITUTE(I28,")","%29"))</f>
        <v/>
      </c>
      <c r="K28" s="0" t="str">
        <f aca="false">IF(J28="","",SUBSTITUTE(J28," ","+"))</f>
        <v/>
      </c>
      <c r="L28" s="0" t="str">
        <f aca="false">IF(K28="","","https://www.google.com/search?q="&amp;K28&amp;"&amp;num=100&amp;hl=en")</f>
        <v/>
      </c>
      <c r="M28" s="83" t="n">
        <f aca="false">IF(F28="",0,1)</f>
        <v>0</v>
      </c>
      <c r="N28" s="83" t="n">
        <f aca="false">SUM($M$27:M28)</f>
        <v>0</v>
      </c>
    </row>
    <row r="29" customFormat="false" ht="15" hidden="false" customHeight="false" outlineLevel="0" collapsed="false">
      <c r="A29" s="121" t="str">
        <f aca="false">IF(Sheet1!$J$23="","Counterparty 5",Sheet1!$J$23&amp;" (CP5)")</f>
        <v>Counterparty 5</v>
      </c>
      <c r="B29" s="121" t="s">
        <v>1302</v>
      </c>
      <c r="C29" s="121" t="str">
        <f aca="false">IF(L29="","",HYPERLINK(L29,"Open Search"))</f>
        <v/>
      </c>
      <c r="D29" s="121" t="str">
        <f aca="false">IF(F29="","",Sheet1!$J$10&amp;"_"&amp;Sheet1!$J$11&amp;"_CP5_"&amp;N29&amp;"_Google+Address.pdf")</f>
        <v/>
      </c>
      <c r="F29" s="0" t="str">
        <f aca="false">IF(OR(Sheet1!$J$23="",Sheet1!$T$23=""),"",Sheet1!$J$23&amp;" "&amp;Sheet1!$T$23)</f>
        <v/>
      </c>
      <c r="G29" s="0" t="str">
        <f aca="false">IF(F29="","",SUBSTITUTE(F29,CHAR(34),"%22"))</f>
        <v/>
      </c>
      <c r="H29" s="0" t="str">
        <f aca="false">IF(G29="","",SUBSTITUTE(G29,"&amp;","%26"))</f>
        <v/>
      </c>
      <c r="I29" s="0" t="str">
        <f aca="false">IF(H29="","",SUBSTITUTE(H29,"(","%28"))</f>
        <v/>
      </c>
      <c r="J29" s="0" t="str">
        <f aca="false">IF(I29="","",SUBSTITUTE(I29,")","%29"))</f>
        <v/>
      </c>
      <c r="K29" s="0" t="str">
        <f aca="false">IF(J29="","",SUBSTITUTE(J29," ","+"))</f>
        <v/>
      </c>
      <c r="L29" s="0" t="str">
        <f aca="false">IF(K29="","","https://www.google.com/search?q="&amp;K29&amp;"&amp;num=100&amp;hl=en")</f>
        <v/>
      </c>
      <c r="M29" s="83" t="n">
        <f aca="false">IF(F29="",0,1)</f>
        <v>0</v>
      </c>
      <c r="N29" s="83" t="n">
        <f aca="false">SUM($M$27:M29)</f>
        <v>0</v>
      </c>
    </row>
    <row r="30" customFormat="false" ht="15" hidden="false" customHeight="false" outlineLevel="0" collapsed="false">
      <c r="A30" s="120" t="str">
        <f aca="false">IF(Sheet1!$J$23="","Counterparty 5",Sheet1!$J$23&amp;" (CP5)")</f>
        <v>Counterparty 5</v>
      </c>
      <c r="B30" s="120" t="s">
        <v>1303</v>
      </c>
      <c r="C30" s="120" t="str">
        <f aca="false">L30</f>
        <v/>
      </c>
      <c r="D30" s="120" t="str">
        <f aca="false">IF(F30="","",Sheet1!$J$10&amp;"_"&amp;Sheet1!$J$11&amp;"_CP5_"&amp;N30&amp;"_Negative News 1.pdf")</f>
        <v/>
      </c>
      <c r="F30" s="0" t="str">
        <f aca="false">IF(Sheet1!$J$23="","",CHAR(34)&amp;Sheet1!$J$23&amp;CHAR(34)&amp;" AND (arrest OR corruption OR sentencing OR money laundering OR AML OR launder OR embezzle OR evas OR evad OR crime OR corrupt OR bribe OR theft OR extort OR drug OR traffic OR trafficking OR felony OR sanction OR counterfeit OR terror)")</f>
        <v/>
      </c>
      <c r="G30" s="0" t="str">
        <f aca="false">IF(F30="","",SUBSTITUTE(F30,CHAR(34),"%22"))</f>
        <v/>
      </c>
      <c r="H30" s="0" t="str">
        <f aca="false">IF(G30="","",SUBSTITUTE(G30,"&amp;","%26"))</f>
        <v/>
      </c>
      <c r="I30" s="0" t="str">
        <f aca="false">IF(H30="","",SUBSTITUTE(H30,"(","%28"))</f>
        <v/>
      </c>
      <c r="J30" s="0" t="str">
        <f aca="false">IF(I30="","",SUBSTITUTE(I30,")","%29"))</f>
        <v/>
      </c>
      <c r="K30" s="0" t="str">
        <f aca="false">IF(J30="","",SUBSTITUTE(J30," ","+"))</f>
        <v/>
      </c>
      <c r="L30" s="0" t="str">
        <f aca="false">IF(K30="","","https://www.google.com/search?q="&amp;K30&amp;"&amp;num=100&amp;hl=en")</f>
        <v/>
      </c>
      <c r="M30" s="83" t="n">
        <f aca="false">IF(F30="",0,1)</f>
        <v>0</v>
      </c>
      <c r="N30" s="83" t="n">
        <f aca="false">SUM($M$27:M30)</f>
        <v>0</v>
      </c>
    </row>
    <row r="31" customFormat="false" ht="15" hidden="false" customHeight="false" outlineLevel="0" collapsed="false">
      <c r="A31" s="121" t="str">
        <f aca="false">IF(Sheet1!$J$23="","Counterparty 5",Sheet1!$J$23&amp;" (CP5)")</f>
        <v>Counterparty 5</v>
      </c>
      <c r="B31" s="121" t="s">
        <v>1304</v>
      </c>
      <c r="C31" s="121" t="str">
        <f aca="false">L31</f>
        <v/>
      </c>
      <c r="D31" s="121" t="str">
        <f aca="false">IF(F31="","",Sheet1!$J$10&amp;"_"&amp;Sheet1!$J$11&amp;"_CP5_"&amp;N31&amp;"_Negative News 2.pdf")</f>
        <v/>
      </c>
      <c r="F31" s="0" t="str">
        <f aca="false">IF(Sheet1!$J$23="","",CHAR(34)&amp;Sheet1!$J$23&amp;CHAR(34)&amp;" AND (arrest OR corruption OR sentencing OR money laundering OR AML OR launder OR embezzle OR evas OR evad OR crime OR corrupt OR bribe OR theft OR extort OR drug OR traffic OR trafficking OR felony OR sanction OR counterfeit OR terror)")</f>
        <v/>
      </c>
      <c r="G31" s="0" t="str">
        <f aca="false">IF(F31="","",SUBSTITUTE(F31,CHAR(34),"%22"))</f>
        <v/>
      </c>
      <c r="H31" s="0" t="str">
        <f aca="false">IF(G31="","",SUBSTITUTE(G31,"&amp;","%26"))</f>
        <v/>
      </c>
      <c r="I31" s="0" t="str">
        <f aca="false">IF(H31="","",SUBSTITUTE(H31,"(","%28"))</f>
        <v/>
      </c>
      <c r="J31" s="0" t="str">
        <f aca="false">IF(I31="","",SUBSTITUTE(I31,")","%29"))</f>
        <v/>
      </c>
      <c r="K31" s="0" t="str">
        <f aca="false">IF(J31="","",SUBSTITUTE(J31," ","+"))</f>
        <v/>
      </c>
      <c r="L31" s="0" t="str">
        <f aca="false">IF(K31="","","https://www.google.com/search?q="&amp;K31&amp;"&amp;num=100&amp;hl=en&amp;start=100")</f>
        <v/>
      </c>
      <c r="M31" s="83" t="n">
        <f aca="false">IF(F31="",0,1)</f>
        <v>0</v>
      </c>
      <c r="N31" s="83" t="n">
        <f aca="false">SUM($M$27:M31)</f>
        <v>0</v>
      </c>
    </row>
    <row r="32" customFormat="false" ht="15" hidden="false" customHeight="false" outlineLevel="0" collapsed="false">
      <c r="A32" s="120" t="str">
        <f aca="false">IF(Sheet1!$J$24="","Counterparty 6",Sheet1!$J$24&amp;" (CP6)")</f>
        <v>Counterparty 6</v>
      </c>
      <c r="B32" s="120" t="s">
        <v>1300</v>
      </c>
      <c r="C32" s="120" t="str">
        <f aca="false">IF(L32="","",HYPERLINK(L32,"Open Search"))</f>
        <v/>
      </c>
      <c r="D32" s="120" t="str">
        <f aca="false">IF(F32="","",Sheet1!$J$10&amp;"_"&amp;Sheet1!$J$11&amp;"_CP6_"&amp;N32&amp;"_Google.pdf")</f>
        <v/>
      </c>
      <c r="F32" s="0" t="str">
        <f aca="false">IF(Sheet1!$J$24="","",Sheet1!$J$24)</f>
        <v/>
      </c>
      <c r="G32" s="0" t="str">
        <f aca="false">IF(F32="","",SUBSTITUTE(F32,CHAR(34),"%22"))</f>
        <v/>
      </c>
      <c r="H32" s="0" t="str">
        <f aca="false">IF(G32="","",SUBSTITUTE(G32,"&amp;","%26"))</f>
        <v/>
      </c>
      <c r="I32" s="0" t="str">
        <f aca="false">IF(H32="","",SUBSTITUTE(H32,"(","%28"))</f>
        <v/>
      </c>
      <c r="J32" s="0" t="str">
        <f aca="false">IF(I32="","",SUBSTITUTE(I32,")","%29"))</f>
        <v/>
      </c>
      <c r="K32" s="0" t="str">
        <f aca="false">IF(J32="","",SUBSTITUTE(J32," ","+"))</f>
        <v/>
      </c>
      <c r="L32" s="0" t="str">
        <f aca="false">IF(K32="","","https://www.google.com/search?q="&amp;K32&amp;"&amp;num=100&amp;hl=en")</f>
        <v/>
      </c>
      <c r="M32" s="83" t="n">
        <f aca="false">IF(F32="",0,1)</f>
        <v>0</v>
      </c>
      <c r="N32" s="83" t="n">
        <f aca="false">SUM($M$32:M32)</f>
        <v>0</v>
      </c>
    </row>
    <row r="33" customFormat="false" ht="15" hidden="false" customHeight="false" outlineLevel="0" collapsed="false">
      <c r="A33" s="121" t="str">
        <f aca="false">IF(Sheet1!$J$24="","Counterparty 6",Sheet1!$J$24&amp;" (CP6)")</f>
        <v>Counterparty 6</v>
      </c>
      <c r="B33" s="121" t="s">
        <v>1301</v>
      </c>
      <c r="C33" s="121" t="str">
        <f aca="false">IF(L33="","",HYPERLINK(L33,"Open Search"))</f>
        <v/>
      </c>
      <c r="D33" s="121" t="str">
        <f aca="false">IF(F33="","",Sheet1!$J$10&amp;"_"&amp;Sheet1!$J$11&amp;"_CP6_"&amp;N33&amp;"_Address.pdf")</f>
        <v/>
      </c>
      <c r="F33" s="0" t="str">
        <f aca="false">IF(Sheet1!$T$24="","",Sheet1!$T$24)</f>
        <v/>
      </c>
      <c r="G33" s="0" t="str">
        <f aca="false">IF(F33="","",SUBSTITUTE(F33,CHAR(34),"%22"))</f>
        <v/>
      </c>
      <c r="H33" s="0" t="str">
        <f aca="false">IF(G33="","",SUBSTITUTE(G33,"&amp;","%26"))</f>
        <v/>
      </c>
      <c r="I33" s="0" t="str">
        <f aca="false">IF(H33="","",SUBSTITUTE(H33,"(","%28"))</f>
        <v/>
      </c>
      <c r="J33" s="0" t="str">
        <f aca="false">IF(I33="","",SUBSTITUTE(I33,")","%29"))</f>
        <v/>
      </c>
      <c r="K33" s="0" t="str">
        <f aca="false">IF(J33="","",SUBSTITUTE(J33," ","+"))</f>
        <v/>
      </c>
      <c r="L33" s="0" t="str">
        <f aca="false">IF(K33="","","https://www.google.com/search?q="&amp;K33&amp;"&amp;num=100&amp;hl=en")</f>
        <v/>
      </c>
      <c r="M33" s="83" t="n">
        <f aca="false">IF(F33="",0,1)</f>
        <v>0</v>
      </c>
      <c r="N33" s="83" t="n">
        <f aca="false">SUM($M$32:M33)</f>
        <v>0</v>
      </c>
    </row>
    <row r="34" customFormat="false" ht="15" hidden="false" customHeight="false" outlineLevel="0" collapsed="false">
      <c r="A34" s="120" t="str">
        <f aca="false">IF(Sheet1!$J$24="","Counterparty 6",Sheet1!$J$24&amp;" (CP6)")</f>
        <v>Counterparty 6</v>
      </c>
      <c r="B34" s="120" t="s">
        <v>1302</v>
      </c>
      <c r="C34" s="120" t="str">
        <f aca="false">IF(L34="","",HYPERLINK(L34,"Open Search"))</f>
        <v/>
      </c>
      <c r="D34" s="120" t="str">
        <f aca="false">IF(F34="","",Sheet1!$J$10&amp;"_"&amp;Sheet1!$J$11&amp;"_CP6_"&amp;N34&amp;"_Google+Address.pdf")</f>
        <v/>
      </c>
      <c r="F34" s="0" t="str">
        <f aca="false">IF(OR(Sheet1!$J$24="",Sheet1!$T$24=""),"",Sheet1!$J$24&amp;" "&amp;Sheet1!$T$24)</f>
        <v/>
      </c>
      <c r="G34" s="0" t="str">
        <f aca="false">IF(F34="","",SUBSTITUTE(F34,CHAR(34),"%22"))</f>
        <v/>
      </c>
      <c r="H34" s="0" t="str">
        <f aca="false">IF(G34="","",SUBSTITUTE(G34,"&amp;","%26"))</f>
        <v/>
      </c>
      <c r="I34" s="0" t="str">
        <f aca="false">IF(H34="","",SUBSTITUTE(H34,"(","%28"))</f>
        <v/>
      </c>
      <c r="J34" s="0" t="str">
        <f aca="false">IF(I34="","",SUBSTITUTE(I34,")","%29"))</f>
        <v/>
      </c>
      <c r="K34" s="0" t="str">
        <f aca="false">IF(J34="","",SUBSTITUTE(J34," ","+"))</f>
        <v/>
      </c>
      <c r="L34" s="0" t="str">
        <f aca="false">IF(K34="","","https://www.google.com/search?q="&amp;K34&amp;"&amp;num=100&amp;hl=en")</f>
        <v/>
      </c>
      <c r="M34" s="83" t="n">
        <f aca="false">IF(F34="",0,1)</f>
        <v>0</v>
      </c>
      <c r="N34" s="83" t="n">
        <f aca="false">SUM($M$32:M34)</f>
        <v>0</v>
      </c>
    </row>
    <row r="35" customFormat="false" ht="15" hidden="false" customHeight="false" outlineLevel="0" collapsed="false">
      <c r="A35" s="121" t="str">
        <f aca="false">IF(Sheet1!$J$24="","Counterparty 6",Sheet1!$J$24&amp;" (CP6)")</f>
        <v>Counterparty 6</v>
      </c>
      <c r="B35" s="121" t="s">
        <v>1303</v>
      </c>
      <c r="C35" s="121" t="str">
        <f aca="false">L35</f>
        <v/>
      </c>
      <c r="D35" s="121" t="str">
        <f aca="false">IF(F35="","",Sheet1!$J$10&amp;"_"&amp;Sheet1!$J$11&amp;"_CP6_"&amp;N35&amp;"_Negative News 1.pdf")</f>
        <v/>
      </c>
      <c r="F35" s="0" t="str">
        <f aca="false">IF(Sheet1!$J$24="","",CHAR(34)&amp;Sheet1!$J$24&amp;CHAR(34)&amp;" AND (arrest OR corruption OR sentencing OR money laundering OR AML OR launder OR embezzle OR evas OR evad OR crime OR corrupt OR bribe OR theft OR extort OR drug OR traffic OR trafficking OR felony OR sanction OR counterfeit OR terror)")</f>
        <v/>
      </c>
      <c r="G35" s="0" t="str">
        <f aca="false">IF(F35="","",SUBSTITUTE(F35,CHAR(34),"%22"))</f>
        <v/>
      </c>
      <c r="H35" s="0" t="str">
        <f aca="false">IF(G35="","",SUBSTITUTE(G35,"&amp;","%26"))</f>
        <v/>
      </c>
      <c r="I35" s="0" t="str">
        <f aca="false">IF(H35="","",SUBSTITUTE(H35,"(","%28"))</f>
        <v/>
      </c>
      <c r="J35" s="0" t="str">
        <f aca="false">IF(I35="","",SUBSTITUTE(I35,")","%29"))</f>
        <v/>
      </c>
      <c r="K35" s="0" t="str">
        <f aca="false">IF(J35="","",SUBSTITUTE(J35," ","+"))</f>
        <v/>
      </c>
      <c r="L35" s="0" t="str">
        <f aca="false">IF(K35="","","https://www.google.com/search?q="&amp;K35&amp;"&amp;num=100&amp;hl=en")</f>
        <v/>
      </c>
      <c r="M35" s="83" t="n">
        <f aca="false">IF(F35="",0,1)</f>
        <v>0</v>
      </c>
      <c r="N35" s="83" t="n">
        <f aca="false">SUM($M$32:M35)</f>
        <v>0</v>
      </c>
    </row>
    <row r="36" customFormat="false" ht="15" hidden="false" customHeight="false" outlineLevel="0" collapsed="false">
      <c r="A36" s="120" t="str">
        <f aca="false">IF(Sheet1!$J$24="","Counterparty 6",Sheet1!$J$24&amp;" (CP6)")</f>
        <v>Counterparty 6</v>
      </c>
      <c r="B36" s="120" t="s">
        <v>1304</v>
      </c>
      <c r="C36" s="120" t="str">
        <f aca="false">L36</f>
        <v/>
      </c>
      <c r="D36" s="120" t="str">
        <f aca="false">IF(F36="","",Sheet1!$J$10&amp;"_"&amp;Sheet1!$J$11&amp;"_CP6_"&amp;N36&amp;"_Negative News 2.pdf")</f>
        <v/>
      </c>
      <c r="F36" s="0" t="str">
        <f aca="false">IF(Sheet1!$J$24="","",CHAR(34)&amp;Sheet1!$J$24&amp;CHAR(34)&amp;" AND (arrest OR corruption OR sentencing OR money laundering OR AML OR launder OR embezzle OR evas OR evad OR crime OR corrupt OR bribe OR theft OR extort OR drug OR traffic OR trafficking OR felony OR sanction OR counterfeit OR terror)")</f>
        <v/>
      </c>
      <c r="G36" s="0" t="str">
        <f aca="false">IF(F36="","",SUBSTITUTE(F36,CHAR(34),"%22"))</f>
        <v/>
      </c>
      <c r="H36" s="0" t="str">
        <f aca="false">IF(G36="","",SUBSTITUTE(G36,"&amp;","%26"))</f>
        <v/>
      </c>
      <c r="I36" s="0" t="str">
        <f aca="false">IF(H36="","",SUBSTITUTE(H36,"(","%28"))</f>
        <v/>
      </c>
      <c r="J36" s="0" t="str">
        <f aca="false">IF(I36="","",SUBSTITUTE(I36,")","%29"))</f>
        <v/>
      </c>
      <c r="K36" s="0" t="str">
        <f aca="false">IF(J36="","",SUBSTITUTE(J36," ","+"))</f>
        <v/>
      </c>
      <c r="L36" s="0" t="str">
        <f aca="false">IF(K36="","","https://www.google.com/search?q="&amp;K36&amp;"&amp;num=100&amp;hl=en&amp;start=100")</f>
        <v/>
      </c>
      <c r="M36" s="83" t="n">
        <f aca="false">IF(F36="",0,1)</f>
        <v>0</v>
      </c>
      <c r="N36" s="83" t="n">
        <f aca="false">SUM($M$32:M36)</f>
        <v>0</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2015-06-05T18:17:20Z</dcterms:created>
  <dc:creator>Sammed Upadhye</dc:creator>
  <dc:description/>
  <dc:language>en-US</dc:language>
  <cp:lastModifiedBy>Swapnil Saha</cp:lastModifiedBy>
  <dcterms:modified xsi:type="dcterms:W3CDTF">2026-07-27T14:25:20Z</dcterms:modified>
  <cp:revision>0</cp:revision>
  <dc:subject/>
  <dc:title/>
</cp:coreProperties>
</file>

<file path=docProps/custom.xml><?xml version="1.0" encoding="utf-8"?>
<Properties xmlns="http://schemas.openxmlformats.org/officeDocument/2006/custom-properties" xmlns:vt="http://schemas.openxmlformats.org/officeDocument/2006/docPropsVTypes"/>
</file>