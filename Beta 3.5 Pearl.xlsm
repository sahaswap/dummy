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mc:AlternateContent xmlns:mc="http://schemas.openxmlformats.org/markup-compatibility/2006">
    <mc:Choice Requires="x15">
      <x15ac:absPath xmlns:x15ac="http://schemas.microsoft.com/office/spreadsheetml/2010/11/ac" url="https://cfsb-my.sharepoint.com/personal/ssaha_cfsb_com/Documents/Desktop/"/>
    </mc:Choice>
  </mc:AlternateContent>
  <xr:revisionPtr revIDLastSave="21706" documentId="8_{79B4011C-13F9-4F04-A6CB-CB2B50A6956E}" xr6:coauthVersionLast="47" xr6:coauthVersionMax="47" xr10:uidLastSave="{20AAE498-A9DF-444F-9B63-5C722F0EA076}"/>
  <workbookProtection workbookAlgorithmName="SHA-512" workbookHashValue="uxY/rNTAnkmRziMOlvpGk0D8owbWKczoWmlRuqCtrW39/ZSIzFd+sSw101IJof2Q+v8H7+rjvFD6kCXkapj0sQ==" workbookSaltValue="F3J5rrHDKov7EBRB1CfkSA==" workbookSpinCount="100000" lockStructure="1"/>
  <bookViews>
    <workbookView xWindow="-110" yWindow="-110" windowWidth="19420" windowHeight="11500" firstSheet="2" activeTab="2" xr2:uid="{00000000-000D-0000-FFFF-FFFF00000000}"/>
  </bookViews>
  <sheets>
    <sheet name="_DarkBak" sheetId="21" state="veryHidden" r:id="rId1"/>
    <sheet name="_NGBak" sheetId="22" state="veryHidden" r:id="rId2"/>
    <sheet name="Sheet1" sheetId="1" r:id="rId3"/>
    <sheet name="Search Matrix" sheetId="18" r:id="rId4"/>
    <sheet name="Backend_Settings" sheetId="2" r:id="rId5"/>
    <sheet name="ConsolidatedData" sheetId="3" r:id="rId6"/>
    <sheet name="Audit_Log" sheetId="4" r:id="rId7"/>
    <sheet name="Sheet7" sheetId="5" r:id="rId8"/>
    <sheet name="Rule_DB" sheetId="6" r:id="rId9"/>
    <sheet name="Program_Library" sheetId="7" r:id="rId10"/>
    <sheet name="Template_DB" sheetId="8" r:id="rId11"/>
    <sheet name="Language_Bits" sheetId="9" r:id="rId12"/>
    <sheet name="Audit_Ledger" sheetId="20" r:id="rId13"/>
  </sheets>
  <functionGroups builtInGroupCount="19"/>
  <externalReferences>
    <externalReference r:id="rId14"/>
  </externalReferences>
  <definedNames>
    <definedName name="_xlnm._FilterDatabase" localSheetId="2" hidden="1">Sheet1!$G$26:$T$27</definedName>
    <definedName name="_xleta.ADDRESS" hidden="1" xlm="1">#NAME?</definedName>
    <definedName name="_xleta.AND" hidden="1" xlm="1">#NAME?</definedName>
    <definedName name="_xleta.COUNT" hidden="1" xlm="1">#NAME?</definedName>
    <definedName name="_xleta.FIND" hidden="1" xlm="1">#NAME?</definedName>
    <definedName name="_xleta.MIN" hidden="1" xlm="1">#NAME?</definedName>
    <definedName name="_xleta.SHEET" hidden="1" xlm="1">#NAME?</definedName>
    <definedName name="_xleta.XLOOKUP" hidden="1" xlm="1">#NAME?</definedName>
    <definedName name="_xlpm.AlertText" hidden="1" xlm="1">#NAME?</definedName>
    <definedName name="_xlpm.AllAlerts" hidden="1" xlm="1">#NAME?</definedName>
    <definedName name="_xlpm.RuleCodes" hidden="1" xlm="1">#NAME?</definedName>
    <definedName name="_xlpm.SplitNames" hidden="1" xlm="1">#NAME?</definedName>
    <definedName name="Crypto">Template_DB!$A$5:$A$6</definedName>
    <definedName name="ScenarioOptions" localSheetId="3">Sheet7!$Z$1</definedName>
    <definedName name="ScenarioOptions">Sheet7!$Z$1</definedName>
    <definedName name="TemplatesRFI" localSheetId="3">[1]Sheet7!$E$8:$E$10</definedName>
    <definedName name="TemplatesRFI">Sheet7!$E$8:$E$10</definedName>
    <definedName name="TemplatesStandard" localSheetId="3">[1]Sheet7!$D$8:$D$10</definedName>
    <definedName name="TemplatesStandard">Sheet7!$D$8:$D$10</definedName>
    <definedName name="Wise">Sheet7!$Z$1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E3" i="3" l="1"/>
  <c r="AE2" i="3"/>
  <c r="R27" i="1" l="1"/>
  <c r="P27" i="1"/>
  <c r="T27" i="1"/>
  <c r="F36" i="18" l="1"/>
  <c r="A36" i="18"/>
  <c r="F35" i="18"/>
  <c r="M35" i="18" s="1"/>
  <c r="A35" i="18"/>
  <c r="F34" i="18"/>
  <c r="D34" i="18" s="1"/>
  <c r="A34" i="18"/>
  <c r="F33" i="18"/>
  <c r="D33" i="18" s="1"/>
  <c r="A33" i="18"/>
  <c r="F32" i="18"/>
  <c r="M32" i="18" s="1"/>
  <c r="A32" i="18"/>
  <c r="F31" i="18"/>
  <c r="M31" i="18" s="1"/>
  <c r="A31" i="18"/>
  <c r="F30" i="18"/>
  <c r="A30" i="18"/>
  <c r="F29" i="18"/>
  <c r="M29" i="18" s="1"/>
  <c r="A29" i="18"/>
  <c r="F28" i="18"/>
  <c r="D28" i="18" s="1"/>
  <c r="A28" i="18"/>
  <c r="F27" i="18"/>
  <c r="G27" i="18" s="1"/>
  <c r="H27" i="18" s="1"/>
  <c r="I27" i="18" s="1"/>
  <c r="J27" i="18" s="1"/>
  <c r="K27" i="18" s="1"/>
  <c r="L27" i="18" s="1"/>
  <c r="C27" i="18" s="1"/>
  <c r="A27" i="18"/>
  <c r="F26" i="18"/>
  <c r="A26" i="18"/>
  <c r="F25" i="18"/>
  <c r="A25" i="18"/>
  <c r="F24" i="18"/>
  <c r="M24" i="18" s="1"/>
  <c r="A24" i="18"/>
  <c r="F23" i="18"/>
  <c r="M23" i="18" s="1"/>
  <c r="A23" i="18"/>
  <c r="F22" i="18"/>
  <c r="A22" i="18"/>
  <c r="F21" i="18"/>
  <c r="G21" i="18" s="1"/>
  <c r="H21" i="18" s="1"/>
  <c r="I21" i="18" s="1"/>
  <c r="J21" i="18" s="1"/>
  <c r="K21" i="18" s="1"/>
  <c r="L21" i="18" s="1"/>
  <c r="C21" i="18" s="1"/>
  <c r="A21" i="18"/>
  <c r="F20" i="18"/>
  <c r="A20" i="18"/>
  <c r="F19" i="18"/>
  <c r="M19" i="18" s="1"/>
  <c r="A19" i="18"/>
  <c r="F18" i="18"/>
  <c r="A18" i="18"/>
  <c r="F17" i="18"/>
  <c r="M17" i="18" s="1"/>
  <c r="A17" i="18"/>
  <c r="F16" i="18"/>
  <c r="A16" i="18"/>
  <c r="F15" i="18"/>
  <c r="G15" i="18" s="1"/>
  <c r="H15" i="18" s="1"/>
  <c r="I15" i="18" s="1"/>
  <c r="J15" i="18" s="1"/>
  <c r="K15" i="18" s="1"/>
  <c r="L15" i="18" s="1"/>
  <c r="C15" i="18" s="1"/>
  <c r="A15" i="18"/>
  <c r="F14" i="18"/>
  <c r="A14" i="18"/>
  <c r="F13" i="18"/>
  <c r="G13" i="18" s="1"/>
  <c r="H13" i="18" s="1"/>
  <c r="I13" i="18" s="1"/>
  <c r="J13" i="18" s="1"/>
  <c r="K13" i="18" s="1"/>
  <c r="L13" i="18" s="1"/>
  <c r="C13" i="18" s="1"/>
  <c r="A13" i="18"/>
  <c r="F12" i="18"/>
  <c r="A12" i="18"/>
  <c r="F11" i="18"/>
  <c r="M11" i="18" s="1"/>
  <c r="A11" i="18"/>
  <c r="F10" i="18"/>
  <c r="A10" i="18"/>
  <c r="F9" i="18"/>
  <c r="A9" i="18"/>
  <c r="F8" i="18"/>
  <c r="A8" i="18"/>
  <c r="F7" i="18"/>
  <c r="M7" i="18" s="1"/>
  <c r="A7" i="18"/>
  <c r="F6" i="18"/>
  <c r="A6" i="18"/>
  <c r="F5" i="18"/>
  <c r="G5" i="18" s="1"/>
  <c r="H5" i="18" s="1"/>
  <c r="I5" i="18" s="1"/>
  <c r="J5" i="18" s="1"/>
  <c r="K5" i="18" s="1"/>
  <c r="L5" i="18" s="1"/>
  <c r="C5" i="18" s="1"/>
  <c r="A5" i="18"/>
  <c r="F4" i="18"/>
  <c r="A4" i="18"/>
  <c r="F3" i="18"/>
  <c r="M3" i="18" s="1"/>
  <c r="A3" i="18"/>
  <c r="F2" i="18"/>
  <c r="A2" i="18"/>
  <c r="G35" i="18" l="1"/>
  <c r="H35" i="18" s="1"/>
  <c r="I35" i="18" s="1"/>
  <c r="J35" i="18" s="1"/>
  <c r="K35" i="18" s="1"/>
  <c r="L35" i="18" s="1"/>
  <c r="C35" i="18" s="1"/>
  <c r="M15" i="18"/>
  <c r="M21" i="18"/>
  <c r="G23" i="18"/>
  <c r="H23" i="18" s="1"/>
  <c r="I23" i="18" s="1"/>
  <c r="J23" i="18" s="1"/>
  <c r="K23" i="18" s="1"/>
  <c r="L23" i="18" s="1"/>
  <c r="C23" i="18" s="1"/>
  <c r="M25" i="18"/>
  <c r="M13" i="18"/>
  <c r="G33" i="18"/>
  <c r="H33" i="18" s="1"/>
  <c r="I33" i="18" s="1"/>
  <c r="J33" i="18" s="1"/>
  <c r="K33" i="18" s="1"/>
  <c r="L33" i="18" s="1"/>
  <c r="C33" i="18" s="1"/>
  <c r="M33" i="18"/>
  <c r="M27" i="18"/>
  <c r="N27" i="18" s="1"/>
  <c r="G9" i="18"/>
  <c r="H9" i="18" s="1"/>
  <c r="I9" i="18" s="1"/>
  <c r="J9" i="18" s="1"/>
  <c r="K9" i="18" s="1"/>
  <c r="L9" i="18" s="1"/>
  <c r="C9" i="18" s="1"/>
  <c r="G31" i="18"/>
  <c r="H31" i="18" s="1"/>
  <c r="I31" i="18" s="1"/>
  <c r="J31" i="18" s="1"/>
  <c r="K31" i="18" s="1"/>
  <c r="L31" i="18" s="1"/>
  <c r="C31" i="18" s="1"/>
  <c r="M9" i="18"/>
  <c r="M36" i="18"/>
  <c r="D29" i="18"/>
  <c r="G17" i="18"/>
  <c r="H17" i="18" s="1"/>
  <c r="I17" i="18" s="1"/>
  <c r="J17" i="18" s="1"/>
  <c r="K17" i="18" s="1"/>
  <c r="L17" i="18" s="1"/>
  <c r="C17" i="18" s="1"/>
  <c r="M28" i="18"/>
  <c r="M30" i="18"/>
  <c r="D27" i="18"/>
  <c r="G25" i="18"/>
  <c r="H25" i="18" s="1"/>
  <c r="I25" i="18" s="1"/>
  <c r="J25" i="18" s="1"/>
  <c r="K25" i="18" s="1"/>
  <c r="L25" i="18" s="1"/>
  <c r="C25" i="18" s="1"/>
  <c r="G29" i="18"/>
  <c r="H29" i="18" s="1"/>
  <c r="I29" i="18" s="1"/>
  <c r="J29" i="18" s="1"/>
  <c r="K29" i="18" s="1"/>
  <c r="L29" i="18" s="1"/>
  <c r="C29" i="18" s="1"/>
  <c r="M34" i="18"/>
  <c r="G19" i="18"/>
  <c r="H19" i="18" s="1"/>
  <c r="I19" i="18" s="1"/>
  <c r="J19" i="18" s="1"/>
  <c r="K19" i="18" s="1"/>
  <c r="L19" i="18" s="1"/>
  <c r="C19" i="18" s="1"/>
  <c r="M26" i="18"/>
  <c r="G7" i="18"/>
  <c r="H7" i="18" s="1"/>
  <c r="I7" i="18" s="1"/>
  <c r="J7" i="18" s="1"/>
  <c r="K7" i="18" s="1"/>
  <c r="L7" i="18" s="1"/>
  <c r="C7" i="18" s="1"/>
  <c r="G11" i="18"/>
  <c r="H11" i="18" s="1"/>
  <c r="I11" i="18" s="1"/>
  <c r="J11" i="18" s="1"/>
  <c r="K11" i="18" s="1"/>
  <c r="L11" i="18" s="1"/>
  <c r="C11" i="18" s="1"/>
  <c r="G3" i="18"/>
  <c r="H3" i="18" s="1"/>
  <c r="I3" i="18" s="1"/>
  <c r="J3" i="18" s="1"/>
  <c r="K3" i="18" s="1"/>
  <c r="L3" i="18" s="1"/>
  <c r="C3" i="18" s="1"/>
  <c r="M5" i="18"/>
  <c r="M10" i="18"/>
  <c r="G10" i="18"/>
  <c r="H10" i="18" s="1"/>
  <c r="I10" i="18" s="1"/>
  <c r="J10" i="18" s="1"/>
  <c r="K10" i="18" s="1"/>
  <c r="L10" i="18" s="1"/>
  <c r="C10" i="18" s="1"/>
  <c r="M4" i="18"/>
  <c r="G4" i="18"/>
  <c r="H4" i="18" s="1"/>
  <c r="I4" i="18" s="1"/>
  <c r="J4" i="18" s="1"/>
  <c r="K4" i="18" s="1"/>
  <c r="L4" i="18" s="1"/>
  <c r="C4" i="18" s="1"/>
  <c r="M8" i="18"/>
  <c r="G8" i="18"/>
  <c r="H8" i="18" s="1"/>
  <c r="I8" i="18" s="1"/>
  <c r="J8" i="18" s="1"/>
  <c r="K8" i="18" s="1"/>
  <c r="L8" i="18" s="1"/>
  <c r="C8" i="18" s="1"/>
  <c r="M16" i="18"/>
  <c r="G16" i="18"/>
  <c r="H16" i="18" s="1"/>
  <c r="I16" i="18" s="1"/>
  <c r="J16" i="18" s="1"/>
  <c r="K16" i="18" s="1"/>
  <c r="L16" i="18" s="1"/>
  <c r="C16" i="18" s="1"/>
  <c r="N32" i="18"/>
  <c r="D32" i="18" s="1"/>
  <c r="M20" i="18"/>
  <c r="G20" i="18"/>
  <c r="H20" i="18" s="1"/>
  <c r="I20" i="18" s="1"/>
  <c r="J20" i="18" s="1"/>
  <c r="K20" i="18" s="1"/>
  <c r="L20" i="18" s="1"/>
  <c r="C20" i="18" s="1"/>
  <c r="M2" i="18"/>
  <c r="G2" i="18"/>
  <c r="H2" i="18" s="1"/>
  <c r="I2" i="18" s="1"/>
  <c r="J2" i="18" s="1"/>
  <c r="K2" i="18" s="1"/>
  <c r="L2" i="18" s="1"/>
  <c r="C2" i="18" s="1"/>
  <c r="M6" i="18"/>
  <c r="G6" i="18"/>
  <c r="H6" i="18" s="1"/>
  <c r="I6" i="18" s="1"/>
  <c r="J6" i="18" s="1"/>
  <c r="K6" i="18" s="1"/>
  <c r="L6" i="18" s="1"/>
  <c r="C6" i="18" s="1"/>
  <c r="M22" i="18"/>
  <c r="G22" i="18"/>
  <c r="H22" i="18" s="1"/>
  <c r="I22" i="18" s="1"/>
  <c r="J22" i="18" s="1"/>
  <c r="K22" i="18" s="1"/>
  <c r="L22" i="18" s="1"/>
  <c r="C22" i="18" s="1"/>
  <c r="M18" i="18"/>
  <c r="N19" i="18" s="1"/>
  <c r="D19" i="18" s="1"/>
  <c r="G18" i="18"/>
  <c r="H18" i="18" s="1"/>
  <c r="I18" i="18" s="1"/>
  <c r="J18" i="18" s="1"/>
  <c r="K18" i="18" s="1"/>
  <c r="L18" i="18" s="1"/>
  <c r="C18" i="18" s="1"/>
  <c r="M12" i="18"/>
  <c r="G12" i="18"/>
  <c r="H12" i="18" s="1"/>
  <c r="I12" i="18" s="1"/>
  <c r="J12" i="18" s="1"/>
  <c r="K12" i="18" s="1"/>
  <c r="L12" i="18" s="1"/>
  <c r="C12" i="18" s="1"/>
  <c r="M14" i="18"/>
  <c r="G14" i="18"/>
  <c r="H14" i="18" s="1"/>
  <c r="I14" i="18" s="1"/>
  <c r="J14" i="18" s="1"/>
  <c r="K14" i="18" s="1"/>
  <c r="L14" i="18" s="1"/>
  <c r="C14" i="18" s="1"/>
  <c r="G24" i="18"/>
  <c r="H24" i="18" s="1"/>
  <c r="I24" i="18" s="1"/>
  <c r="J24" i="18" s="1"/>
  <c r="K24" i="18" s="1"/>
  <c r="L24" i="18" s="1"/>
  <c r="C24" i="18" s="1"/>
  <c r="G26" i="18"/>
  <c r="H26" i="18" s="1"/>
  <c r="I26" i="18" s="1"/>
  <c r="J26" i="18" s="1"/>
  <c r="K26" i="18" s="1"/>
  <c r="L26" i="18" s="1"/>
  <c r="C26" i="18" s="1"/>
  <c r="G28" i="18"/>
  <c r="H28" i="18" s="1"/>
  <c r="I28" i="18" s="1"/>
  <c r="J28" i="18" s="1"/>
  <c r="K28" i="18" s="1"/>
  <c r="L28" i="18" s="1"/>
  <c r="C28" i="18" s="1"/>
  <c r="G30" i="18"/>
  <c r="H30" i="18" s="1"/>
  <c r="I30" i="18" s="1"/>
  <c r="J30" i="18" s="1"/>
  <c r="K30" i="18" s="1"/>
  <c r="L30" i="18" s="1"/>
  <c r="C30" i="18" s="1"/>
  <c r="G32" i="18"/>
  <c r="H32" i="18" s="1"/>
  <c r="I32" i="18" s="1"/>
  <c r="J32" i="18" s="1"/>
  <c r="K32" i="18" s="1"/>
  <c r="L32" i="18" s="1"/>
  <c r="C32" i="18" s="1"/>
  <c r="G34" i="18"/>
  <c r="H34" i="18" s="1"/>
  <c r="I34" i="18" s="1"/>
  <c r="J34" i="18" s="1"/>
  <c r="K34" i="18" s="1"/>
  <c r="L34" i="18" s="1"/>
  <c r="C34" i="18" s="1"/>
  <c r="G36" i="18"/>
  <c r="H36" i="18" s="1"/>
  <c r="I36" i="18" s="1"/>
  <c r="J36" i="18" s="1"/>
  <c r="K36" i="18" s="1"/>
  <c r="L36" i="18" s="1"/>
  <c r="C36" i="18" s="1"/>
  <c r="N7" i="18"/>
  <c r="D7" i="18" s="1"/>
  <c r="N17" i="18"/>
  <c r="D17" i="18" s="1"/>
  <c r="N35" i="18" l="1"/>
  <c r="D35" i="18" s="1"/>
  <c r="N33" i="18"/>
  <c r="N34" i="18"/>
  <c r="N29" i="18"/>
  <c r="N30" i="18"/>
  <c r="D30" i="18" s="1"/>
  <c r="N36" i="18"/>
  <c r="D36" i="18" s="1"/>
  <c r="N28" i="18"/>
  <c r="N31" i="18"/>
  <c r="D31" i="18" s="1"/>
  <c r="N10" i="18"/>
  <c r="D10" i="18" s="1"/>
  <c r="N8" i="18"/>
  <c r="D8" i="18" s="1"/>
  <c r="N11" i="18"/>
  <c r="D11" i="18" s="1"/>
  <c r="N25" i="18"/>
  <c r="D25" i="18" s="1"/>
  <c r="N23" i="18"/>
  <c r="D23" i="18" s="1"/>
  <c r="N26" i="18"/>
  <c r="D26" i="18" s="1"/>
  <c r="N24" i="18"/>
  <c r="D24" i="18" s="1"/>
  <c r="N22" i="18"/>
  <c r="D22" i="18" s="1"/>
  <c r="N21" i="18"/>
  <c r="D21" i="18" s="1"/>
  <c r="N15" i="18"/>
  <c r="D15" i="18" s="1"/>
  <c r="N13" i="18"/>
  <c r="D13" i="18" s="1"/>
  <c r="N12" i="18"/>
  <c r="D12" i="18" s="1"/>
  <c r="N14" i="18"/>
  <c r="D14" i="18" s="1"/>
  <c r="N16" i="18"/>
  <c r="D16" i="18" s="1"/>
  <c r="N9" i="18"/>
  <c r="D9" i="18" s="1"/>
  <c r="N20" i="18"/>
  <c r="D20" i="18" s="1"/>
  <c r="N18" i="18"/>
  <c r="D18" i="18" s="1"/>
  <c r="N5" i="18"/>
  <c r="D5" i="18" s="1"/>
  <c r="N3" i="18"/>
  <c r="D3" i="18" s="1"/>
  <c r="N4" i="18"/>
  <c r="D4" i="18" s="1"/>
  <c r="N2" i="18"/>
  <c r="D2" i="18" s="1"/>
  <c r="N6" i="18"/>
  <c r="D6" i="18" s="1"/>
  <c r="C49" i="6" l="1"/>
  <c r="B49" i="6"/>
  <c r="C48" i="6"/>
  <c r="B48" i="6"/>
  <c r="C47" i="6"/>
  <c r="B47" i="6"/>
  <c r="C46" i="6"/>
  <c r="B46" i="6"/>
  <c r="C45" i="6"/>
  <c r="B45" i="6"/>
  <c r="C44" i="6"/>
  <c r="B44" i="6"/>
  <c r="C43" i="6"/>
  <c r="B43" i="6"/>
  <c r="C42" i="6"/>
  <c r="B42" i="6"/>
  <c r="C41" i="6"/>
  <c r="B41" i="6"/>
  <c r="C40" i="6"/>
  <c r="B40" i="6"/>
  <c r="C39" i="6"/>
  <c r="B39" i="6"/>
  <c r="C38" i="6"/>
  <c r="B38" i="6"/>
  <c r="C37" i="6"/>
  <c r="B37" i="6"/>
  <c r="C36" i="6"/>
  <c r="B36" i="6"/>
  <c r="C35" i="6"/>
  <c r="B35" i="6"/>
  <c r="C34" i="6"/>
  <c r="B34" i="6"/>
  <c r="C33" i="6"/>
  <c r="B33" i="6"/>
  <c r="C32" i="6"/>
  <c r="B32" i="6"/>
  <c r="C31" i="6"/>
  <c r="B31" i="6"/>
  <c r="C30" i="6"/>
  <c r="B30" i="6"/>
  <c r="C29" i="6"/>
  <c r="B29" i="6"/>
  <c r="C28" i="6"/>
  <c r="B28" i="6"/>
  <c r="C27" i="6"/>
  <c r="B27" i="6"/>
  <c r="C26" i="6"/>
  <c r="B26" i="6"/>
  <c r="C25" i="6"/>
  <c r="B25" i="6"/>
  <c r="C24" i="6"/>
  <c r="B24" i="6"/>
  <c r="C23" i="6"/>
  <c r="B23" i="6"/>
  <c r="C22" i="6"/>
  <c r="B22" i="6"/>
  <c r="C21" i="6"/>
  <c r="B21" i="6"/>
  <c r="C20" i="6"/>
  <c r="B20" i="6"/>
  <c r="C19" i="6"/>
  <c r="B19" i="6"/>
  <c r="C18" i="6"/>
  <c r="B18" i="6"/>
  <c r="C17" i="6"/>
  <c r="B17" i="6"/>
  <c r="C16" i="6"/>
  <c r="B16" i="6"/>
  <c r="C15" i="6"/>
  <c r="B15" i="6"/>
  <c r="C14" i="6"/>
  <c r="B14" i="6"/>
  <c r="C13" i="6"/>
  <c r="B13" i="6"/>
  <c r="C12" i="6"/>
  <c r="B12" i="6"/>
  <c r="C11" i="6"/>
  <c r="B11" i="6"/>
  <c r="C10" i="6"/>
  <c r="B10" i="6"/>
  <c r="C9" i="6"/>
  <c r="B9" i="6"/>
  <c r="C8" i="6"/>
  <c r="B8" i="6"/>
  <c r="C7" i="6"/>
  <c r="B7" i="6"/>
  <c r="C6" i="6"/>
  <c r="B6" i="6"/>
  <c r="C5" i="6"/>
  <c r="B5" i="6"/>
  <c r="C4" i="6"/>
  <c r="B4" i="6"/>
  <c r="C3" i="6"/>
  <c r="B3" i="6"/>
  <c r="C2" i="6"/>
  <c r="B2" i="6"/>
  <c r="K29" i="5"/>
  <c r="K28" i="5"/>
  <c r="K27" i="5" a="1"/>
  <c r="K27" i="5" s="1"/>
  <c r="K26" i="5" a="1"/>
  <c r="K26" i="5" s="1"/>
  <c r="K25" i="5"/>
  <c r="K24" i="5"/>
  <c r="K22" i="5"/>
  <c r="K21" i="5"/>
  <c r="K20" i="5"/>
  <c r="K19" i="5"/>
  <c r="K18" i="5"/>
  <c r="K17" i="5"/>
  <c r="K16" i="5"/>
  <c r="K15" i="5"/>
  <c r="K8" i="5"/>
  <c r="K7" i="5"/>
  <c r="K6" i="5"/>
  <c r="K5" i="5"/>
  <c r="K4" i="5"/>
  <c r="K3" i="5" a="1"/>
  <c r="K3" i="5" s="1"/>
  <c r="K2" i="5"/>
  <c r="K13" i="5"/>
  <c r="K12" i="5"/>
  <c r="K14" i="5" a="1"/>
  <c r="K11" i="5"/>
  <c r="K10" i="5"/>
  <c r="K23" i="5" l="1" a="1"/>
  <c r="K23" i="5" s="1"/>
  <c r="K9" i="5"/>
  <c r="K14" i="5"/>
</calcChain>
</file>

<file path=xl/sharedStrings.xml><?xml version="1.0" encoding="utf-8"?>
<sst xmlns="http://schemas.openxmlformats.org/spreadsheetml/2006/main" count="5246" uniqueCount="2837">
  <si>
    <t>Decision</t>
  </si>
  <si>
    <t>Template</t>
  </si>
  <si>
    <t>Program Name</t>
  </si>
  <si>
    <t>Escalation Scenario</t>
  </si>
  <si>
    <t>ECM Case</t>
  </si>
  <si>
    <t>Alert ID</t>
  </si>
  <si>
    <t>Customer Name</t>
  </si>
  <si>
    <t>Steeve Tremblay</t>
  </si>
  <si>
    <t>Customer Address</t>
  </si>
  <si>
    <t>CounterParty #s</t>
  </si>
  <si>
    <t>Counterparty Name</t>
  </si>
  <si>
    <t>Counterparty Address</t>
  </si>
  <si>
    <t>CounterParty 1</t>
  </si>
  <si>
    <t>CounterParty 2</t>
  </si>
  <si>
    <t>CounterParty 3</t>
  </si>
  <si>
    <t>CounterParty 4</t>
  </si>
  <si>
    <t>CounterParty 5</t>
  </si>
  <si>
    <t>CounterParty 6</t>
  </si>
  <si>
    <t>Country Name</t>
  </si>
  <si>
    <t>ISOCode2</t>
  </si>
  <si>
    <t>ISOCode3</t>
  </si>
  <si>
    <t>Risk Score</t>
  </si>
  <si>
    <t>PDF Risk Class</t>
  </si>
  <si>
    <t>Excel Risk Class</t>
  </si>
  <si>
    <t>INDIA</t>
  </si>
  <si>
    <t>IN</t>
  </si>
  <si>
    <t>IND</t>
  </si>
  <si>
    <t>CountryName</t>
  </si>
  <si>
    <t>IsoCode2</t>
  </si>
  <si>
    <t>IsoCode3</t>
  </si>
  <si>
    <t>RiskLevel</t>
  </si>
  <si>
    <t>RiskScore</t>
  </si>
  <si>
    <t>PDFRisk</t>
  </si>
  <si>
    <t>AFGHANISTAN</t>
  </si>
  <si>
    <t>AF</t>
  </si>
  <si>
    <t>AFG</t>
  </si>
  <si>
    <t>Prohibited</t>
  </si>
  <si>
    <t>ALAND ISLANDS</t>
  </si>
  <si>
    <t>AX</t>
  </si>
  <si>
    <t>Medium</t>
  </si>
  <si>
    <t>N/A</t>
  </si>
  <si>
    <t>ALBANIA</t>
  </si>
  <si>
    <t>AL</t>
  </si>
  <si>
    <t>ALB</t>
  </si>
  <si>
    <t>High</t>
  </si>
  <si>
    <t>ALGERIA</t>
  </si>
  <si>
    <t>DZ</t>
  </si>
  <si>
    <t>DZA</t>
  </si>
  <si>
    <t>AMERICAN SAMOA</t>
  </si>
  <si>
    <t>AS</t>
  </si>
  <si>
    <t>ASM</t>
  </si>
  <si>
    <t>ANDORRA</t>
  </si>
  <si>
    <t>AD</t>
  </si>
  <si>
    <t>AND</t>
  </si>
  <si>
    <t>ANGOLA</t>
  </si>
  <si>
    <t>AO</t>
  </si>
  <si>
    <t>AGO</t>
  </si>
  <si>
    <t>ANGUILLA</t>
  </si>
  <si>
    <t>AI</t>
  </si>
  <si>
    <t>ANTARCTICA</t>
  </si>
  <si>
    <t>AQ</t>
  </si>
  <si>
    <t>ATA</t>
  </si>
  <si>
    <t>Low</t>
  </si>
  <si>
    <t>ANTIGUA</t>
  </si>
  <si>
    <t>AG</t>
  </si>
  <si>
    <t>ATG</t>
  </si>
  <si>
    <t>ARGENTINA</t>
  </si>
  <si>
    <t>AR</t>
  </si>
  <si>
    <t>ARG</t>
  </si>
  <si>
    <t>ARMENIA</t>
  </si>
  <si>
    <t>AM</t>
  </si>
  <si>
    <t>ARM</t>
  </si>
  <si>
    <t>ARUBA</t>
  </si>
  <si>
    <t>AW</t>
  </si>
  <si>
    <t>ABW</t>
  </si>
  <si>
    <t>AUSTRALIA</t>
  </si>
  <si>
    <t>AU</t>
  </si>
  <si>
    <t>AUSTRIA</t>
  </si>
  <si>
    <t>AT</t>
  </si>
  <si>
    <t>AUT</t>
  </si>
  <si>
    <t>AZERBAIJAN</t>
  </si>
  <si>
    <t>AZ</t>
  </si>
  <si>
    <t>AZE</t>
  </si>
  <si>
    <t>BAHAMAS</t>
  </si>
  <si>
    <t>BS</t>
  </si>
  <si>
    <t>BHS</t>
  </si>
  <si>
    <t>BAHRAIN</t>
  </si>
  <si>
    <t>BH</t>
  </si>
  <si>
    <t>BHR</t>
  </si>
  <si>
    <t>BANGLADESH</t>
  </si>
  <si>
    <t>BD</t>
  </si>
  <si>
    <t>BGD</t>
  </si>
  <si>
    <t>BARBADOS</t>
  </si>
  <si>
    <t>BB</t>
  </si>
  <si>
    <t>BRB</t>
  </si>
  <si>
    <t>BELARUS</t>
  </si>
  <si>
    <t>BY</t>
  </si>
  <si>
    <t>BLR</t>
  </si>
  <si>
    <t>BELGIUM</t>
  </si>
  <si>
    <t>BE</t>
  </si>
  <si>
    <t>BEL</t>
  </si>
  <si>
    <t>BELIZE</t>
  </si>
  <si>
    <t>BZ</t>
  </si>
  <si>
    <t>BLZ</t>
  </si>
  <si>
    <t>BENIN</t>
  </si>
  <si>
    <t>BJ</t>
  </si>
  <si>
    <t>BEN</t>
  </si>
  <si>
    <t>BERMUDA</t>
  </si>
  <si>
    <t>BM</t>
  </si>
  <si>
    <t>BMU</t>
  </si>
  <si>
    <t>BHUTAN</t>
  </si>
  <si>
    <t>BT</t>
  </si>
  <si>
    <t>BTN</t>
  </si>
  <si>
    <t>BOLIVIA</t>
  </si>
  <si>
    <t>BO</t>
  </si>
  <si>
    <t>BOL</t>
  </si>
  <si>
    <t>BONAIRE SINT EUSTATIUS AND SABA</t>
  </si>
  <si>
    <t>BQ</t>
  </si>
  <si>
    <t>BOSNIAHERZ</t>
  </si>
  <si>
    <t>BA</t>
  </si>
  <si>
    <t>BIH</t>
  </si>
  <si>
    <t>BOTSWANA</t>
  </si>
  <si>
    <t>BW</t>
  </si>
  <si>
    <t>BWA</t>
  </si>
  <si>
    <t>BOUVET ISLAND</t>
  </si>
  <si>
    <t>BV</t>
  </si>
  <si>
    <t>BVT</t>
  </si>
  <si>
    <t>BR IND OC TER</t>
  </si>
  <si>
    <t>IO</t>
  </si>
  <si>
    <t>BRAZIL</t>
  </si>
  <si>
    <t>BR</t>
  </si>
  <si>
    <t>BRA</t>
  </si>
  <si>
    <t>BRUNEI</t>
  </si>
  <si>
    <t>BN</t>
  </si>
  <si>
    <t>BRN</t>
  </si>
  <si>
    <t>BULGARIA</t>
  </si>
  <si>
    <t>BG</t>
  </si>
  <si>
    <t>BGR</t>
  </si>
  <si>
    <t>BURKINA FASO</t>
  </si>
  <si>
    <t>BF</t>
  </si>
  <si>
    <t>BFA</t>
  </si>
  <si>
    <t>BURUNDI</t>
  </si>
  <si>
    <t>BI</t>
  </si>
  <si>
    <t>BDI</t>
  </si>
  <si>
    <t>CAMBODIA</t>
  </si>
  <si>
    <t>KH</t>
  </si>
  <si>
    <t>KHM</t>
  </si>
  <si>
    <t>CAMEROON</t>
  </si>
  <si>
    <t>CM</t>
  </si>
  <si>
    <t>CMR</t>
  </si>
  <si>
    <t>CANADA</t>
  </si>
  <si>
    <t>CA</t>
  </si>
  <si>
    <t>CAN</t>
  </si>
  <si>
    <t>CAPE VERDE</t>
  </si>
  <si>
    <t>CV</t>
  </si>
  <si>
    <t>CPV</t>
  </si>
  <si>
    <t>CAYMAN ISLANDS</t>
  </si>
  <si>
    <t>KY</t>
  </si>
  <si>
    <t>CYM</t>
  </si>
  <si>
    <t>CENT AFR</t>
  </si>
  <si>
    <t>CF</t>
  </si>
  <si>
    <t>CAF</t>
  </si>
  <si>
    <t>CHAD</t>
  </si>
  <si>
    <t>TD</t>
  </si>
  <si>
    <t>TCD</t>
  </si>
  <si>
    <t>CHILE</t>
  </si>
  <si>
    <t>CL</t>
  </si>
  <si>
    <t>CHL</t>
  </si>
  <si>
    <t>CHINA</t>
  </si>
  <si>
    <t>CN</t>
  </si>
  <si>
    <t>CHN</t>
  </si>
  <si>
    <t>CHRISTMAS ISLAND</t>
  </si>
  <si>
    <t>CX</t>
  </si>
  <si>
    <t>CXR</t>
  </si>
  <si>
    <t>COCOS ISLANDS</t>
  </si>
  <si>
    <t>CC</t>
  </si>
  <si>
    <t>CCK</t>
  </si>
  <si>
    <t>COLOMBIA</t>
  </si>
  <si>
    <t>CO</t>
  </si>
  <si>
    <t>COL</t>
  </si>
  <si>
    <t>COMOROS</t>
  </si>
  <si>
    <t>KM</t>
  </si>
  <si>
    <t>COM</t>
  </si>
  <si>
    <t>CONGO KINSHASA</t>
  </si>
  <si>
    <t>CD</t>
  </si>
  <si>
    <t>COD</t>
  </si>
  <si>
    <t>CONGOBRAZZAVILLE</t>
  </si>
  <si>
    <t>CG</t>
  </si>
  <si>
    <t>COG</t>
  </si>
  <si>
    <t>COOK ISLANDS</t>
  </si>
  <si>
    <t>CK</t>
  </si>
  <si>
    <t>COK</t>
  </si>
  <si>
    <t>COSTA RICA</t>
  </si>
  <si>
    <t>CR</t>
  </si>
  <si>
    <t>CRI</t>
  </si>
  <si>
    <t>COTE DIVOIRY</t>
  </si>
  <si>
    <t>CI</t>
  </si>
  <si>
    <t>CIV</t>
  </si>
  <si>
    <t>CROATIA</t>
  </si>
  <si>
    <t>HR</t>
  </si>
  <si>
    <t>HRV</t>
  </si>
  <si>
    <t>CUBA</t>
  </si>
  <si>
    <t>CU</t>
  </si>
  <si>
    <t>CUB</t>
  </si>
  <si>
    <t>CURAAO</t>
  </si>
  <si>
    <t>CW</t>
  </si>
  <si>
    <t>CUW</t>
  </si>
  <si>
    <t>CYPRUS</t>
  </si>
  <si>
    <t>CY</t>
  </si>
  <si>
    <t>CYP</t>
  </si>
  <si>
    <t>CZECH REPUBLIC</t>
  </si>
  <si>
    <t>CZ</t>
  </si>
  <si>
    <t>CZE</t>
  </si>
  <si>
    <t>DENMARK</t>
  </si>
  <si>
    <t>DK</t>
  </si>
  <si>
    <t>DNK</t>
  </si>
  <si>
    <t>DJIBOUTI</t>
  </si>
  <si>
    <t>DJ</t>
  </si>
  <si>
    <t>DJI</t>
  </si>
  <si>
    <t>DOMINICA</t>
  </si>
  <si>
    <t>DM</t>
  </si>
  <si>
    <t>DMA</t>
  </si>
  <si>
    <t>DOMINICAN</t>
  </si>
  <si>
    <t>DO</t>
  </si>
  <si>
    <t>DOM</t>
  </si>
  <si>
    <t>ECUADOR</t>
  </si>
  <si>
    <t>EC</t>
  </si>
  <si>
    <t>ECU</t>
  </si>
  <si>
    <t>EGYPT</t>
  </si>
  <si>
    <t>EG</t>
  </si>
  <si>
    <t>EGY</t>
  </si>
  <si>
    <t>EL SALVADOR</t>
  </si>
  <si>
    <t>SV</t>
  </si>
  <si>
    <t>SLV</t>
  </si>
  <si>
    <t>EQU GUINEA</t>
  </si>
  <si>
    <t>GQ</t>
  </si>
  <si>
    <t>GNQ</t>
  </si>
  <si>
    <t>ERITREA</t>
  </si>
  <si>
    <t>ER</t>
  </si>
  <si>
    <t>ERI</t>
  </si>
  <si>
    <t>ESTONIA</t>
  </si>
  <si>
    <t>EE</t>
  </si>
  <si>
    <t>EST</t>
  </si>
  <si>
    <t>ETHIOPIA</t>
  </si>
  <si>
    <t>ET</t>
  </si>
  <si>
    <t>ETH</t>
  </si>
  <si>
    <t>FALKLAND ISLAND</t>
  </si>
  <si>
    <t>FK</t>
  </si>
  <si>
    <t>FLK</t>
  </si>
  <si>
    <t>FAROE ISLANDS</t>
  </si>
  <si>
    <t>FO</t>
  </si>
  <si>
    <t>FRO</t>
  </si>
  <si>
    <t>FIJI</t>
  </si>
  <si>
    <t>FJ</t>
  </si>
  <si>
    <t>FJI</t>
  </si>
  <si>
    <t>FINLAND</t>
  </si>
  <si>
    <t>FI</t>
  </si>
  <si>
    <t>FIN</t>
  </si>
  <si>
    <t>FR POLYNESIA</t>
  </si>
  <si>
    <t>PF</t>
  </si>
  <si>
    <t>PYF</t>
  </si>
  <si>
    <t>FR S TERRIT</t>
  </si>
  <si>
    <t>TF</t>
  </si>
  <si>
    <t>ATF</t>
  </si>
  <si>
    <t>FRANCE</t>
  </si>
  <si>
    <t>FR</t>
  </si>
  <si>
    <t>FRA</t>
  </si>
  <si>
    <t>FRENCH GUIANA</t>
  </si>
  <si>
    <t>GF</t>
  </si>
  <si>
    <t>GUF</t>
  </si>
  <si>
    <t>GABON</t>
  </si>
  <si>
    <t>GA</t>
  </si>
  <si>
    <t>GAB</t>
  </si>
  <si>
    <t>GAMBIA</t>
  </si>
  <si>
    <t>GM</t>
  </si>
  <si>
    <t>GMB</t>
  </si>
  <si>
    <t>GEORGIA</t>
  </si>
  <si>
    <t>GE</t>
  </si>
  <si>
    <t>GEO</t>
  </si>
  <si>
    <t>GERMANY</t>
  </si>
  <si>
    <t>DE</t>
  </si>
  <si>
    <t>DEU</t>
  </si>
  <si>
    <t>GHANA</t>
  </si>
  <si>
    <t>GH</t>
  </si>
  <si>
    <t>GHA</t>
  </si>
  <si>
    <t>GIBRALTAR</t>
  </si>
  <si>
    <t>GI</t>
  </si>
  <si>
    <t>GIB</t>
  </si>
  <si>
    <t>GREECE</t>
  </si>
  <si>
    <t>GR</t>
  </si>
  <si>
    <t>GRC</t>
  </si>
  <si>
    <t>GREENLAND</t>
  </si>
  <si>
    <t>GL</t>
  </si>
  <si>
    <t>GRL</t>
  </si>
  <si>
    <t>GRENADA</t>
  </si>
  <si>
    <t>GD</t>
  </si>
  <si>
    <t>GRD</t>
  </si>
  <si>
    <t>GUADELOUPE</t>
  </si>
  <si>
    <t>GP</t>
  </si>
  <si>
    <t>GLP</t>
  </si>
  <si>
    <t>GUAM</t>
  </si>
  <si>
    <t>GU</t>
  </si>
  <si>
    <t>GUM</t>
  </si>
  <si>
    <t>GUATEMALA</t>
  </si>
  <si>
    <t>GT</t>
  </si>
  <si>
    <t>GTM</t>
  </si>
  <si>
    <t>GUERNSEY</t>
  </si>
  <si>
    <t>GG</t>
  </si>
  <si>
    <t>GUINEA</t>
  </si>
  <si>
    <t>GN</t>
  </si>
  <si>
    <t>GIN</t>
  </si>
  <si>
    <t>GUINEABISSAU</t>
  </si>
  <si>
    <t>GW</t>
  </si>
  <si>
    <t>GNB</t>
  </si>
  <si>
    <t>GUYANA</t>
  </si>
  <si>
    <t>GY</t>
  </si>
  <si>
    <t>GUY</t>
  </si>
  <si>
    <t>HAITI</t>
  </si>
  <si>
    <t>HT</t>
  </si>
  <si>
    <t>HTI</t>
  </si>
  <si>
    <t>HEARD AND MCDONALD</t>
  </si>
  <si>
    <t>HM</t>
  </si>
  <si>
    <t>HMD</t>
  </si>
  <si>
    <t>HONDURAS</t>
  </si>
  <si>
    <t>HN</t>
  </si>
  <si>
    <t>HND</t>
  </si>
  <si>
    <t>HONG KONG</t>
  </si>
  <si>
    <t>HK</t>
  </si>
  <si>
    <t>HKG</t>
  </si>
  <si>
    <t>HUNGARY</t>
  </si>
  <si>
    <t>HU</t>
  </si>
  <si>
    <t>HUN</t>
  </si>
  <si>
    <t>ICELAND</t>
  </si>
  <si>
    <t>IS</t>
  </si>
  <si>
    <t>ISL</t>
  </si>
  <si>
    <t>INDONESIA</t>
  </si>
  <si>
    <t>ID</t>
  </si>
  <si>
    <t>IDN</t>
  </si>
  <si>
    <t>INVALID</t>
  </si>
  <si>
    <t>ZY</t>
  </si>
  <si>
    <t>ZYL</t>
  </si>
  <si>
    <t>IRAN</t>
  </si>
  <si>
    <t>IR</t>
  </si>
  <si>
    <t>IRN</t>
  </si>
  <si>
    <t>IRAQ</t>
  </si>
  <si>
    <t>IQ</t>
  </si>
  <si>
    <t>IRQ</t>
  </si>
  <si>
    <t>IRELAND</t>
  </si>
  <si>
    <t>IE</t>
  </si>
  <si>
    <t>IRL</t>
  </si>
  <si>
    <t>ISLE OF MAN</t>
  </si>
  <si>
    <t>IM</t>
  </si>
  <si>
    <t>IMN</t>
  </si>
  <si>
    <t>ISRAEL</t>
  </si>
  <si>
    <t>IL</t>
  </si>
  <si>
    <t>ISR</t>
  </si>
  <si>
    <t>ITALY</t>
  </si>
  <si>
    <t>IT</t>
  </si>
  <si>
    <t>ITA</t>
  </si>
  <si>
    <t>JAMAICA</t>
  </si>
  <si>
    <t>JM</t>
  </si>
  <si>
    <t>JAM</t>
  </si>
  <si>
    <t>JAPAN</t>
  </si>
  <si>
    <t>JP</t>
  </si>
  <si>
    <t>JPN</t>
  </si>
  <si>
    <t>JERSEY</t>
  </si>
  <si>
    <t>JE</t>
  </si>
  <si>
    <t>JEY</t>
  </si>
  <si>
    <t>JORDAN</t>
  </si>
  <si>
    <t>JO</t>
  </si>
  <si>
    <t>JOR</t>
  </si>
  <si>
    <t>KAZAKSTAN</t>
  </si>
  <si>
    <t>KZ</t>
  </si>
  <si>
    <t>KAZ</t>
  </si>
  <si>
    <t>KENYA</t>
  </si>
  <si>
    <t>KE</t>
  </si>
  <si>
    <t>KEN</t>
  </si>
  <si>
    <t>KIRIBATI</t>
  </si>
  <si>
    <t>KI</t>
  </si>
  <si>
    <t>KIR</t>
  </si>
  <si>
    <t>KOREA</t>
  </si>
  <si>
    <t>KP</t>
  </si>
  <si>
    <t>KOR</t>
  </si>
  <si>
    <t>KOREA REP OF</t>
  </si>
  <si>
    <t>KR</t>
  </si>
  <si>
    <t>PRK</t>
  </si>
  <si>
    <t>KOSOVO</t>
  </si>
  <si>
    <t>KV</t>
  </si>
  <si>
    <t>XK</t>
  </si>
  <si>
    <t>XKX</t>
  </si>
  <si>
    <t>KUWAIT</t>
  </si>
  <si>
    <t>KW</t>
  </si>
  <si>
    <t>KWT</t>
  </si>
  <si>
    <t>KYRGYZSTAN</t>
  </si>
  <si>
    <t>KG</t>
  </si>
  <si>
    <t>KGZ</t>
  </si>
  <si>
    <t>LAO</t>
  </si>
  <si>
    <t>LA</t>
  </si>
  <si>
    <t>LATVIA</t>
  </si>
  <si>
    <t>LV</t>
  </si>
  <si>
    <t>LVA</t>
  </si>
  <si>
    <t>LEBANON</t>
  </si>
  <si>
    <t>LB</t>
  </si>
  <si>
    <t>LBN</t>
  </si>
  <si>
    <t>LESOTHO</t>
  </si>
  <si>
    <t>LS</t>
  </si>
  <si>
    <t>LSO</t>
  </si>
  <si>
    <t>LIBERIA</t>
  </si>
  <si>
    <t>LR</t>
  </si>
  <si>
    <t>LBR</t>
  </si>
  <si>
    <t>LIBYA</t>
  </si>
  <si>
    <t>LY</t>
  </si>
  <si>
    <t>LBY</t>
  </si>
  <si>
    <t>LIECHTENSTEIN</t>
  </si>
  <si>
    <t>LI</t>
  </si>
  <si>
    <t>LIE</t>
  </si>
  <si>
    <t>LITHUANIA</t>
  </si>
  <si>
    <t>LT</t>
  </si>
  <si>
    <t>LTU</t>
  </si>
  <si>
    <t>LUXEMBOURG</t>
  </si>
  <si>
    <t>LU</t>
  </si>
  <si>
    <t>LUX</t>
  </si>
  <si>
    <t>MACAU</t>
  </si>
  <si>
    <t>MO</t>
  </si>
  <si>
    <t>MAC</t>
  </si>
  <si>
    <t>MACEDONIA</t>
  </si>
  <si>
    <t>MK</t>
  </si>
  <si>
    <t>MKD</t>
  </si>
  <si>
    <t>MADAGASCAR</t>
  </si>
  <si>
    <t>MG</t>
  </si>
  <si>
    <t>MDG</t>
  </si>
  <si>
    <t>MALAWI</t>
  </si>
  <si>
    <t>MW</t>
  </si>
  <si>
    <t>MWI</t>
  </si>
  <si>
    <t>MALAYSIA</t>
  </si>
  <si>
    <t>MY</t>
  </si>
  <si>
    <t>MYS</t>
  </si>
  <si>
    <t>MALDIVES</t>
  </si>
  <si>
    <t>MV</t>
  </si>
  <si>
    <t>MDV</t>
  </si>
  <si>
    <t>MALI</t>
  </si>
  <si>
    <t>ML</t>
  </si>
  <si>
    <t>MLI</t>
  </si>
  <si>
    <t>MALTA</t>
  </si>
  <si>
    <t>MT</t>
  </si>
  <si>
    <t>MLT</t>
  </si>
  <si>
    <t>MARSHALL IS</t>
  </si>
  <si>
    <t>MH</t>
  </si>
  <si>
    <t>MHL</t>
  </si>
  <si>
    <t>MARTINIQUE</t>
  </si>
  <si>
    <t>MQ</t>
  </si>
  <si>
    <t>MTQ</t>
  </si>
  <si>
    <t>MAURITANIA</t>
  </si>
  <si>
    <t>MR</t>
  </si>
  <si>
    <t>MRT</t>
  </si>
  <si>
    <t>MAURITIUS</t>
  </si>
  <si>
    <t>MU</t>
  </si>
  <si>
    <t>MUS</t>
  </si>
  <si>
    <t>MAYOTTE</t>
  </si>
  <si>
    <t>YT</t>
  </si>
  <si>
    <t>MYT</t>
  </si>
  <si>
    <t>MEXICO</t>
  </si>
  <si>
    <t>MX</t>
  </si>
  <si>
    <t>MEX</t>
  </si>
  <si>
    <t>MICRONESIA</t>
  </si>
  <si>
    <t>FM</t>
  </si>
  <si>
    <t>FSM</t>
  </si>
  <si>
    <t>MOLDOVA REP OF</t>
  </si>
  <si>
    <t>MD</t>
  </si>
  <si>
    <t>MDA</t>
  </si>
  <si>
    <t>MONACO</t>
  </si>
  <si>
    <t>MC</t>
  </si>
  <si>
    <t>MCO</t>
  </si>
  <si>
    <t>MONGOLIA</t>
  </si>
  <si>
    <t>MN</t>
  </si>
  <si>
    <t>MNG</t>
  </si>
  <si>
    <t>MONSERRAT</t>
  </si>
  <si>
    <t>MS</t>
  </si>
  <si>
    <t>MSR</t>
  </si>
  <si>
    <t>MONTENEGRO</t>
  </si>
  <si>
    <t>ME</t>
  </si>
  <si>
    <t>MNE</t>
  </si>
  <si>
    <t>MOROCCO</t>
  </si>
  <si>
    <t>MA</t>
  </si>
  <si>
    <t>MAR</t>
  </si>
  <si>
    <t>MOZAMBIQUE</t>
  </si>
  <si>
    <t>MZ</t>
  </si>
  <si>
    <t>MOZ</t>
  </si>
  <si>
    <t>MYANMAR</t>
  </si>
  <si>
    <t>MM</t>
  </si>
  <si>
    <t>MMR</t>
  </si>
  <si>
    <t>N MARIANA IS</t>
  </si>
  <si>
    <t>MP</t>
  </si>
  <si>
    <t>MNP</t>
  </si>
  <si>
    <t>NAMIBIA</t>
  </si>
  <si>
    <t>NA</t>
  </si>
  <si>
    <t>NAM</t>
  </si>
  <si>
    <t>NAURU</t>
  </si>
  <si>
    <t>NR</t>
  </si>
  <si>
    <t>NRU</t>
  </si>
  <si>
    <t>NEPAL</t>
  </si>
  <si>
    <t>NP</t>
  </si>
  <si>
    <t>NPL</t>
  </si>
  <si>
    <t>NETHERLANDS</t>
  </si>
  <si>
    <t>NL</t>
  </si>
  <si>
    <t>NLD</t>
  </si>
  <si>
    <t>NETHERLANDS ANTILLES</t>
  </si>
  <si>
    <t>AN</t>
  </si>
  <si>
    <t>NEW CALEDONIA</t>
  </si>
  <si>
    <t>NC</t>
  </si>
  <si>
    <t>NCL</t>
  </si>
  <si>
    <t>NICARAGUA</t>
  </si>
  <si>
    <t>NI</t>
  </si>
  <si>
    <t>NIC</t>
  </si>
  <si>
    <t>NIGER</t>
  </si>
  <si>
    <t>NE</t>
  </si>
  <si>
    <t>NER</t>
  </si>
  <si>
    <t>NIGERIA</t>
  </si>
  <si>
    <t>NG</t>
  </si>
  <si>
    <t>NGA</t>
  </si>
  <si>
    <t>NIUE</t>
  </si>
  <si>
    <t>NU</t>
  </si>
  <si>
    <t>NIU</t>
  </si>
  <si>
    <t>NORFOLK ISLAND</t>
  </si>
  <si>
    <t>NF</t>
  </si>
  <si>
    <t>NFK</t>
  </si>
  <si>
    <t>NORWAY</t>
  </si>
  <si>
    <t>NO</t>
  </si>
  <si>
    <t>NOR</t>
  </si>
  <si>
    <t>NZ</t>
  </si>
  <si>
    <t>NZL</t>
  </si>
  <si>
    <t>OMAN</t>
  </si>
  <si>
    <t>OM</t>
  </si>
  <si>
    <t>OMN</t>
  </si>
  <si>
    <t>PAKISTAN</t>
  </si>
  <si>
    <t>PK</t>
  </si>
  <si>
    <t>PAK</t>
  </si>
  <si>
    <t>PALAU</t>
  </si>
  <si>
    <t>PW</t>
  </si>
  <si>
    <t>PLW</t>
  </si>
  <si>
    <t>PANAMA</t>
  </si>
  <si>
    <t>PA</t>
  </si>
  <si>
    <t>PAN</t>
  </si>
  <si>
    <t>PAP NEW GUINEA</t>
  </si>
  <si>
    <t>PG</t>
  </si>
  <si>
    <t>PNG</t>
  </si>
  <si>
    <t>PARAGUAY</t>
  </si>
  <si>
    <t>PY</t>
  </si>
  <si>
    <t>PRY</t>
  </si>
  <si>
    <t>PERU</t>
  </si>
  <si>
    <t>PE</t>
  </si>
  <si>
    <t>PER</t>
  </si>
  <si>
    <t>PHILIPPINES</t>
  </si>
  <si>
    <t>PH</t>
  </si>
  <si>
    <t>PHL</t>
  </si>
  <si>
    <t>PITCAIRN</t>
  </si>
  <si>
    <t>PN</t>
  </si>
  <si>
    <t>PCN</t>
  </si>
  <si>
    <t>POLAND</t>
  </si>
  <si>
    <t>PL</t>
  </si>
  <si>
    <t>POL</t>
  </si>
  <si>
    <t>PORTUGAL</t>
  </si>
  <si>
    <t>PT</t>
  </si>
  <si>
    <t>PRT</t>
  </si>
  <si>
    <t>PUERTO RICO</t>
  </si>
  <si>
    <t>PR</t>
  </si>
  <si>
    <t>PRI</t>
  </si>
  <si>
    <t>QATAR</t>
  </si>
  <si>
    <t>QA</t>
  </si>
  <si>
    <t>QAT</t>
  </si>
  <si>
    <t>REUNION</t>
  </si>
  <si>
    <t>RE</t>
  </si>
  <si>
    <t>REU</t>
  </si>
  <si>
    <t>ROMANIA</t>
  </si>
  <si>
    <t>RO</t>
  </si>
  <si>
    <t>ROU</t>
  </si>
  <si>
    <t>RUSSIAN FED</t>
  </si>
  <si>
    <t>RU</t>
  </si>
  <si>
    <t>RUS</t>
  </si>
  <si>
    <t>RWANDA</t>
  </si>
  <si>
    <t>RW</t>
  </si>
  <si>
    <t>RWA</t>
  </si>
  <si>
    <t>S GEORGIA</t>
  </si>
  <si>
    <t>GS</t>
  </si>
  <si>
    <t>SGS</t>
  </si>
  <si>
    <t>SAINT BARTHLEMY</t>
  </si>
  <si>
    <t>BL</t>
  </si>
  <si>
    <t>SAINT MARTIN FRENCH PART</t>
  </si>
  <si>
    <t>MF</t>
  </si>
  <si>
    <t>MAF</t>
  </si>
  <si>
    <t>SAMOA</t>
  </si>
  <si>
    <t>WS</t>
  </si>
  <si>
    <t>WSM</t>
  </si>
  <si>
    <t>SAN MARINO</t>
  </si>
  <si>
    <t>SM</t>
  </si>
  <si>
    <t>SMR</t>
  </si>
  <si>
    <t>SAO TOME</t>
  </si>
  <si>
    <t>ST</t>
  </si>
  <si>
    <t>STP</t>
  </si>
  <si>
    <t>SAUDI ARABIA</t>
  </si>
  <si>
    <t>SA</t>
  </si>
  <si>
    <t>SAU</t>
  </si>
  <si>
    <t>SENEGAL</t>
  </si>
  <si>
    <t>SN</t>
  </si>
  <si>
    <t>SEN</t>
  </si>
  <si>
    <t>SERBIA</t>
  </si>
  <si>
    <t>RS</t>
  </si>
  <si>
    <t>SRB</t>
  </si>
  <si>
    <t>SEYCHELLES</t>
  </si>
  <si>
    <t>SC</t>
  </si>
  <si>
    <t>SYC</t>
  </si>
  <si>
    <t>SIERRA LEONE</t>
  </si>
  <si>
    <t>SL</t>
  </si>
  <si>
    <t>SLE</t>
  </si>
  <si>
    <t>SINGAPORE</t>
  </si>
  <si>
    <t>SG</t>
  </si>
  <si>
    <t>SGP</t>
  </si>
  <si>
    <t>SINT MAARTEN DUTCH PART</t>
  </si>
  <si>
    <t>SX</t>
  </si>
  <si>
    <t>SXM</t>
  </si>
  <si>
    <t>SLOVAKIA</t>
  </si>
  <si>
    <t>SK</t>
  </si>
  <si>
    <t>SVK</t>
  </si>
  <si>
    <t>SLOVENIA</t>
  </si>
  <si>
    <t>SI</t>
  </si>
  <si>
    <t>SVN</t>
  </si>
  <si>
    <t>SOLOMON ISLANDS</t>
  </si>
  <si>
    <t>SB</t>
  </si>
  <si>
    <t>SLB</t>
  </si>
  <si>
    <t>SOMALIA</t>
  </si>
  <si>
    <t>SO</t>
  </si>
  <si>
    <t>SOM</t>
  </si>
  <si>
    <t>SOUTH AFRICA</t>
  </si>
  <si>
    <t>ZA</t>
  </si>
  <si>
    <t>ZAF</t>
  </si>
  <si>
    <t>SOUTH SUDAN</t>
  </si>
  <si>
    <t>SS</t>
  </si>
  <si>
    <t>SSD</t>
  </si>
  <si>
    <t>SPAIN</t>
  </si>
  <si>
    <t>ES</t>
  </si>
  <si>
    <t>ESP</t>
  </si>
  <si>
    <t>SRI LANKA</t>
  </si>
  <si>
    <t>LK</t>
  </si>
  <si>
    <t>LKA</t>
  </si>
  <si>
    <t>ST HELENA</t>
  </si>
  <si>
    <t>SH</t>
  </si>
  <si>
    <t>SHN</t>
  </si>
  <si>
    <t>ST KITTS NEVIS</t>
  </si>
  <si>
    <t>KN</t>
  </si>
  <si>
    <t>KNA</t>
  </si>
  <si>
    <t>ST LUCIA</t>
  </si>
  <si>
    <t>LC</t>
  </si>
  <si>
    <t>LCA</t>
  </si>
  <si>
    <t>ST PIERRE</t>
  </si>
  <si>
    <t>PM</t>
  </si>
  <si>
    <t>SPM</t>
  </si>
  <si>
    <t>ST VINCENT</t>
  </si>
  <si>
    <t>VC</t>
  </si>
  <si>
    <t>VCT</t>
  </si>
  <si>
    <t>STATE OF PALESTINE</t>
  </si>
  <si>
    <t>PS</t>
  </si>
  <si>
    <t>PSE</t>
  </si>
  <si>
    <t>SUDAN</t>
  </si>
  <si>
    <t>SD</t>
  </si>
  <si>
    <t>SDN</t>
  </si>
  <si>
    <t>SURINAME</t>
  </si>
  <si>
    <t>SR</t>
  </si>
  <si>
    <t>SUR</t>
  </si>
  <si>
    <t>SVALBARD</t>
  </si>
  <si>
    <t>SJ</t>
  </si>
  <si>
    <t>SJM</t>
  </si>
  <si>
    <t>SWAZILAND</t>
  </si>
  <si>
    <t>SZ</t>
  </si>
  <si>
    <t>SWZ</t>
  </si>
  <si>
    <t>SWEDEN</t>
  </si>
  <si>
    <t>SE</t>
  </si>
  <si>
    <t>SWE</t>
  </si>
  <si>
    <t>SWITZERLAND</t>
  </si>
  <si>
    <t>CH</t>
  </si>
  <si>
    <t>CHE</t>
  </si>
  <si>
    <t>SYRIA</t>
  </si>
  <si>
    <t>SY</t>
  </si>
  <si>
    <t>SYR</t>
  </si>
  <si>
    <t>TAIWAN</t>
  </si>
  <si>
    <t>TW</t>
  </si>
  <si>
    <t>TWN</t>
  </si>
  <si>
    <t>TAJIKISTAN</t>
  </si>
  <si>
    <t>TJ</t>
  </si>
  <si>
    <t>TJK</t>
  </si>
  <si>
    <t>TANZANIA</t>
  </si>
  <si>
    <t>TZ</t>
  </si>
  <si>
    <t>TZA</t>
  </si>
  <si>
    <t>THAILAND</t>
  </si>
  <si>
    <t>TH</t>
  </si>
  <si>
    <t>THA</t>
  </si>
  <si>
    <t>TIMORLESTE</t>
  </si>
  <si>
    <t>TL</t>
  </si>
  <si>
    <t>TLS</t>
  </si>
  <si>
    <t>TOGO</t>
  </si>
  <si>
    <t>TG</t>
  </si>
  <si>
    <t>TGO</t>
  </si>
  <si>
    <t>TOKELAU</t>
  </si>
  <si>
    <t>TK</t>
  </si>
  <si>
    <t>TKL</t>
  </si>
  <si>
    <t>TONGA</t>
  </si>
  <si>
    <t>TO</t>
  </si>
  <si>
    <t>TON</t>
  </si>
  <si>
    <t>TRINIDAD TOBAGO</t>
  </si>
  <si>
    <t>TT</t>
  </si>
  <si>
    <t>TTO</t>
  </si>
  <si>
    <t>TUNISIA</t>
  </si>
  <si>
    <t>TN</t>
  </si>
  <si>
    <t>TUN</t>
  </si>
  <si>
    <t>TURKEY</t>
  </si>
  <si>
    <t>TR</t>
  </si>
  <si>
    <t>TUR</t>
  </si>
  <si>
    <t>TURKMENISTAN</t>
  </si>
  <si>
    <t>TM</t>
  </si>
  <si>
    <t>TKM</t>
  </si>
  <si>
    <t>TURKS  CAICOS</t>
  </si>
  <si>
    <t>TC</t>
  </si>
  <si>
    <t>TCA</t>
  </si>
  <si>
    <t>TUVALU</t>
  </si>
  <si>
    <t>TV</t>
  </si>
  <si>
    <t>TUV</t>
  </si>
  <si>
    <t>UAE</t>
  </si>
  <si>
    <t>AE</t>
  </si>
  <si>
    <t>ARE</t>
  </si>
  <si>
    <t>UGANDA</t>
  </si>
  <si>
    <t>UG</t>
  </si>
  <si>
    <t>UGA</t>
  </si>
  <si>
    <t>UKRAINE</t>
  </si>
  <si>
    <t>UA</t>
  </si>
  <si>
    <t>UKR</t>
  </si>
  <si>
    <t>UNITED KINGDOM</t>
  </si>
  <si>
    <t>GB</t>
  </si>
  <si>
    <t>GBR</t>
  </si>
  <si>
    <t>UNKNOWN COUNTRY</t>
  </si>
  <si>
    <t>ZZ</t>
  </si>
  <si>
    <t>URUGUAY</t>
  </si>
  <si>
    <t>UY</t>
  </si>
  <si>
    <t>URY</t>
  </si>
  <si>
    <t>US MINOR OUT ISLAND</t>
  </si>
  <si>
    <t>UM</t>
  </si>
  <si>
    <t>UMI</t>
  </si>
  <si>
    <t>USA</t>
  </si>
  <si>
    <t>US</t>
  </si>
  <si>
    <t>UZBEKISTAN</t>
  </si>
  <si>
    <t>UZ</t>
  </si>
  <si>
    <t>UZB</t>
  </si>
  <si>
    <t>VANUATU</t>
  </si>
  <si>
    <t>VU</t>
  </si>
  <si>
    <t>VUT</t>
  </si>
  <si>
    <t>VATICAN</t>
  </si>
  <si>
    <t>VA</t>
  </si>
  <si>
    <t>VENEZUALA</t>
  </si>
  <si>
    <t>VE</t>
  </si>
  <si>
    <t>VEN</t>
  </si>
  <si>
    <t>VIETNAM</t>
  </si>
  <si>
    <t>VN</t>
  </si>
  <si>
    <t>VNM</t>
  </si>
  <si>
    <t>VIRGIN ISLANDSBRITISH</t>
  </si>
  <si>
    <t>VG</t>
  </si>
  <si>
    <t>VGB</t>
  </si>
  <si>
    <t>VIRGIN ISLANDSUS</t>
  </si>
  <si>
    <t>VI</t>
  </si>
  <si>
    <t>VIR</t>
  </si>
  <si>
    <t>WALLIS FUTUNA</t>
  </si>
  <si>
    <t>WF</t>
  </si>
  <si>
    <t>WLF</t>
  </si>
  <si>
    <t>WESTERN SAHARA</t>
  </si>
  <si>
    <t>EH</t>
  </si>
  <si>
    <t>ESH</t>
  </si>
  <si>
    <t>YEMEN</t>
  </si>
  <si>
    <t>YE</t>
  </si>
  <si>
    <t>YEM</t>
  </si>
  <si>
    <t>ZAMBIA</t>
  </si>
  <si>
    <t>ZM</t>
  </si>
  <si>
    <t>ZMB</t>
  </si>
  <si>
    <t>ZIMBABWE</t>
  </si>
  <si>
    <t>ZW</t>
  </si>
  <si>
    <t>ZWB</t>
  </si>
  <si>
    <t>Customer / Counterparty</t>
  </si>
  <si>
    <t>Type of Search</t>
  </si>
  <si>
    <t>Raw URL</t>
  </si>
  <si>
    <t>Naming Convention</t>
  </si>
  <si>
    <t>Open URL</t>
  </si>
  <si>
    <t>Google name</t>
  </si>
  <si>
    <t>Link</t>
  </si>
  <si>
    <t>Address</t>
  </si>
  <si>
    <t>Name + Address</t>
  </si>
  <si>
    <t>Negative News, page 1</t>
  </si>
  <si>
    <t>Negative News, page 2</t>
  </si>
  <si>
    <t>Flow_1</t>
  </si>
  <si>
    <t>ms-powerautomate:/console/flow/run?workflowid=2e5455ef-1291-4211-aeb2-9558d2c49e6d</t>
  </si>
  <si>
    <t>Flow_Merge</t>
  </si>
  <si>
    <t>ms-powerautomate:/console/flow/run?environmentid=Default-9e17c3e3-ba51-4656-9767-5ba4c8c34f4b&amp;workflowid=f6eccbfd-02ab-4ac1-a749-9cb8dd3b8201&amp;source=Other</t>
  </si>
  <si>
    <t>Transaction ID</t>
  </si>
  <si>
    <t>Velocity Alert ID</t>
  </si>
  <si>
    <t>Alert Information</t>
  </si>
  <si>
    <t>Alert Type</t>
  </si>
  <si>
    <t>Is Alerted Transaction?</t>
  </si>
  <si>
    <t>Account No</t>
  </si>
  <si>
    <t>Ref No</t>
  </si>
  <si>
    <t>Transaction Code</t>
  </si>
  <si>
    <t>Transaction Code Description</t>
  </si>
  <si>
    <t>Currency</t>
  </si>
  <si>
    <t>Transaction Amount</t>
  </si>
  <si>
    <t>Transaction Date</t>
  </si>
  <si>
    <t>Dr Cr</t>
  </si>
  <si>
    <t>Beneficiary ID</t>
  </si>
  <si>
    <t>Beneficiary Name</t>
  </si>
  <si>
    <t>Beneficiary First Name</t>
  </si>
  <si>
    <t>Beneficiary Last Name</t>
  </si>
  <si>
    <t>Beneficiary Middle Name</t>
  </si>
  <si>
    <t>Beneficiary Address</t>
  </si>
  <si>
    <t>Beneficiary Country</t>
  </si>
  <si>
    <t>Beneficiary Type</t>
  </si>
  <si>
    <t>Beneficiary Corporation Or Individual Flag</t>
  </si>
  <si>
    <t>Originator ID</t>
  </si>
  <si>
    <t>Originator Name</t>
  </si>
  <si>
    <t>Originator First Name</t>
  </si>
  <si>
    <t>Originator Last Name</t>
  </si>
  <si>
    <t>Originator Middle Name</t>
  </si>
  <si>
    <t>Originator Address</t>
  </si>
  <si>
    <t>Originator Country</t>
  </si>
  <si>
    <t>Originator Corporation Or Individual Flag</t>
  </si>
  <si>
    <t>Counterparty</t>
  </si>
  <si>
    <t>ALERT2369909</t>
  </si>
  <si>
    <t>Yes</t>
  </si>
  <si>
    <t>USD</t>
  </si>
  <si>
    <t/>
  </si>
  <si>
    <t>CreditParty</t>
  </si>
  <si>
    <t>Date &amp; Time</t>
  </si>
  <si>
    <t>Analyst ID</t>
  </si>
  <si>
    <t>ECM Case ID</t>
  </si>
  <si>
    <t>Total Entities</t>
  </si>
  <si>
    <t>Total Searches</t>
  </si>
  <si>
    <t>Time Taken</t>
  </si>
  <si>
    <t>Tool Version</t>
  </si>
  <si>
    <t>Error Diagnostic</t>
  </si>
  <si>
    <t>CAPTCHA Flagged</t>
  </si>
  <si>
    <t>ssaha</t>
  </si>
  <si>
    <t>1 minute(s) and 59 second(s)</t>
  </si>
  <si>
    <t>2.4.1</t>
  </si>
  <si>
    <t>1 minute(s) and 9 second(s)</t>
  </si>
  <si>
    <t>4 minute(s) and 33 second(s)</t>
  </si>
  <si>
    <t>2.4.4</t>
  </si>
  <si>
    <t>5 minute(s) and 45 second(s)</t>
  </si>
  <si>
    <t>2.4.5</t>
  </si>
  <si>
    <t>6 minute(s) and 2 second(s)</t>
  </si>
  <si>
    <t>4 minute(s) and 16 second(s)</t>
  </si>
  <si>
    <t>56 second(s)</t>
  </si>
  <si>
    <t>48 second(s)</t>
  </si>
  <si>
    <t>1 minute(s) and 0 second(s)</t>
  </si>
  <si>
    <t>4 minute(s) and 29 second(s)</t>
  </si>
  <si>
    <t>2.5.0</t>
  </si>
  <si>
    <t>3 minute(s) and 11 second(s)</t>
  </si>
  <si>
    <t>4 minute(s) and 34 second(s)</t>
  </si>
  <si>
    <t>2.5.2</t>
  </si>
  <si>
    <t>6 minute(s) and 24 second(s)</t>
  </si>
  <si>
    <t>2.5.3</t>
  </si>
  <si>
    <t>6 minute(s) and 20 second(s)</t>
  </si>
  <si>
    <t>4 minute(s) and 44 second(s)</t>
  </si>
  <si>
    <t>2.5.5</t>
  </si>
  <si>
    <t>4 minute(s) and 47 second(s)</t>
  </si>
  <si>
    <t>2.5.6</t>
  </si>
  <si>
    <t>6 minute(s) and 58 second(s)</t>
  </si>
  <si>
    <t>2.5.7</t>
  </si>
  <si>
    <t>4 minute(s) and 20 second(s)</t>
  </si>
  <si>
    <t>2.5.9</t>
  </si>
  <si>
    <t>5 minute(s) and 24 second(s)</t>
  </si>
  <si>
    <t>3 minute(s) and 50 second(s)</t>
  </si>
  <si>
    <t>2.5.10</t>
  </si>
  <si>
    <t>2 minute(s) and 7 second(s)</t>
  </si>
  <si>
    <t>2.5.11</t>
  </si>
  <si>
    <t>3 minute(s) and 34 second(s)</t>
  </si>
  <si>
    <t>2.5.12</t>
  </si>
  <si>
    <t>49 second(s)</t>
  </si>
  <si>
    <t>4 minute(s) and 45 second(s)</t>
  </si>
  <si>
    <t>3 minute(s) and 10 second(s)</t>
  </si>
  <si>
    <t>1 minute(s) and 20 second(s)</t>
  </si>
  <si>
    <t>1 minute(s) and 26 second(s)</t>
  </si>
  <si>
    <t>2 minute(s) and 59 second(s)</t>
  </si>
  <si>
    <t>3 minute(s) and 56 second(s)</t>
  </si>
  <si>
    <t>3 minute(s) and 49 second(s)</t>
  </si>
  <si>
    <t>1 minute(s) and 49 second(s)</t>
  </si>
  <si>
    <t>3 minute(s) and 29 second(s)</t>
  </si>
  <si>
    <t>51 second(s)</t>
  </si>
  <si>
    <t>1 minute(s) and 39 second(s)</t>
  </si>
  <si>
    <t>1 minute(s) and 22 second(s)</t>
  </si>
  <si>
    <t>1 minute(s) and 10 second(s)</t>
  </si>
  <si>
    <t>1 minute(s) and 35 second(s)</t>
  </si>
  <si>
    <t>3 minute(s) and 4 second(s)</t>
  </si>
  <si>
    <t>1 minute(s) and 52 second(s)</t>
  </si>
  <si>
    <t>2 minute(s) and 58 second(s)</t>
  </si>
  <si>
    <t>3 minute(s) and 0 second(s)</t>
  </si>
  <si>
    <t>6 minute(s) and 8 second(s)</t>
  </si>
  <si>
    <t>8 minute(s) and 48 second(s)</t>
  </si>
  <si>
    <t>1 minute(s) and 38 second(s)</t>
  </si>
  <si>
    <t>5 minute(s) and 10 second(s)</t>
  </si>
  <si>
    <t>5 minute(s) and 21 second(s)</t>
  </si>
  <si>
    <t>1 minute(s) and 7 second(s)</t>
  </si>
  <si>
    <t>1 minute(s) and 46 second(s)</t>
  </si>
  <si>
    <t>3 minute(s) and 45 second(s)</t>
  </si>
  <si>
    <t>2 minute(s) and 19 second(s)</t>
  </si>
  <si>
    <t>4 minute(s) and 21 second(s)</t>
  </si>
  <si>
    <t>4 minute(s) and 10 second(s)</t>
  </si>
  <si>
    <t>ERROR</t>
  </si>
  <si>
    <t>Err 424: Object required [src: AML_Macro]</t>
  </si>
  <si>
    <t>5 minute(s) and 11 second(s)</t>
  </si>
  <si>
    <t>8 minute(s) and 46 second(s)</t>
  </si>
  <si>
    <t>2 minute(s) and 27 second(s)</t>
  </si>
  <si>
    <t>1 minute(s) and 24 second(s)</t>
  </si>
  <si>
    <t>1 minute(s) and 12 second(s)</t>
  </si>
  <si>
    <t>1 minute(s) and 28 second(s)</t>
  </si>
  <si>
    <t>4 minute(s) and 9 second(s)</t>
  </si>
  <si>
    <t>2 minute(s) and 55 second(s)</t>
  </si>
  <si>
    <t>1 minute(s) and 45 second(s)</t>
  </si>
  <si>
    <t>1 minute(s) and 14 second(s)</t>
  </si>
  <si>
    <t>2 minute(s) and 43 second(s)</t>
  </si>
  <si>
    <t>55 second(s)</t>
  </si>
  <si>
    <t>59 second(s)</t>
  </si>
  <si>
    <t>1 minute(s) and 36 second(s)</t>
  </si>
  <si>
    <t>53 second(s)</t>
  </si>
  <si>
    <t>1 minute(s) and 31 second(s)</t>
  </si>
  <si>
    <t>3 minute(s) and 17 second(s)</t>
  </si>
  <si>
    <t>1 minute(s) and 41 second(s)</t>
  </si>
  <si>
    <t>2 minute(s) and 24 second(s)</t>
  </si>
  <si>
    <t>Err -2147221080: Method 'Cells' of object '_Worksheet' failed [src: AML_Macro]</t>
  </si>
  <si>
    <t>2 minute(s) and 25 second(s)</t>
  </si>
  <si>
    <t>4 minute(s) and 25 second(s)</t>
  </si>
  <si>
    <t>1 minute(s) and 2 second(s)</t>
  </si>
  <si>
    <t>2 minute(s) and 34 second(s)</t>
  </si>
  <si>
    <t>1 minute(s) and 18 second(s)</t>
  </si>
  <si>
    <t>2 minute(s) and 26 second(s)</t>
  </si>
  <si>
    <t>2 minute(s) and 6 second(s)</t>
  </si>
  <si>
    <t>2 minute(s) and 17 second(s)</t>
  </si>
  <si>
    <t>2 minute(s) and 31 second(s)</t>
  </si>
  <si>
    <t>3 minute(s) and 39 second(s)</t>
  </si>
  <si>
    <t>3 minute(s) and 1 second(s)</t>
  </si>
  <si>
    <t>test</t>
  </si>
  <si>
    <t>43 second(s)</t>
  </si>
  <si>
    <t>6 minute(s) and 10 second(s)</t>
  </si>
  <si>
    <t>5 minute(s) and 39 second(s)</t>
  </si>
  <si>
    <t>2 minute(s) and 10 second(s)</t>
  </si>
  <si>
    <t>3 minute(s) and 33 second(s)</t>
  </si>
  <si>
    <t>2 minute(s) and 51 second(s)</t>
  </si>
  <si>
    <t>5 minute(s) and 19 second(s)</t>
  </si>
  <si>
    <t>1 minute(s) and 34 second(s)</t>
  </si>
  <si>
    <t>2 minute(s) and 20 second(s)</t>
  </si>
  <si>
    <t>2 minute(s) and 11 second(s)</t>
  </si>
  <si>
    <t>2 minute(s) and 46 second(s)</t>
  </si>
  <si>
    <t>3 minute(s) and 38 second(s)</t>
  </si>
  <si>
    <t>1 minute(s) and 15 second(s)</t>
  </si>
  <si>
    <t>1 minute(s) and 44 second(s)</t>
  </si>
  <si>
    <t>3 minute(s) and 37 second(s)</t>
  </si>
  <si>
    <t>5 minute(s) and 57 second(s)</t>
  </si>
  <si>
    <t>2 minute(s) and 33 second(s)</t>
  </si>
  <si>
    <t>2 minute(s) and 53 second(s)</t>
  </si>
  <si>
    <t>2 minute(s) and 28 second(s)</t>
  </si>
  <si>
    <t>2 minute(s) and 56 second(s)</t>
  </si>
  <si>
    <t>27 second(s)</t>
  </si>
  <si>
    <t>35 second(s)</t>
  </si>
  <si>
    <t>6 minute(s) and 13 second(s)</t>
  </si>
  <si>
    <t>4 minute(s) and 50 second(s)</t>
  </si>
  <si>
    <t>1 minute(s) and 53 second(s)</t>
  </si>
  <si>
    <t>4 minute(s) and 27 second(s)</t>
  </si>
  <si>
    <t>1 minute(s) and 47 second(s)</t>
  </si>
  <si>
    <t>5 minute(s) and 48 second(s)</t>
  </si>
  <si>
    <t>5 minute(s) and 26 second(s)</t>
  </si>
  <si>
    <t>4 minute(s) and 12 second(s)</t>
  </si>
  <si>
    <t>7 minute(s) and 18 second(s)</t>
  </si>
  <si>
    <t>8 minute(s) and 31 second(s)</t>
  </si>
  <si>
    <t>3 minute(s) and 40 second(s)</t>
  </si>
  <si>
    <t>6 minute(s) and 5 second(s)</t>
  </si>
  <si>
    <t>5 minute(s) and 17 second(s)</t>
  </si>
  <si>
    <t>5 minute(s) and 52 second(s)</t>
  </si>
  <si>
    <t>4 minute(s) and 17 second(s)</t>
  </si>
  <si>
    <t>3 minute(s) and 23 second(s)</t>
  </si>
  <si>
    <t>4 minute(s) and 30 second(s)</t>
  </si>
  <si>
    <t>3 minute(s) and 6 second(s)</t>
  </si>
  <si>
    <t>4 minute(s) and 31 second(s)</t>
  </si>
  <si>
    <t>3 minute(s) and 43 second(s)</t>
  </si>
  <si>
    <t>3 minute(s) and 42 second(s)</t>
  </si>
  <si>
    <t>1 minute(s) and 40 second(s)</t>
  </si>
  <si>
    <t>1 minute(s) and 23 second(s)</t>
  </si>
  <si>
    <t>39 second(s)</t>
  </si>
  <si>
    <t>1 minute(s) and 56 second(s)</t>
  </si>
  <si>
    <t>28 second(s)</t>
  </si>
  <si>
    <t>2.6.0</t>
  </si>
  <si>
    <t>16 minute(s) and 41 second(s)</t>
  </si>
  <si>
    <t>5 minute(s) and 28 second(s)</t>
  </si>
  <si>
    <t>33 second(s)</t>
  </si>
  <si>
    <t>1 minute(s) and 6 second(s)</t>
  </si>
  <si>
    <t>1 minute(s) and 3 second(s)</t>
  </si>
  <si>
    <t>1 minute(s) and 4 second(s)</t>
  </si>
  <si>
    <t>2 minute(s) and 12 second(s)</t>
  </si>
  <si>
    <t>1 minute(s) and 50 second(s)</t>
  </si>
  <si>
    <t>3 minute(s) and 12 second(s)</t>
  </si>
  <si>
    <t>3 minute(s) and 16 second(s)</t>
  </si>
  <si>
    <t>2 minute(s) and 45 second(s)</t>
  </si>
  <si>
    <t>Product</t>
  </si>
  <si>
    <t>Input_Combined</t>
  </si>
  <si>
    <t>Escalation - Scenarios</t>
  </si>
  <si>
    <t>Template Tag</t>
  </si>
  <si>
    <t>Excel Data/Formula</t>
  </si>
  <si>
    <t>Escalation</t>
  </si>
  <si>
    <t>Wise</t>
  </si>
  <si>
    <t>Escalation_Wise</t>
  </si>
  <si>
    <t>Options</t>
  </si>
  <si>
    <t>[Escalation Narrative]</t>
  </si>
  <si>
    <t>Fluz</t>
  </si>
  <si>
    <t>Escalation_Fluz</t>
  </si>
  <si>
    <t>GREYED OUT</t>
  </si>
  <si>
    <t>[MASTER_SHELL]</t>
  </si>
  <si>
    <t>Crypto</t>
  </si>
  <si>
    <t>Escalation_Crypto</t>
  </si>
  <si>
    <t>[Subject Name]</t>
  </si>
  <si>
    <t>Non-Escalation</t>
  </si>
  <si>
    <t>Closure</t>
  </si>
  <si>
    <t>Non-Escalation_Closure</t>
  </si>
  <si>
    <t>[ECM ID]</t>
  </si>
  <si>
    <t>Non-Escalation_Crypto Closure</t>
  </si>
  <si>
    <t>[Alert ID]</t>
  </si>
  <si>
    <t>[Location]</t>
  </si>
  <si>
    <t>Input Power Automate URL</t>
  </si>
  <si>
    <t>[Counterparties]</t>
  </si>
  <si>
    <t xml:space="preserve">Instructions: Analysts to only update 'Blue' Cells and use the action button per their requirements. 'Utility Tool: User Manual V1.0' to be used for further step-by-step instructions. </t>
  </si>
  <si>
    <t>Airwallex</t>
  </si>
  <si>
    <t>[Monthly Average]</t>
  </si>
  <si>
    <t>Common</t>
  </si>
  <si>
    <t>[Num Trans]</t>
  </si>
  <si>
    <t>[Total Amount]</t>
  </si>
  <si>
    <t>[Start Date]</t>
  </si>
  <si>
    <t>[End Date]</t>
  </si>
  <si>
    <t>[Account Numbers]</t>
  </si>
  <si>
    <t>[Program Description]</t>
  </si>
  <si>
    <t>[Program Name]</t>
  </si>
  <si>
    <t>[CP 1]</t>
  </si>
  <si>
    <t>[CP 2]</t>
  </si>
  <si>
    <t>[CP 3]</t>
  </si>
  <si>
    <t>[CP 4]</t>
  </si>
  <si>
    <t>[CP 5]</t>
  </si>
  <si>
    <t>[CP 6]</t>
  </si>
  <si>
    <t>[Rule Name]</t>
  </si>
  <si>
    <t>[Min Amount]</t>
  </si>
  <si>
    <t>[Max Amount]</t>
  </si>
  <si>
    <t>[Cr]</t>
  </si>
  <si>
    <t>[Dr]</t>
  </si>
  <si>
    <t>[Num Cr]</t>
  </si>
  <si>
    <t>[Num Dr]</t>
  </si>
  <si>
    <t>Rule Code Rule Name</t>
  </si>
  <si>
    <t>Rule Code</t>
  </si>
  <si>
    <t>Rule Name</t>
  </si>
  <si>
    <t>RULE02 Large value card transactions for purchase</t>
  </si>
  <si>
    <t>RULE03 Large value cash withdrawals against card - Weekly</t>
  </si>
  <si>
    <t>RULE03A Large value cash withdrawals against card - Monthly</t>
  </si>
  <si>
    <t>RULE04 Repeated small value cash withdrawals against card</t>
  </si>
  <si>
    <t>RULE05 Large repetitive card usage at the same merchant</t>
  </si>
  <si>
    <t>RULE06 High value cash deposits in a month</t>
  </si>
  <si>
    <t>RULE07 High value cash withdrawals in a month</t>
  </si>
  <si>
    <t>RULE10 Sudden high value transaction for the client</t>
  </si>
  <si>
    <t>RULE11 Structuring: Splitting of cash withdrawal just below $10,000 in multiple accounts in a day</t>
  </si>
  <si>
    <t>RULE12 Structuring: Splitting cash deposits just below $10,000 in multiple accounts in a day</t>
  </si>
  <si>
    <t>RULE14 Frequent low cash deposits</t>
  </si>
  <si>
    <t>RULE15 Frequent low cash withdrawals</t>
  </si>
  <si>
    <t>RULE20 Early withdrawal of CD's</t>
  </si>
  <si>
    <t>RULE21 High value inward remittance</t>
  </si>
  <si>
    <t>RULE24 Alerts on Foreign Inward remittance of beyond a threshold limit</t>
  </si>
  <si>
    <t>RULE27A Many to One ACH</t>
  </si>
  <si>
    <t>RULE27A1 Many to One RDFI ACH</t>
  </si>
  <si>
    <t>RULE27A2 Many to One High Volume ACH</t>
  </si>
  <si>
    <t>RULE27B Many to one fund transfer - Wires</t>
  </si>
  <si>
    <t>RULE27C Many to one fund transfer - ACH E-Corp</t>
  </si>
  <si>
    <t>RULE27D Pseudo Debit Many to One</t>
  </si>
  <si>
    <t>RULE28A One to many fund transfer - ACH</t>
  </si>
  <si>
    <t>RULE28B One to many fund transfer - Wires</t>
  </si>
  <si>
    <t>RULE28C One to many fund transfer - ACH E-Corp</t>
  </si>
  <si>
    <t>RULE28D Pseudo Debit One to Many</t>
  </si>
  <si>
    <t>RULE30 High value transactions with a country with high ML risk</t>
  </si>
  <si>
    <t>RULE31 Inward and outward ACH of same amount on same day</t>
  </si>
  <si>
    <t>RULE37 Opening and closing of loan accounts within short period</t>
  </si>
  <si>
    <t>RULE43 High value cash transactions inconsistent with profile</t>
  </si>
  <si>
    <t>RULE45 High value transactions by high-risk customers compared to profile.</t>
  </si>
  <si>
    <t>RULE50 Cash Deposit of total $10,000 or above in a day</t>
  </si>
  <si>
    <t>RULE51 Cash withdrawal of total $10,000 or above in a day</t>
  </si>
  <si>
    <t>RULE54 Deviation from historical behaviors-All</t>
  </si>
  <si>
    <t>RULE54A1 Deviation from historical behaviors-Prepaid Consumer</t>
  </si>
  <si>
    <t>RULE54A2 Deviation from historical behaviors-Prepaid Corporate</t>
  </si>
  <si>
    <t>RULE56 Pattern of "funding" in pre-pay card and rapid "spending" - min pre-load "spend"</t>
  </si>
  <si>
    <t>RULE76 Structuring patterns for IN wires between certain amounts.</t>
  </si>
  <si>
    <t>RULE79 Incoming Activity from High Risk Jurisdiction</t>
  </si>
  <si>
    <t>RULE79A Incoming HR Jurisdiction High Volume Program</t>
  </si>
  <si>
    <t>RULE79B Incoming Activity from Prohibited Jurisdiction</t>
  </si>
  <si>
    <t>RULE80 Outgoing Activity to High Risk Jurisdiction</t>
  </si>
  <si>
    <t>RULE80A Outgoing Activity to High Risk Jurisdiction-TransferWise</t>
  </si>
  <si>
    <t>RULE80B Outgoing Activity to Prohibited Jurisdiction</t>
  </si>
  <si>
    <t>RULE85 Transactions Involving Restricted or Prohibited Industries</t>
  </si>
  <si>
    <t>RULE86 Incoming wires from High-Risk Business</t>
  </si>
  <si>
    <t>RULE87 Outgoing Wires from High-Risk Business</t>
  </si>
  <si>
    <t>RULE88 Frequent low cash deposits</t>
  </si>
  <si>
    <t>Airwallex is a global payments company offering multi-currency business accounts, payment acceptance, global money transfers, and virtual corporate cards. These services enable businesses to operate globally by simplifying foreign exchange, reducing transaction fees, and improving payment efficiency. Airwallex maintains accounts with CFSB to facilitate money remittances and process card payments via the processor i2C.</t>
  </si>
  <si>
    <t>Airwallex Hong Kong Ltd</t>
  </si>
  <si>
    <t>Airwallex Hong Kong Ltd. is a cross-border payment solutions provider that allows online merchants based in Hong Kong and China to receive funds from global buyers in their local currencies. Airwallex Hong Kong Ltd. is a customer of CFSB whereby CFSB maintains a payment services agreement with Airwallex Hong Kong Ltd. and its customers. Airwallex Hong Kong Ltd. is located at The Centre, 99 Queen's Road Central Suite 10/66F, Central Hong Kong.</t>
  </si>
  <si>
    <t>Alviere</t>
  </si>
  <si>
    <t>Mezu Inc dba Alviere is a licensed money transmitter and fintech company that provides financial services to customers, including products like banking, mobile payments, card issuance, payment processing, and cross border currency exchange. Alviere is an embedded finance provider offering digital wallets, card issuance, and deposit products to thirdcards and settling associated funds.</t>
  </si>
  <si>
    <t>ArroFi</t>
  </si>
  <si>
    <t>ArroFi offers credit-building tools via a secured credit card known as the Arro Card. CFSB serves as the card issuer and processes financial transactions for the Arro program.</t>
  </si>
  <si>
    <t>Balance Technologies</t>
  </si>
  <si>
    <t>Balance Technologies provides digital B2B payment solutions for merchants and marketplaces. CFSB issues business debit cards under the Balance program.</t>
  </si>
  <si>
    <t>Bambu</t>
  </si>
  <si>
    <t>MyBambu is a deposit account and Visa Debit Card program which is a mobile application that offers an array of financial solutions to provide convenient, reliable, and affordable services to everyone, regardless of their immigration status. Services include a demand deposit account, linked Visa debit card, direct deposit, cross-border payments, domestic and international bill payments, and mobile phone top-up. MyBambu is a customer of CFSB and MyBambu is not a bank. The MyBambu Visa Debit Card is issued by CFSB pursuant to a license from Visa USA and can be used anywhere Visa Debit Cards are accepted. MyBambu card funds are held or transferred by CFSB. CFSB does not offer international money transfers through this platform at this time.</t>
  </si>
  <si>
    <t>Banco XP</t>
  </si>
  <si>
    <t>Banco XP, through XP Investments US, offers investment and financial services to Brazilian clients. CFSB issues consumer debit cards as part of the Banco XP program.</t>
  </si>
  <si>
    <t xml:space="preserve">CardCash </t>
  </si>
  <si>
    <t>CardCash operates a platform for buying and selling discounted gift cards. CFSB processes ACH settlements to load funds to the CardCash platform.</t>
  </si>
  <si>
    <t xml:space="preserve">CFG Global </t>
  </si>
  <si>
    <t>CFG Global provides foreign exchange and treasury solutions for corporate clients. CFSB facilitates outgoing domestic and international transfers at the direction of CFG Global.</t>
  </si>
  <si>
    <t xml:space="preserve">Chipper Cash </t>
  </si>
  <si>
    <t>Chipper Cash is a settlement customer sponsored by CFSB as a remittance program allowing US Customers to send money to their family and friends in different parts of Africa. Most of their customers are African immigrants. Chipper Cash provides money remittance services with multicurrency wallet features. CFSB facilitates transactions related to wallet funding and cross-border transfers for Chipper Cash users.</t>
  </si>
  <si>
    <t>Clear Junction</t>
  </si>
  <si>
    <t xml:space="preserve">Clear Junction is a London-based financial technology company providing global payment and banking solutions. They specialize in enabling businesses, banks, and financial institutions to access domestic and international payment networks efficiently. The platform supports services such as account creation, virtual accounts, treasury and foreign exchange (FX), e-money accounts, and payment processing.
The company caters to various clients including payment service providers, open banking entities, remittance businesses, cryptocurrency firms, and marketplaces. Clear Junction’s offerings focus on facilitating cross-border payments, automating processes via API integrations. Their services are designed to streamline global fund transfers, enhance operational efficiency, and provide competitive pricing models. CFSB facilitates domestic and international remittances per instructions dictated by Clear Junction customers. </t>
  </si>
  <si>
    <t>Clearshift</t>
  </si>
  <si>
    <t>Clearshift is registered with the Department of Treasury as a Money Service Business and is licensed as a Money Transmitter by the New Jersey Department of Banking &amp; Insurance.Clearshift also has a European presence based in Lithuania and a Middle Eastern presence based in Israel. In Israel, Clearshift (Israel) Ltd is licensed by the Israeli Ministry of Finance - Capital Markets, Insurance and Savings Authority as a Provider of Regulated Financial Services. In 2020, Clearshift obtained an E-Money Institution (EMI) license from the Bank of Lithuania. Pursuant to the European Union’s PSD2 regulation. Clearshift’s license gives it the ability to serve customers throughout the EU. Clearshift is a customer of Community Federal Savings Bank (CFSB) wherein CFSB maintains accounts for Clearshift and provides funds transfer services for Clearshift and its customers. Clearshift offers foreign exchange and money transmission services with flat fees to businesses and individuals located within the US and internationally.</t>
  </si>
  <si>
    <t>Cogni</t>
  </si>
  <si>
    <t>Cogni is a lifestyle banking platform based in New York City. In addition to a free multi-currency bank account, Cogni uses big data and machine learning to analyze users' income volatility, transactions, financial data, and geo-location. Utilizing this data, Cogni provides personalized, value-added banking and payments services, helping customers save time, cost, and effort. Cogni offers a VISA card for their mobile application to individual consumers in the US.
COGNI is a digital banking platform that brings you curated brands and experiences while helping manage your spending. The COGNI Visa Card is a prepaid debit card. The Cogni Visa(r) Debit Card is issued by Community Federal Savings Bank, a member of FDIC, pursuant to a license from Visa U.S.A. Inc. The Card allows you to access funds loaded or deposited into your Account by you or on your behalf. The funds in your Account will be insured up to the limit established by the Federal Deposit Insurance Corporation ("FDIC") once the Servicer has been able to verify your identity. You may access the funds in your Account by using your Card, Card Number, or by automated clearinghouse (ACH) debit using an account number provided to you by us. The Card is neither a credit card nor a gift card and is not intended for gifting purposes. You will not receive any interest on your funds on the Card or in the Account. The funds in your Account will not expire, regardless of the expiration date on the front of your Card. (https://getcogni.com/)</t>
  </si>
  <si>
    <t>Comun</t>
  </si>
  <si>
    <t>Comun is a challenger bank focused on the U.S. Hispanic-Latino audience. Comun’s mission is to create an affordable digital financial solution for immigrants living in the U.S. The solution will allow these customers to remit funds to friends and family abroad. Comun offers a checking account and debit card through CFSB under a program sponsorship arrangement.</t>
  </si>
  <si>
    <t>Credit Sesame/SesameCash</t>
  </si>
  <si>
    <t>Sesame Cash is a prepaid debit card issued by Community Federal Savings Bank (CFSB). To build credit with Sesame Cash, you must also open a virtual secured account with CFSB that is reported to the credit bureaus. There is no upfront security deposit required. Instead, the balance on your virtual secured account will be secured around the time of each transaction. To start building credit, deposit money into your Sesame Cash account and start using your debit card. Your debit card purchases will then create a balance on your virtual secured account, and funds in your Sesame Cash account, equal to this balance, will be set aside as a security deposit to pay off the balance at the end of each month.</t>
  </si>
  <si>
    <t>Crypto.com (Foris Inc/Foris Dax Inc)</t>
  </si>
  <si>
    <t>Foris Inc operates under the DBA of Crypto.com. Foris Inc is a registered MSB with FinCEN. Foris Inc provides consumers the ability to buy and sell cryptocurrency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 / Foris Dax, Inc operates under the DBA of Crypto.com. Foris Dax, Inc is a registered MSB with FinCEN. Foris Dax, Inc provides consumers the ability to buy and sell crypto currency using an app. Community Federal Savings Bank ("CFSB") provides settlement services for USD collection to fund Crypto.com customer accounts (e-wallets). Funds are credited to Foris' demand deposit account held with CFSB. Once credited to Foris' CFSB account, Foris maintains ownership of the funds and processes them according to their customer's instructions.</t>
  </si>
  <si>
    <t>Currencycloud</t>
  </si>
  <si>
    <t>Currencycloud Limited is a direct client of Community Federal Savings Bank (CFSB). CFSB provides electronic funds settlement services for Currencycloud Limited. Currencycloud Limited is authorized by the Financial Conduct Authority under the Electronic Money Regulations 2011 and the Payment Services Regulations for issuing of electronic money and the provision of payment services with FCA registration number 900199. Currencycloud Limited has an address of The Steward Building 12 Steward Street in London E1 6FQ. Currencycloud Limited has a sister company named Currencycloud Inc., which has an address of 104 5th Avenue, 20th Floor, New York, NY 10010 and is a state licensed and FinCEN registered money service business (MSB) (MSB Registration Number 31000112572477). Currencycloud Limited and Currencycloud Inc. together offer foreign exchange, money transmission, and other payment and technology global services, primarily to businesses located within the US and internationally. Community Federal Savings Bank (CFSB) maintains a relationship with Currencycloud Inc. to offer businesses located in the United States the ability to remit funds from their non-US bank accounts through CFSB for further credit to their accounts held with Currency Cloud Limited in the UK. </t>
  </si>
  <si>
    <t xml:space="preserve">CurrencyFair </t>
  </si>
  <si>
    <t xml:space="preserve">CurrencyFair offers international money transfer services for individuals and businesses. CFSB processes incoming and outgoing wire and ACH remittances for CurrencyFair clients. </t>
  </si>
  <si>
    <t>Currenxie, Ltd</t>
  </si>
  <si>
    <t>Currenxie Limited is a Limited Company organized under the laws of Hong Kong. Currenxie provides global payments services together with CFSB that assists merchants outside of the United States in sending cross-border payments to its suppliers or service providers in the United States and facilitates the collection of payments from the Merchant Supplier within the United States through the use of a virtual account number. CFSB has established one or more non-interest-bearing commercial deposit accounts into which funds received from Senders via ACH credit transfers are deposited in connection with Currenxie. This is a pooled account and is established in Currenxie's name for the benefit of Currenxie's customers. CFSB holds no customer relationship with Currenxie senders or payees and Currenxie is solely responsible for making payments to Payees designated by senders of their program. Additionally, Currenxie may instruct CFSB to wire transfer funds in U.S. Dollars from the Account to Company's Non-U.S. Account to facilitate payments received by Senders in the U.S. to Payees outside the U.S.</t>
  </si>
  <si>
    <t>DollarSmart Global PTE LTD</t>
  </si>
  <si>
    <t>DollarSmart Global PTE. LTD. is a registered money service operator in Hong Kong (License number 15-08-01682). DollarSmart Global was founded in 2014 in Singapore, with international presence across Asia and Australia. DollarSmart Global provides a range of services, including real-time payments to bank accounts, digital wallets, or cash payouts, as well as real-time collections using various payment rails and technologies like QR codes. They offer multi-currency virtual accounts in Asia for individuals or business entities, enabling the customer to receive funds from both local payment networks and SWIFT. Funds can then be settled back to main bank accounts in a customer’s home country via SWIFT.</t>
  </si>
  <si>
    <t xml:space="preserve">EarnUp </t>
  </si>
  <si>
    <t xml:space="preserve">EarnUp is a financial wellness provider automating debt paydown and savings. CFSB processes ACH transfers to lenders and servicers at EarnUp’s direction. </t>
  </si>
  <si>
    <t xml:space="preserve">Ebury </t>
  </si>
  <si>
    <t xml:space="preserve">Ebury provides global payments and FX services for businesses. CFSB facilitates wire and ACH payments as instructed by Ebury. </t>
  </si>
  <si>
    <t xml:space="preserve">Epay </t>
  </si>
  <si>
    <t xml:space="preserve">Epay is a global payment platform offering multi-currency solutions. CFSB issues reloadable prepaid cards as part of the Epay program. </t>
  </si>
  <si>
    <t>Euro Exchange International Bank</t>
  </si>
  <si>
    <t>Euro Exchange International Bank provides online personal and corporate accounts and foreign currency services. CFSB facilitates domestic and international remittances for Euro Exchange clients.</t>
  </si>
  <si>
    <t xml:space="preserve">EUROEXCHANGE SECURITIES UK LTD </t>
  </si>
  <si>
    <t xml:space="preserve">EUROEXCHANGE SECURITIES UK LTD is a licensed E-money institution based in the UK, offering services such as international payment processing and multi-currency accounts (https://euroexchange.uk/). CFSB offers settlement services for EUROEXCHANGE SECURITIES UK LTD. </t>
  </si>
  <si>
    <t>Experian</t>
  </si>
  <si>
    <t>ConsumerInfo.com, Inc. (also known as Experian Consumer Services) is a subsidiary of Experian Plc, a public company, which was incorporated on May 24, 1993, in the state of California. Experian is a global information services company, which engages in Credit Services, Decision Services, Marketing Services and Consumer Services. Experian collects and aggregates information on about 235 million individual U.S. consumers and more than 25 million U.S. businesses. Experian offers a digital banking solution to US residents. This solution is consumer debit card access. The program is offered only through the mobile application.</t>
  </si>
  <si>
    <t xml:space="preserve">FasterPay </t>
  </si>
  <si>
    <t xml:space="preserve">FasterPay offers digital wallet and international payment services. CFSB processes ACH and wire transactions for FasterPay clients. </t>
  </si>
  <si>
    <t xml:space="preserve">Felix Pago </t>
  </si>
  <si>
    <t xml:space="preserve">Felix Pago provides international remittance services to Latin American countries via WhatsApp. CFSB facilitates domestic and international remittances at Felix’s direction. </t>
  </si>
  <si>
    <t>FLUZ</t>
  </si>
  <si>
    <t>Fluz is a financial technology company, not a bank with banking services provided by partner banks that are members of the FDIC, such as Community Federal Savings Bank. Fluz is a collaborative earning app that allows users to earn cashback on everyday spending. Fluz allows consumers to earn cash back instantly on their entire purchase amount when they pay at checkout through the Fluz App. With Fluz, the consumer buys gift cards from the app and once they've bought a gift card for their desired amount, they immediately get cash back which stays in their Fluz wallet until they withdraw it or use it to purchase more gift cards. Once they have purchased the gift cards, they can then use these in-store or online to pay for items.</t>
  </si>
  <si>
    <t xml:space="preserve">GenialAI </t>
  </si>
  <si>
    <t>GenialAI provides audit automation tools for accounting professionals. CFSB issues debit cards tied to Genial’s user services.</t>
  </si>
  <si>
    <t>Global M2C (Skyee)</t>
  </si>
  <si>
    <t>Global M2C provides cross-border fund collection and remittance services for merchants that conduct business on global online marketplaces. The merchants’ customers are based in China and its Special Administrative Region of Hong Kong. The company serves as agent of payee for its merchant customers. Global M2C supports cross-border financial services for businesses and expats. CFSB processes international payments and remittances for Skyee clients.</t>
  </si>
  <si>
    <t xml:space="preserve">Global66 </t>
  </si>
  <si>
    <t>Global66 offers international money transfers for individuals in Latin America. CFSB processes ACH and wire remittances on behalf of Global66 customers.</t>
  </si>
  <si>
    <t>GoCardless LTD</t>
  </si>
  <si>
    <t>GoCardless LTD is a UK-based company specializing in bank payment solutions, particularly Direct Debit and ACH payments. They are authorized to provide payment services by the Financial Conduct Authority. GoCardless LTD and Community Federal Savings Bank (CFSB) are partners in providing payment services, specifically focusing on ACH (Automated Clearing House) payments. CFSB, a U.S. bank, provides the regulated payment services needed to execute transactions for GoCardless customers. GoCardless uses CFSB to enable businesses to pull payments directly from their customers' bank accounts via ACH, offering a more efficient and potentially lower-cost alternative to card payments.</t>
  </si>
  <si>
    <t>GoHenry</t>
  </si>
  <si>
    <t>GoHenry is prepaid Child spending Card that allows parents to easily pay pocket money and set safe spending rules for children using beautifully designed mobile and web apps. Parents can decide how much can be spent and where the card can be used (e.g., online, high street and cash machines). When a child makes a purchase, GoHenry interrupts the authentication signal and runs the pre-set parent-devised rules over the proposed purchase. Only if the purchase meets those rules is it passed, and the child can complete their transaction. Parents receive immediate notifications telling them when, where and how much their children have spent. Parents also receive notifications with clear reasons for declined spending where their rules were broken. Community Federal Savings Bank (CFSB) provides settlement services and CFSB is also the prepaid card issuer. GoHenry's demand deposit account for settlement and processing is 2715300305.</t>
  </si>
  <si>
    <t>Greenlight Financial Technology, Inc (Greenlight)</t>
  </si>
  <si>
    <t>Greenlight Financial Technology, Inc (also known as Greenlight) provides Greenlight services under a card program where a prepaid account service that is operated by Greenlight provides a Primary Accountholder with an ability to control and monitor any various aspects of a Primary Account, Secondary Account, and Supported Adult Account. This includes an ability to set spending parameters and approve purchases in Secondary and Supporting Adult Accounts. Greenlight does not hold consumer funds and any funds added to the Greenlight account are primarily held by CFSB.</t>
  </si>
  <si>
    <t xml:space="preserve">Grit Financial </t>
  </si>
  <si>
    <t xml:space="preserve">Grit Financial provides earned wage access and spending tools. CFSB supports card issuance and facilitates payroll-related funding. </t>
  </si>
  <si>
    <t>Hamro Patro</t>
  </si>
  <si>
    <t xml:space="preserve"> Hamro Patro is a Nepalese platform offering digital content and financial tools. CFSB supports relevant payment services, including card issuance.</t>
  </si>
  <si>
    <t>Harbour and Hills</t>
  </si>
  <si>
    <t>Headquartered in Hong Kong, Harbour and Hills Financial Services Ltd emerged as a fintech company in 2010. Harbour and Hills is a registered money services operator, licensed by the HK Customs and Excise Department. In Australia, Harbour and Hills Financial Services Pty Limited is registered with Australian Securities and Investments Commission. They primarily facilitate cross-border payment processing for business clients. Currently, they have offices in Hong Kong, Australia, and India. CFSB facilitates related domestic and international wire activity.</t>
  </si>
  <si>
    <t>Highnote</t>
  </si>
  <si>
    <t>Highnote is an integrated platform built to handle payment needs seamlessly. They are a card issuer, payment processor, and program manager that helps streamline customer financial operations as an intermediary provider. The Highnote platform offers product and engineering teams at digital enterprises the ability to embed virtual and physical payment cards (commercial and consumer prepaid, debit, credit, and charge), ledger, and wallet capabilities into their existing products. Highnote works with Mastercard to leverage the scale of their network, technology, and services to deliver a product that promises enhanced operational efficiency and improved cost management for businesses including offering a platform for Fleet Spending Management. The card is issued by Community Federal Savings Bank.</t>
  </si>
  <si>
    <t xml:space="preserve">iBanFirst </t>
  </si>
  <si>
    <t>iBanFirst provides cross-border payments and FX solutions to European businesses. CFSB facilitates related wire activity for U.S.-based remittances.</t>
  </si>
  <si>
    <t xml:space="preserve">Inter&amp;Co </t>
  </si>
  <si>
    <t xml:space="preserve">Inter&amp;Co offers a digital financial platform for Brazilian and U.S. clients. CFSB issues debit cards and supports cross-border remittance services. </t>
  </si>
  <si>
    <t>IPAYLINKS US INC</t>
  </si>
  <si>
    <t>iPayLinks is a FinTech company in China delivering one stop cross-border payment solutions including online acquiring, marketplace payout, billing &amp; settlement, customized solutions, covering China, the United States, Europe, Southeast Asia, Middle East, Russia, India, Japan, and South Korea. iPayLinks US INC US, INC supports Chinese marketplace sellers who sell their goods through marketplaces (Amazon, eBay, Wish.com), providing them local bank accounts to collect their settlement funds and remitting back to their local domestic accounts. Transactions can be processed in 130 currencies and settled in 12 currencies (https://www.ipaylinks.com).</t>
  </si>
  <si>
    <t xml:space="preserve">iSend Global </t>
  </si>
  <si>
    <t>iSend Global offers money transfer and payout platforms across over 100 countries. CFSB supports international wire activity and platform-based remittances.</t>
  </si>
  <si>
    <t xml:space="preserve">Kabayan Remit </t>
  </si>
  <si>
    <t xml:space="preserve">Kabayan Remit offers digital remittances to the Philippines. CFSB processes wire and ACH transfers under Kabayan’s instructions. </t>
  </si>
  <si>
    <t>Keeta</t>
  </si>
  <si>
    <t>Keeta provides real-time cross-border payments using blockchain-based infrastructure. CFSB issues debit cards to support consumer access to funds.</t>
  </si>
  <si>
    <t>LEATHERBACK LTD</t>
  </si>
  <si>
    <t xml:space="preserve">LEATHERBACK LTD is a financial solutions company with a focus on simplifying global trade and cross-border payments. LEATHERBACK is a Payment Services Customer of CFSB wherein CFSB acts as the RDFI to receive funds on behalf of their consumer and corporate customers from LEATHERBACK’s international bank partners (Clear Bank, European Merchant Bank, Rails Bank, Yes Bank and Silvergate Bank). LEATHERBACK offers a range of services including multicurrency accounts, money transfers, mass collection and payouts, and tools for invoices, expenses, and payroll. Leatherback primarily serves individuals and businesses engaged in international trade. It was founded in 2019 and is based in London, England. (https://leatherback.co/). </t>
  </si>
  <si>
    <t>LianLian Global</t>
  </si>
  <si>
    <t>LianLian Global supports cross-border eCommerce payments for sellers on platforms like Amazon and Shopify. CFSB facilitates ACH and wire settlements.</t>
  </si>
  <si>
    <t xml:space="preserve">Liberty Cooperative Credit Union (LCCU) </t>
  </si>
  <si>
    <t>LCCU is a credit union based in Anguilla. CFSB supports debit card issuance to members through the credit union.</t>
  </si>
  <si>
    <t>MAJORITY</t>
  </si>
  <si>
    <t>MAJORITY is an all-in-one mobile financial service dedicated to serving migrants. MAJORITY’s key market is the US, where the company operates across all states. MAJORITY offers access to a variety of integral banking and international services including an FDIC-insured account (through its Sponsor Bank) with early direct deposit, a Visa® debit card with cashback on purchases, remittances, at-cost international calling, and the ability to send mobile credits to support loved ones back home. MAJORITY’s offerings are tailored for specific communities depending on location, with advisors from members’ home countries available for in-person advice and consultations.</t>
  </si>
  <si>
    <t>Marygold &amp; Co</t>
  </si>
  <si>
    <t>Marygold &amp; Co. is a financial technology company that offers an all-in-one app for all mobile banking and payment needs. Marygold &amp; Co offer a Mastercard debit card with additional features of the app that includes unlimited money pool investing, with customized portfolios and user-selected time-based objectives; PayAnyone™ capability, which authorizes clients to send payments to anyone in the U.S., regardless of whether they have a Marygold &amp; Co. account; and contactless payment options utilizing technology that allows touch-free tap-to-pay transactions from the Marygold &amp; Co. debit card.</t>
  </si>
  <si>
    <t xml:space="preserve">More Payment Evolution </t>
  </si>
  <si>
    <t xml:space="preserve">More provides global remittances and payout services across LATAM, EMEA, and APAC. CFSB facilitates domestic and international payments with More customer instructions. </t>
  </si>
  <si>
    <t>MSBB Money Ltd</t>
  </si>
  <si>
    <t>MSBB Money Ltd is an E-money Institution authorized and regulated by the FCA that facilitates the exchange, conversion, or transmission of money for customers. The company was established in 2007 and has been working with global payments, FX services, and money remittances. MSBB Money is specialized in the Brazilian market providing solutions on mass payments to and from Brazil, API Connectivity, transparency, and efficiency. MSBB Money is also a SWIFT Network participant and has extensive experience in global payments.</t>
  </si>
  <si>
    <t xml:space="preserve">Ncubo </t>
  </si>
  <si>
    <t xml:space="preserve">Ncubo offers fintech infrastructure and customized card programs. CFSB issues prepaid and debit cards for Ncubo’s partner programs. </t>
  </si>
  <si>
    <t xml:space="preserve">Neosurf </t>
  </si>
  <si>
    <t>Neosurf offers prepaid vouchers for online purchases without bank accounts. CFSB supports voucher redemption and remittance processing.</t>
  </si>
  <si>
    <t>NIUM</t>
  </si>
  <si>
    <t>NIUM INC (formerly “INSTAREM USA”) is a registered money service business (MSB Registration 31000163937027), with a registered address of 90 WASHINGTON VALLEY ROAD, BEDMINSTER, NJ 07921. NIUM INC provides a white label solution to business entities that engage in payment processing and marketers that promote money remittance services to consumers and business entities. Corporate customers will offer services to individuals and other businesses via online, web based and mobile applications which are powered by NIUM’s payment platform. Funds will be received via ACH credit to NIUM’s CFBS settlement account # (2715100653) and for further transfer to US payees’ bank accounts and beneficiaries in foreign jurisdictions where NIUM hold the requisite licenses and banking relationships. No currency conversion will be performed by CFSB.</t>
  </si>
  <si>
    <t xml:space="preserve">Nomad </t>
  </si>
  <si>
    <t>Nomad provides U.S. bank accounts and debit cards to Brazilian customers. CFSB issues Nomad branded debit cards and facilitates currency exchange remittances.</t>
  </si>
  <si>
    <t xml:space="preserve">Pana </t>
  </si>
  <si>
    <t>Pana is a digital financial service provider for the U.S. Latino community. CFSB supports debit card issuance and remittances.</t>
  </si>
  <si>
    <t>Panda Remit</t>
  </si>
  <si>
    <t>Panda Remit is a Money Services Business regulated by FinCEN that is headquartered in Singapore and offers remittance services in more than 40 countries/regions. Panda Remit is completed online, with no offline costs, and no middlemen. Money can be sent with Money Transmission Services provided by Community Federal Savings Bank. (About Us | Global Cross-border Money Transfer from United States | Panda Remit)</t>
  </si>
  <si>
    <t xml:space="preserve">PayFacto </t>
  </si>
  <si>
    <t>PayFacto provides payment gateway services and point-of-sale solutions. CFSB supports merchant acquiring services and POS settlement.</t>
  </si>
  <si>
    <t>Payoneer Inc.</t>
  </si>
  <si>
    <t>Payoneer Inc. ("Payoneer") is a state licensed and FinCEN registered money service business (MSB Registration Number 31000110323072). PAYONEER is a customer of CFSB whereby CFSB provides payment services for PAYONEER and its customers. Payoneer is located at 150 W 30th Street, New York, NY 10001, and has an EIN of 35-2254039. Payoneer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Funds received by CFSB for the benefit of [indirect customer]’s Payoneer Account (#PseudoDDA) were credited to Payoneer's demand deposit account held with CFSB (account #140003781). Once credited to Payoneer's CFSB account, Payoneer maintains ownership of the funds and processes them according to their customer's instructions.</t>
  </si>
  <si>
    <t xml:space="preserve">Payscout </t>
  </si>
  <si>
    <t xml:space="preserve">Payscout delivers global payment processing solutions for eCommerce and retail businesses. CFSB supports merchant acquiring and transaction settlement services. </t>
  </si>
  <si>
    <t xml:space="preserve">Payverse </t>
  </si>
  <si>
    <t xml:space="preserve">Payverse offers UnionPay card acceptance and international remittance services. CFSB processes ACH and wire transactions in support of Payverse operations. </t>
  </si>
  <si>
    <t xml:space="preserve">PaymentEarth </t>
  </si>
  <si>
    <t>PaymentEarth provides international payments and FX risk management tools. CFSB facilitates ACH and wire transfers per PaymentEarth instructions.</t>
  </si>
  <si>
    <t>Placid Transfers Corp</t>
  </si>
  <si>
    <t>Placid Transfers Corporation DBA Placid ("Placid") was incorporated in NY on July 15, 2022. Placid was formed to exclusively provide digital remittance/payment services to individuals and businesses in the US. Placid's client base consists of 90% consumer clients, and 10% corporate clients. All necessary licenses are used under their parent company Placid NK Corporation ("Placid NK"). Placid NK was founded in 1996 and provides an affordable and efficient alternative for consumers sending money to their loved ones living in over 30 countries. Placid NK is licensed in 30 states located in the USA, Italy, and Malaysia. Customers currently served via Placid NK Corp's licenses will be transitioned into the bank sponsored program. Individuals can remit funds to India, Bangladesh, Philippines, Europe, and Africa. Businesses can pay vendors, freelancers, and contractors with low fees and great FX rates.</t>
  </si>
  <si>
    <t xml:space="preserve">Pomelo (Lemonade/LemFi) </t>
  </si>
  <si>
    <t>Pomelo offers remittance services and credit-building tools through a prepaid card. CFSB facilitates card issuance and international remittance processing.</t>
  </si>
  <si>
    <t>Privat3 Money Ltd</t>
  </si>
  <si>
    <t xml:space="preserve">Privat3 Money Ltd is a United Kingdom-based Electronic Money Institution (EMI) regulated by the FCA (Financial Conduct Authority) under FRN 900989. Founded in 2018 by Reda Bedjaoui, the company provides fintech solutions for global citizens and corporations, including multi-currency accounts, debit and prepaid cards, and FX services. Privat3 Money also offers tailored treasury solutions for sectors like yacht and aviation management and serves high-net-worth individuals with advanced financial services. </t>
  </si>
  <si>
    <t>Pronto Money Transfer Inc</t>
  </si>
  <si>
    <t>Pronto Money Transfer Inc is a finance startup established in 2005, specializing in providing fast and reliable money transfer services. Pronto developed a cloud-based payment processing platform intended to transfer money from the USA to Brazil and vice versa. The company's platform provides a seamless API integration to automate global mass payouts directly, process transactions, as well as secure web-based applications with data encryption, enabling clients to save money on transfer fees and rates without payment traffic interruptions. Pronto Money Transfer is in Manhattan Beach, California, United States.</t>
  </si>
  <si>
    <t xml:space="preserve">Quid </t>
  </si>
  <si>
    <t xml:space="preserve">Quid provides liquidity solutions for employees holding equity in pre-IPO companies. CFSB processes domestic remittances tied to equity loan funding. </t>
  </si>
  <si>
    <t xml:space="preserve">Sakon </t>
  </si>
  <si>
    <t xml:space="preserve">Sakon provides telecom and device management services to enterprises. CFSB issues prepaid commercial debit cards to support expense programs. </t>
  </si>
  <si>
    <t xml:space="preserve">SentBe </t>
  </si>
  <si>
    <t>SentBe offers low-cost remittance services focused on South Korea and APAC. CFSB processes international wires and ACH transfers for SentBe users.</t>
  </si>
  <si>
    <t>Skrill</t>
  </si>
  <si>
    <t>Skrill USA, Inc. is a licensed money transmitter within the US that enables payments and money transfers to be made through the Internet via a digital wallet. Skrill is in the process of partnering with Neteller, which is an e-money transfer service used to transfer money to and from merchants and other Neteller customers. Neteller is owned and operated by British global payments company Paysafe Group, which is also in the process of acquiring Skrill USA, Inc. Skrill USA, Inc. will begin supporting the Neteller US branded e-wallet and the accounts will be used to process payments to online gambling merchants, where such gambling is legal. This product is used for payments to merchants and for money remittance and can be used for online gambling where such gambling is legal. www.skrill.com.</t>
  </si>
  <si>
    <t xml:space="preserve">Speedchain </t>
  </si>
  <si>
    <t>Speedchain provides real-time spend and payment management tools for businesses. CFSB supports domestic payment settlement and card issuance under Speedchain programs.</t>
  </si>
  <si>
    <t>Sunrate Solutions</t>
  </si>
  <si>
    <t xml:space="preserve">Sunrate provides services which include merchant settlement services, business to business transactions, online payments, and transfers between the US, UK, EEA region, Indonesia, Japan, Thailand, Hong Kong, and mainland China. Sunrate customers can access Sunrate’s services via their online platform where they can register and process payment orders in over 50 currencies. CFSB receives payments on behalf of Sunrate customers, then CFSB issues virtual accounts to each of Sunrate’s customers and facilitates the pay-ins and payout of these customers’ funds. </t>
  </si>
  <si>
    <t xml:space="preserve">Tomo Mortgage </t>
  </si>
  <si>
    <t xml:space="preserve">Tomo Mortgage provides tech-enabled residential mortgage lending services. CFSB supports related remittance and settlement functions for borrower transactions. </t>
  </si>
  <si>
    <t xml:space="preserve">URemit International </t>
  </si>
  <si>
    <t>URemit is a remittance platform serving over 130 countries. CFSB facilitates domestic and international payments on behalf of URemit customers.</t>
  </si>
  <si>
    <t xml:space="preserve">Unlimit </t>
  </si>
  <si>
    <t>Unlimit offers global payment infrastructure supporting card, wallet, and crypto payments. CFSB facilitates ACH and wire settlements on behalf of Unlimit clients.</t>
  </si>
  <si>
    <t>VertoFX</t>
  </si>
  <si>
    <t>VertoFx LTD is authorized by the Financial Conduct Authority under the Electronic Money Regulations 2011, Firm Reference 901073, for the issuing of electronic money. VertoFX works by providing businesses with a digital platform for cross-border payments and foreign exchange (FX) services, simplifying international transactions through features like a multi-currency digital wallet, local accounts in various countries, and a peer-to-peer marketplace for trading currencies at competitive rates. Businesses can hold and manage funds in different currencies, receive payments from global partners, and conduct fast, secure, and cost-effective transactions to facilitate global trade.</t>
  </si>
  <si>
    <t>Vitesse PSP Origination</t>
  </si>
  <si>
    <t>Vitesse is a treasury and payment service provider that specializes in the insurance industry, founded in 2014. Its platform is designed to streamline claims payments and treasury management, providing insurers, claims administrators, and service providers with real-time visibility and control over funds, ensuring faster, full-value payouts to claimants across 200+ countries. Vitesse integrates a global payments network and offers solutions that enhance customer experience, reduce manual processes, and optimize capital management for claims. In addition to claims payments, the company provides services such as claim funds management, digital payee options, and bulk supplier payments, all aimed at increasing efficiency and transparency in the insurance sector. CFSB offers Vitesse ACH settlement services to facilitate payments.</t>
  </si>
  <si>
    <t>WAVE MONEY</t>
  </si>
  <si>
    <t>Wave Financial (Wave) is a company that provides financial services and software for small businesses. Wave is headquartered in the Leslieville neighborhood in Toronto, Canada. Wave Financial USA Inc is located in Denver, Colorado. Wave Money is a customer of Community Federal Savings Bank (CFSB). The Bank processes settlement transactions for the services offered by Wave Money.</t>
  </si>
  <si>
    <t xml:space="preserve">Wingo Markets </t>
  </si>
  <si>
    <t xml:space="preserve">Wingo Markets is a brokerage platform offering access to financial instruments including forex and crypto. CFSB supports account settlement and funding transactions. </t>
  </si>
  <si>
    <t xml:space="preserve">WireBarley </t>
  </si>
  <si>
    <t>WireBarley provides affordable international remittance services, especially within the AsiaPacific region. CFSB facilitates global remittance flows and card funding.</t>
  </si>
  <si>
    <t>Wise Inc</t>
  </si>
  <si>
    <t xml:space="preserve">Wise Inc. is a state-licensed FinCEN registered money service business (MSB) (MSB Registration Number 31000121406521). Wise is a customer of Community Federal Savings Bank (CFSB) wherein CFSB maintains accounts for Wise and provides fund transfer services for Wise and its customers. Wise is located at 19 W. 24th Street, New York, NY, 10010. Wise offers foreign exchange, money transmission, and prepaid access services, including Borderless Accounts, to businesses and individuals located within the US and internationally. A Borderless Account allows an individual or business to accept payments or transactions in a specific currency, in this case US dollars, and then as necessary, exchange that currency for other currencies or remit the funds to other countries in a specific currency. </t>
  </si>
  <si>
    <t>Zolve</t>
  </si>
  <si>
    <t>Zolve Innovations Inc, ("Zolve") is a fintech company that was founded in Bangalore, India in December 2020. Their operations consist of mostly marketing strategies to create customer acquisition. In the United States, the company is registered in the state of Delaware with offices in Houston, Texas. CFSB sponsor's Zolve as a Program Manager for the issuance of debit and credit cards primarily for Indian migrants moving to the US. Community Federal Savings Bank ("CFSB") provides settlement services and is also the card issuer for Zolve.</t>
  </si>
  <si>
    <t>Template Key</t>
  </si>
  <si>
    <t>Template Body</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</si>
  <si>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received [Num Trans] wire transfers totaling $[Total Amount], with individual transaction amounts ranging from [Min Amount] to [Max Amount]. These wires were received from [Counterparties]. [Counterparty Name] with an address in [Country] sent [Num Trans] wire(s) totaling $[Total] to [Subject Name]. [Repeat block per additional counterparty.] [List each high-risk jurisdiction by name] is/are classified as a high-risk jurisdiction(s). [Edit as per case-to-case basis]
[If clustering present:] Multiple transactions were conducted on the same or near-consecutive days. Specifically, [Counterparty Name] sent [Num Trans] wires totaling $[Amount] on [Date(s)]. [Repeat block per clustering event per counterparty.] [Edit as per case-to-case basis]
[If round/high dollar amounts:] Transaction amounts were for high and/or round dollar values.
Internal records indicate that [Subject Name] operates in [Industry/Business Activity].
Open-source due diligence (“OSDD”) identified this entity's website identified [Subject Name]'s website at [Website URL] and a [business registration record / government-issued identification record] in [Country]. Per open sources, [Subject Name] is a [Entity Type, e.g., private limited liability company / individual] [established in / born in / residing in] [Country] on/as of [Incorporation Date / Date of Birth] and [active in / employed in / associated with] [Industry / Employer / Business Activity]. OSDD conducted on [Counterparties] did not identify conclusive information regarding [this entity's / this individual's / these entities' / these individuals'] business profile(s) [or / and] background(s). Therefore, the source of funds and purpose of the transactions remain unknown. [Edit as per case-to-case basis]
No negative news has been identified on [Subject Name].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</si>
  <si>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sent [Num Trans] transactions totaling $[Total Amount], which are indicative of suspicious activity pattern. The customer sent an average amount of $[Monthly Average] across [Num Trans] transactions, primarily in amounts ranging from [Min Amount] to [Max Amount]. These transactions were often sent in round dollars and involved the movement of funds through payment service provider, including [Counterparties]. [Edit as per case-to-case basis]
Furthermore, the actual beneficiary remains unknown, and due diligence has failed to identify any occupational details or a verifiable source of income for the customer. The transactions were sent in round dollar amounts majorly, which is inconsistent with expected Fluz prepaid purchase behavior and suggests potentially suspicious activity or misuse of the platform. Based on the above information, the alert is recommended for further review. [Edit as per case-to-case basis]
The focal entity, [Subject Name], is [Age] years old (DOB: [DOB]) and is located at [Location].
Due diligence did not yield conclusive information on [Subject Name]. The lack of identifiable information on the Subject, while transacting at such high values and volumes, further compounds the concern raised by the value, volume, and structure of the transactions observed. Additionally, no derogatory information was identified through negative media or sanctions searches.
It is noted that between [Start Date] and [End Date], [Subject Name] sent [Num Trans] transactions totaling $[Total Amount], wherein the customer debited an average amount of $[Monthly Average] across the transactions, primarily in amounts ranging from [Min Amount] to [Max Amount]. These transactions were often sent in round dollars and involved the movement of funds through payment service provider, [Counterparties]. The rapid spending pattern in high aggregate amounts is inconsistent with the [Program Name] prepaid purchase behavior and suggests potentially suspicious behavior, or misuse of the platform. Furthermore, the actual beneficiary remains unknown, and external due diligence has failed to identify any occupational details or a verifiable source of income for the customer. [Edit as per case-to-case basis]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</si>
  <si>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ALERT REVIEW SUMMARY
Alert ID: [Alert ID]
Customer: [Subject Name]
Program: [Program Name]
Rule(s) Triggered: [Rule Name]
Country Risk Rating:
________________________________________
CUSTOMER PROFILE AND PROGRAM AFFILIATION
[Subject Name] is a customer enrolled in the [Program Name] program. [Program Description].
The customer is located at [Location]. An external search of the address indicates that it is a (residential/commercial) property. An internet search for [Subject Name] returned results that align with the customer’s provided details, including [Customer Business Description], and reasonably corroborate the customer’s identity and business profile / An internet search for [Subject Name] returned multiple results; however, no definitive match to the customer could be identified based on the available information ([Customer Business Description]) [Edit as per case-to-case basis]
A negative news search did not return any adverse or derogatory information. 
________________________________________
ALERT TRIGGER AND TRANSACTION REVIEW
[Alert ID] alerted due to [RULE NAME]
A review of the alerted transactions was conducted covering the period from [Start Date] to [End Date]. The review yielded the following results:
Between [Start Date] and [End Date], there were [Num Trans] incoming and outgoing wire transfers totaling $[Total Amount]. These transactions were sent and received by [Subject Name] through their [Program Name] account #[Account Numbers] with the following counterparties: [Counterparties]. [Edit as per case-to-case basis]
The alerted activity is consistent with the customer’s expected financial behavior and does not appear to be inconsistent with the stated purpose of the account. [Subject Name] received payments from the identified counterparties in connection with [Activity Description]. [Edit as per case-to-case basis]
________________________________________
COUNTERPARTY REVIEW
The following counterparties were selected for review based on transaction volume and monetary value observed in the alerted transaction activity:
• Counterparty 1: [CP 1]
• Counterparty 2: [CP 2]
• Counterparty 3: [CP 3]
• Counterparty 4: [CP 4]
• Counterparty 5: [CP 5]
• Counterparty 6: [CP 6]
________________________________________
CONCLUSION
Based on the review conducted, the activity under investigation appears consistent with the customer’s established financial profile and known business involvement. The transactions reviewed align with the nature and purpose of the [Program Name] program. There is no evidence of structuring, layering, or misuse of third-party accounts. No adverse media or negative information was identified for the customer.
Currently, there are no red flags indicative of potential illicit or suspicious activity. Accordingly, it is recommended that this alert be closed, and no further review is warranted.</t>
  </si>
  <si>
    <t>Crypto_Escalation</t>
  </si>
  <si>
    <t>This case is being escalated to Community Federal Savings Bank (“CFSB” the “Bank”) to report [Num Trans] transactions totaling $[Total Amount] conducted by subject [Subject Name] through [Program Name] accounts.
1. Subject: [Subject Name]
2. Type of Suspicious Activity: Suspicion concerning the source of funds, Suspicious EFT/wire transfers, Transaction with no apparent economic, business, or lawful purpose, Transaction(s) involving foreign high-risk jurisdiction, Other: Higher dollar, higher volume
3. Total Suspicious Dollar Amount: $[Total Amount]
4. Date Range of Suspicious Activity: [Start Date] through [End Date]
5. Associated Program Partners: [Program Name]
6. Financial institutions and accounts involved: CFSB, [Account Numbers]
Based on CFSB's knowledge, [Subject Name] is an indirect customer of CFSB and is instead a client of [Program Name] program. [Program Description]
Between [Start Date] and [End Date], [Subject Name] conducted [Num Trans] transactions totaling $[Total Amount], all of which were conducted with [Counterparties]. The activity included repeated rapid same-day or near-consecutive day point of sale purchases at various [Counterparties] locations across multiple [states / countries / jurisdictions]. For example, on [Date 1], [Subject Name] conducted [Num Trans] transactions totaling $[Amount 1] at [Counterparties] locations in [Location 1] and [Location 2], representing a high volume of activity within a single day. This pattern occurred numerous times throughout the review period, with transactions taking place at [Counterparties] locations across [List of States / Countries / Jurisdictions]. [Edit as per case-to-case basis]
Open-source due diligence (“OSDD”) [was unable to identify / identified] [Subject Name]'s [occupation / employment / business activity], [thus raising concerns regarding the source of funding / and no concerns regarding the source of funding were identified]. No additional negative news or sanctions-related concerns were identified. [Edit as per case-to-case basis]
Based on this investigation, [Subject Name] appears engaged in potentially questionable activity involving a high volume of activity occurring across the same day or consecutive days with additional concerns related to the source of the funding of the activity.
An RFI was submitted to [Program Name] to obtain additional information regarding [Subject's Name] and the activity. [Edit as per case-to-case basis]
The activity is being escalated due to a consistent pattern of high-volume, high-frequency transactions and the rapid movement of funds within a short period of time through financial institutions and payment intermediaries, which is inconsistent with expected customer activity. [Edit as per case-to-case basis]</t>
  </si>
  <si>
    <t>Crypto_Non_Escalation</t>
  </si>
  <si>
    <t>ALERT REVIEW SUMMARY
Alert ID: [Alert ID]
Customer: [Subject Name]
Program: [Program Name]
Customer accounts: [Account Numbers] (Open/Close Date)
Review Period: [Start Date] through [End Date]
Aggregate value of Alerts: $[Total Amount]
Associated Alerts: [Alert ID]
Rule(s) Triggered: [Rule Name]
Country Risk Rating:
________________________________________
PROGRAM DESCRIPTION
Based on CFSB's knowledge, [Subject Name] is an indirect customer of CFSB and is instead a client of [Program Name] program. [Program Description]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[Edit as per case-to-case basis]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[Edit as per case-to-case basis]
________________________________________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[Edit as per case-to-case basis]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[Edit as per case-to-case basis]
________________________________________
CONCLUSION
Based on this investigation, no evidence of suspicious patterns of activity was identified for [Subject Name] regarding usage of the Crypto.com account. [Explain in detail]
________________________________________</t>
  </si>
  <si>
    <t>RFI_Wise</t>
  </si>
  <si>
    <t xml:space="preserve">			Financial Crimes Compliance Unit
			AML / TM Department
To: rfi@wise.com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[RFI Due Date].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</si>
  <si>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RFI_Airwallex</t>
  </si>
  <si>
    <t xml:space="preserve">			Financial Crimes Compliance Unit
			AML / TM Department
To: external.rfi@airwallex.com
Cc: AMLRequests@cfsb.com; RFI@CFSB.com
Subject: CFSB Request for Information - [Subject Name] (ALERT# [Alert ID]) cfsbencrypt
Good Morning / Afternoon,
CFSB requires additional information regarding the transaction(s) and/or customer relationship(s) noted below:
• We are reviewing transactions for your customer, [Subject Name] (account # [Account Numbers]).
Credit Transactions
• Between [Start Date] to [End Date] there are [Num Cr] incoming credit transactions totaling $[Cr] from [Counterparties]. The purpose of this activity and relationship between the customer and the counterparty appears to be unknown.
Debit Transactions
• Between [Start Date] to [End Date] there are [Num Dr] outgoing debit transactions totaling [Dr] going to [Counterparties]. The purpose of this activity and relationship between the customer and the counterparty appears to be unknown.
To proceed appropriately, we kindly request additional information regarding your customer and the transactions outlined below on or before close of business day, Month Date, 202X.
Information Requested:
1. Account Type and Expected Usage
2. Line of Business
3. Physical operating address and US registered address
4. Website
5. Documentation used to validate business (formation documents, etc.)
6. Evidence of Operations (i.e., invoices, contracts, etc.)
7. Have any Alert or CDD/EDD reviews been conducted for this customer? If so, what material information was identified
8. Current status of the account. If closed, please provide reason
9. Purpose of the noted transactions
10. Relationship between CUSTOMER and COUNTERPARTY/ORIGINATOR/BENEFICIARY
Your prompt response will allow us to complete our review in a timely manner.
Thank you,
[Deloitte RFI Coordinator Name]
send cfsbencrypt</t>
  </si>
  <si>
    <t>RFI_Common</t>
  </si>
  <si>
    <t xml:space="preserve">			Financial Crimes Compliance Unit
			AML / TM Department
To: [Program Contact from list]
Cc: AMLRequests@cfsb.com
Subject: CFSB Request for Information - [Subject Name] (Velocity CASE #[ECM ID] / ALERT# [Alert ID])
Good Morning / Afternoon
CFSB requires additional information regarding the transaction(s) and/or customer relationship(s) noted below.
• We are reviewing transactions for your customer, [Subject Name] (account # [Account Numbers]) [INSERT DESCRIPTION OF THE ACTIVITY YOU ARE REVIEWING NEED ADDITIONAL INFORMATION ABOUT]
Between [Start Date] to [End Date] there are [Num Cr] credit transactions totaling to $[Cr] from [Counterparties] and there are [Num Dr] debit transactions totaling $[Dr] to Outgoing wire with reference to "ABC Corporation". The purpose of this activity with the counterparties appears unknown.
To proceed appropriately, we kindly request additional information regarding your customer and the transactions outlined below on or before close of business Month 22, 202X.
Information Requested:
1. Ultimate Originators and Beneficiaries of the noted transactions
2. Purpose of the Noted transactions
3. Relationship between CUSTOMER and COUNTERPARTY
4. Do you expect these transactions to continue?
5. Please note any other relevant information / comments below.
Your prompt response will allow us to complete our review in a timely manner.
Thank you,
CFSB</t>
  </si>
  <si>
    <t>Scenario Key</t>
  </si>
  <si>
    <t>Narrative Template</t>
  </si>
  <si>
    <t>Wise_Escalation_E-Commerce_Yes_Moderate</t>
  </si>
  <si>
    <t>Between [Start Date] and [End Date], [Subject Name] alerted [Num Trans] transactions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only moderate operational visibility, including [Footprint Findings]. Given the large value of the alerted activity a web presence is expected. 
This activity is being escalated as it is potentially indicative of trade-based money laundering through eCommerce platforms. The presence of usual transaction patterns is not indicative of normal business behavior and the lack of operational visibility available on [Subject Name] is inconsistent relative to transaction scale</t>
  </si>
  <si>
    <t>Wise_Escalation_E-Commerce_No_Moderate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</si>
  <si>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A review of the amounts and patterns of activity was reasonably consistent with commercial activity; however, the aggregate value of activity is large.
External research identified only moderate / weak operational footprint, including [Footprint Findings]. Given the large value of the alerted activity a web presence is expected. 
Despite appearing as normal business transactional amounts and patterns, the alerted activity is being escalated for potential trade-based money laundering through eCommerce platforms given conflicting nature of large aggregate alerting transaction value and limited operational visibility relative to transaction scale.</t>
  </si>
  <si>
    <t>Wise_Escalation_Vendor/Payroll_Yes_Moderate</t>
  </si>
  <si>
    <t>Between [Start Date] and [End Date], [Subject Name] alerted [Num Trans] totaling to an aggregate amount of $[Total Amount], averaging approximately $[Monthly Average].
These transactions appear to be [Activity Description] for [Subject Name], as evidenced by [Counterparties]; however transactional risk Indicators were observed, including [Risk Indicator Details], that did not align with structured payroll or vendor batching cycles. 
External research identified moderate / weak operational footprint, including [Footprint Findings].  Furthermore, research on the payees revealed limited information.  Given the large value of the alerted activity a web presence is expected. 
While the payments appear to mimic a typical [vendor or payroll] pattern, the activity is being escalated as the payment intervals and amounts are inconsistent with structured batching cycles. Furthermore, the lack of operational visibility available on [Subject Name] is inconsistent relative to transaction scale.</t>
  </si>
  <si>
    <t>Wise_Escalation_Vendor/Payroll_No_Moderate</t>
  </si>
  <si>
    <t>Between [Start Date] and [End Date], [Subject Name] alerted on [Num Trans] totaling to an aggregate amount of $[Total Amount], averaging approximately $[Monthly Average].
These transactions appear to be [Activity Description] for [Subject Name], as evidenced by [Counterparties]. 
External research identified only moderate / weak business footprint, including [Footprint Findings]. Given the large value of the alerted activity a web presence is expected. 
Despite mimicking normal payroll, and vendor payment behavior, the activity is being escalated given conflicting nature of large aggregate alerting transaction value and limited operational visibility relative to transaction scale</t>
  </si>
  <si>
    <t>Wise_Escalation_Same-Name_Yes_Moderate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</si>
  <si>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Transactional risk indicators were observed, including [Risk Indicator Details], inconsistent with business operational purposes.
External research identified only moderate / weak business footprint, including [Footprint Findings]. Given the large value of the alerted activity a web presence is expected. 
This activity is being escalated as the amounts and patterns of transfer between accounts activity are inconsistent with normal business behavior and the lack of operational visibility available on [Subject Name] is inconsistent relative to transaction scale.</t>
  </si>
  <si>
    <t>Wise_Escalation_Same-Name_No_Moderate</t>
  </si>
  <si>
    <t>Between [Start Date] and [End Date], [Subject Name] alerted [Num Trans] totaling to an aggregate amount of $[Total Amount], averaging approximately $[Monthly Average].
Transaction review of [Subject Name] identified transfers between accounts held in the same legal name, including movement between [Account Name A] and [Account Name B]. 
External research identified only moderate / weak business footprint, including [Footprint Findings]. Given the large value of the alerted activity a web presence is expected. 
This activity is being escalated as there is a lack of operational visibility available on [Subject Name] is inconsistent relative to transaction scale</t>
  </si>
  <si>
    <t>Wise_Escalation_General Business_Yes_Moderate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</si>
  <si>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Transaction risk indicators were present in the alerted activity, including [Risk Indicator Details]. 
External research identified only moderate / weak operational visibility, including [Footprint Findings]. Given the large value of the alerted activity a web presence is expected.  
This activity is being escalated as it is inconsistent with normal business behavior and the lack of operational visibility available on [Subject Name] is inconsistent relative to transaction scale.</t>
  </si>
  <si>
    <t>Wise_Escalation_General Business_No_Moderate</t>
  </si>
  <si>
    <t>Between [Start Date] and [End Date], [Subject Name] alerted [Num Trans] totaling to an aggregate amount of $[Total Amount], averaging approximately $[Monthly Average]. 
These transactions appear to be related to [Activity Description] between [Subject Name] and counterparties that appear to be [Counterparties] 
A review of the amounts and patterns of activity was reasonably consistent with commercial activity; however, the aggregate value of activity is large. 
External research identified only moderate / weak operational visibility, including [Footprint Findings]. Given the large value of the alerted activity a web presence is expected.  
This activity is being escalated as there is a lack of operational visibility available on [Subject Name] is inconsistent relative to transaction scale.</t>
  </si>
  <si>
    <t>Between [Start Date] and [End Date], [Subject Name] alerted [Num Trans] totaling to an aggregate amount of $[Total Amount], averaging approximately $[Monthly Average].
These transactions appear to be related to [Activity Description] between [Subject Name] and large, established e-commerce or marketplace platforms such as [Platforms].
Transaction risk indicators were present in the alerted activity, including [Risk Indicator Details].
External research identified a prolific and well-developed business presence, including [Footprint Findings], consistent with an actively operating entity.
However, the presence of material transactional risk indicators such as[Risk Indicator Details] is inconsistent with normal commercial variability and materially elevates risk independent of footprint strength. Therefore this activity is being escalated as potentially suspicious.</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</si>
  <si>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This case is being escalated to Community Federal Savings Bank (“CFSB” the “Bank”) to report [Num Trans] transactions totaling $[Total Amount] conducted by the subject [Subject Name] through Foris Inc (Crypto.com) accounts.
________________________________________
PROGRAM DESCRIPTION
Based on CFSB’s knowledge, the consumer does not maintain accounts with CFSB and is instead a client of Foris Inc. Foris Inc operates under the DBA of Crypto.com. Foris Inc is a registered MSB with FinCEN and provides consumers with the ability to buy and sell cryptocurrency using an app. There are no crypto exchanges processed involving CFSB. CFSB receives wire transfers from other U.S. bank accounts, and the funds go into Crypto.com’s virtual account with CFSB.
________________________________________
ALERTED TRANSACTION DESCRIPTION
A review of alerted transaction(s) triggered between [Start Date] and [End Date] was conducted and returned the following results:
Unusual volume and value
Between [Start Date] and [End Date], [Subject Name] generated [Num Trans] alerts totaling an aggregate amount of $[Total Amount], in which there were [Num Cr] credit transactions totaling $[Cr] and [Num Dr] debit transactions totaling $[Dr].
A transaction review of [Subject Name] identified [discuss transaction code types and what they reflect].
Transactional risk indicators were observed, including [repeated high-value round-dollar transfers and/or rapid same-day or consecutive-day cycling], that appeared to indicate red flags, such as excessive or unusual frequency and unreasonably high volume.
This activity is being escalated as it is potentially indicative of suspicious activity. The presence of unusual transaction patterns, including [restate the unusual pattern of activity], is not indicative of normal cryptocurrency behavior. Therefore, this activity is being escalated as potentially suspicious.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the due diligence findings neither explain nor mitigate the observed activity and were not a contributing factor, as the value, volume, and structure of the transactions alone are sufficient to warrant concern. Additionally, no derogatory information was identified through negative media or sanctions searches.
Research does not yield information:
Due diligence did not yield conclusive information on [Subject Name]. The lack of identifiable information on the focal entity, while transacting at such high values and volumes, further compounds the concern raised by the value, volume, and structure of the transactions observed. Additionally, no derogatory information was identified through negative media or sanctions searches.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the due diligence findings neither explain nor mitigate the observed activity and were not a contributing factor, as the value, volume, and structure of the transactions alone are sufficient to warrant concern. Additionally, no additional derogatory information was identified through negative media or sanctions searches.
Research does not yield information:
Due diligence did not yield conclusive information on [Counterparty Name]. The lack of identifiable information on the focal entity, while transacting at such high values and volumes, further compounds the concern raised by the value, volume, and structure of the transactions observed. Additionally, no additional derogatory information was identified through negative media or sanctions searches.
________________________________________
CONCLUSION
Based on this investigation, evidence of suspicious patterns of activity was identified for [Subject Name] regarding usage of the Crypto.com account. [Explain in detail]
________________________________________</t>
  </si>
  <si>
    <t>[ECM ID]_[Alert ID] has been investigated in a targeted review of the Crypto program. As such, this review consists of alerted accounts and transactions tied solely to this customer's use of the program.
Program: Crypto.com
Customer: [Subject Name]
Customer accounts: [Account Numbers] (Open/Close Date)
Review Period: [Start Date] through [End Date]
Aggregate value of Alerts: $[Total Amount]
Associated Alerts: [Alert ID]
Rule(s) Triggered:
• [Rule Name]
________________________________________
PROGRAM DESCRIPTION
Based on the CFSB’s knowledge, the consumer does not maintain accounts with CFSB and is instead a client of Foris Inc.
Foris Inc operates under the DBA of Crypto.com. Foris Inc is a registered MSB with FinCEN. Foris Inc provides consumers with the ability to buy and sell cryptocurrency using an app. There are no crypto exchanges being processed involving CFSB. CFSB receives wire transfers from other U.S. bank accounts; the funds go into Crypto.com's virtual account with CFSB.
________________________________________
ALERTED TRANSACTION DESCRIPTION
A review of alerted transaction(s) triggered between [Start Date] and [End Date] period was conducted and returned the following results:
Reasonable transaction volume and value
Between [Start Date] and [End Date], [Subject Name] alerted on [Num Trans] totaling an aggregate amount of $[Total Amount], in which there were [Num Cr] credit transactions totaling $[Cr] and [Num Dr] debit transactions totaling $[Dr].
The transactions were of code [insert description of the movement type based on transaction code]. While the transactions reflect funding and spending in quick succession, it appears normal and expected for a cryptocurrency holder to utilize proceeds from crypto sales and purchase additional cryptocurrency; therefore, these transactions appear to be reasonable and consistent.
________________________________________
SUPPORTING INFORMATION AND RESEARCH
CUSTOMER DESCRIPTION
Research yields information:
The focal entity, [Subject Name], is [Age] years old (DOB: [DOB]) and is located at [Location].
Due diligence indicated that [Subject Name] operates within the [stated occupation].
Additionally, no derogatory information was identified through negative media or sanctions searches [if adverse media identified, change statement to address it].
Research does not yield information:
The focal entity, [Subject Name], is [Age] years old (DOB: [DOB]) and is located at [Location].
Due diligence did not yield conclusive information on [Subject Name].
Additionally, no derogatory information was identified through negative media or sanctions searches [if adverse media identified, change statement to address it].
________________________________________
COUNTERPARTY SEARCH
(If no counterparties, do not include this section)
The counterparties reviewed include recognizable payment processors and financial institutions such as [Counterparties].
Research yields information:
Due diligence indicated that [Counterparty name] operates within the [stated occupation].
Additionally, no derogatory information was identified through negative media or sanctions searches [if adverse media identified, change statement to address it].
Research does not yield information:
Due diligence did not yield conclusive information on [Counterparty name].
Additionally, no derogatory information was identified through negative media or sanctions searches [if adverse media identified, change statement to address it].
________________________________________
CONCLUSION
Based on this investigation, no evidence of suspicious patterns of activity was identified for [Subject Name] regarding usage of the Crypto.com account. [Explain in detail]
________________________________________</t>
  </si>
  <si>
    <t>Analyst</t>
  </si>
  <si>
    <t>Counterparties</t>
  </si>
  <si>
    <t>Event Type</t>
  </si>
  <si>
    <t>Output File</t>
  </si>
  <si>
    <t>Notes</t>
  </si>
  <si>
    <t>Detail</t>
  </si>
  <si>
    <t>ALERT</t>
  </si>
  <si>
    <t>Swapnil</t>
  </si>
  <si>
    <t>Transaction File Consolidated</t>
  </si>
  <si>
    <t>C:\Users\ssaha\OneDrive - Community Federal Savings Bank\Desktop\test\test_ALERT_Combined_Alerted_Transaction.xlsx</t>
  </si>
  <si>
    <t>source=Transaction Files, tag=Alerted</t>
  </si>
  <si>
    <t>OSDD Search</t>
  </si>
  <si>
    <t>C:\Users\ssaha\OneDrive - Community Federal Savings Bank\Desktop\test\OSDD Searches</t>
  </si>
  <si>
    <t>mode=Fast, entities=1, searches=3, time=36 second(s), captchaFlagged=0</t>
  </si>
  <si>
    <t>Method: Fast | Searches: [Customer (Swapnil)] Negative News page 1; [Customer (Swapnil)] Negative News page 2; [Customer (Swapnil)] Google name</t>
  </si>
  <si>
    <t>Alert Write-Up Generated</t>
  </si>
  <si>
    <t>C:\Users\ssaha\OneDrive - Community Federal Savings Bank\Desktop\test\test__Swapnil_Alert Write-Up.docx</t>
  </si>
  <si>
    <t>Full text archived in 'Narrative' tab of test_Audit_Log.xlsx</t>
  </si>
  <si>
    <t>ALERT2351899</t>
  </si>
  <si>
    <t>C:\Users\ssaha\OneDrive - Community Federal Savings Bank\Desktop\132002\132002_ALERT2351899_Combined_Alerted_Transaction.xlsx</t>
  </si>
  <si>
    <t>Ayrton Ferreira De Carvalho Tavares</t>
  </si>
  <si>
    <t>Nathan Aaron Hennessy Reiman; Loretin LLC; Bassed Tech Consulting LLC</t>
  </si>
  <si>
    <t>C:\Users\ssaha\OneDrive - Community Federal Savings Bank\Desktop\132002\132002_ALERT2351899_Ayrton Ferreira De Carvalho Tavares_Alert Write-Up.docx</t>
  </si>
  <si>
    <t>Full text archived in 'Narrative' tab of 132002_Audit_Log.xlsx</t>
  </si>
  <si>
    <t>ALERT2354475</t>
  </si>
  <si>
    <t>C:\Users\ssaha\OneDrive - Community Federal Savings Bank\Desktop\131328\131328_ALERT2354475_Combined_Alerted_Transaction.xlsx</t>
  </si>
  <si>
    <t>Licheng Technology LLC</t>
  </si>
  <si>
    <t>Takeprofittrader LLC</t>
  </si>
  <si>
    <t>C:\Users\ssaha\OneDrive - Community Federal Savings Bank\Desktop\131328\131328_ALERT2354475_Licheng Technology LLC_Alert Write-Up.docx</t>
  </si>
  <si>
    <t>Full text archived in 'Narrative' tab of 131328_Audit_Log.xlsx</t>
  </si>
  <si>
    <t>ALERT2320753</t>
  </si>
  <si>
    <t>2524244 Ontario INC</t>
  </si>
  <si>
    <t>C:\Users\ssaha\OneDrive - Community Federal Savings Bank\Desktop\114067\114067_ALERT2320753_Combined_Alerted_Transaction.xlsx</t>
  </si>
  <si>
    <t>Merkavot Argaman LTD; Ori Zugdon; Orie Zeagdone Binyammin Zeagdone</t>
  </si>
  <si>
    <t>C:\Users\ssaha\OneDrive - Community Federal Savings Bank\Desktop\114067\114067_ALERT2320753_2524244 Ontario INC_Alert Write-Up.docx</t>
  </si>
  <si>
    <t>Full text archived in 'Narrative' tab of 114067_Audit_Log.xlsx</t>
  </si>
  <si>
    <t>ALERT2357380</t>
  </si>
  <si>
    <t>Shuai Chen</t>
  </si>
  <si>
    <t>C:\Users\ssaha\OneDrive - Community Federal Savings Bank\Desktop\131903\131903_ALERT2357380_Combined_Alerted_Transaction.xlsx</t>
  </si>
  <si>
    <t>Mr Shuai Chen</t>
  </si>
  <si>
    <t>C:\Users\ssaha\OneDrive - Community Federal Savings Bank\Desktop\131903\131903_ALERT2357380_Shuai Chen_Alert Write-Up.docx</t>
  </si>
  <si>
    <t>Full text archived in 'Narrative' tab of 131903_Audit_Log.xlsx</t>
  </si>
  <si>
    <t>C:\Users\ssaha\OneDrive - Community Federal Savings Bank\Desktop\131903\OSDD Searches</t>
  </si>
  <si>
    <t>mode=Optimised, entities=1, searches=5, time=1 minute(s) and 25 second(s), captchaFlagged=0</t>
  </si>
  <si>
    <t>Method: Optimised | Searches: [Customer (Shuai Chen)] Negative News page 1; [Customer (Shuai Chen)] Negative News page 2; [Customer (Shuai Chen)] Name + Address; [Customer (Shuai Chen)] Google name; [Customer (Shuai Chen)] Address</t>
  </si>
  <si>
    <t>Case Folder Created</t>
  </si>
  <si>
    <t>C:\Users\ssaha\OneDrive - Community Federal Savings Bank\Desktop\131903</t>
  </si>
  <si>
    <t>n/a</t>
  </si>
  <si>
    <t>Transaction Files / Non Alerted Transaction Files / Lookback Transaction Files created</t>
  </si>
  <si>
    <t>mode=Optimised, entities=1, searches=3, time=43 second(s), captchaFlagged=0</t>
  </si>
  <si>
    <t>Method: Optimised | Searches: [Customer (Shuai Chen)] Name + Address; [Customer (Shuai Chen)] Google name; [Customer (Shuai Chen)] Address</t>
  </si>
  <si>
    <t>ALERT2326749</t>
  </si>
  <si>
    <t>C:\Users\ssaha\OneDrive - Community Federal Savings Bank\Desktop\115987\115987_ALERT2326749_Combined_Alerted_Transaction.xlsx</t>
  </si>
  <si>
    <t>Hongkong Cloudflying Technology</t>
  </si>
  <si>
    <t>Guang Zhou Chun Pai Ke Ji You Xian</t>
  </si>
  <si>
    <t>C:\Users\ssaha\OneDrive - Community Federal Savings Bank\Desktop\115987\115987_ALERT2326749_Hongkong Cloudflying Technology_Alert Write-Up.docx</t>
  </si>
  <si>
    <t>Full text archived in 'Narrative' tab of 115987_Audit_Log.xlsx</t>
  </si>
  <si>
    <t>Hongkong Cloudflying Technology Limited</t>
  </si>
  <si>
    <t>Guangzhou Chun Pai Ke Ji You Xian</t>
  </si>
  <si>
    <t>C:\Users\ssaha\OneDrive - Community Federal Savings Bank\Desktop\115987\115987_ALERT2326749_Hongkong Cloudflying Technology Limited_Alert Write-Up.docx</t>
  </si>
  <si>
    <t>ALERT2358878</t>
  </si>
  <si>
    <t>Hemeko Usa Inc.</t>
  </si>
  <si>
    <t>Tiktok Ads</t>
  </si>
  <si>
    <t>C:\Users\ssaha\OneDrive - Community Federal Savings Bank\Desktop\135281</t>
  </si>
  <si>
    <t>C:\Users\ssaha\OneDrive - Community Federal Savings Bank\Desktop\135281\135281_ALERT2358878_Combined_Alerted_Transaction.xlsx</t>
  </si>
  <si>
    <t>C:\Users\ssaha\OneDrive - Community Federal Savings Bank\Desktop\135281\OSDD Searches</t>
  </si>
  <si>
    <t>mode=Fast, entities=2, searches=8, time=1 minute(s) and 15 second(s), captchaFlagged=0</t>
  </si>
  <si>
    <t>Method: Fast | Searches: [Customer (Hemeko Usa Inc.)] Negative News page 1; [Customer (Hemeko Usa Inc.)] Negative News page 2; [CP 1 of 1 (Tiktok Ads)] Negative News page 1; [CP 1 of 1 (Tiktok Ads)] Negative News page 2; [Customer (Hemeko Usa Inc.)] Name + Address; [Customer (Hemeko Usa Inc.)] Google name; [Customer (Hemeko Usa Inc.)] Address; [CP 1 of 1 (Tiktok Ads)] Google name</t>
  </si>
  <si>
    <t>C:\Users\ssaha\OneDrive - Community Federal Savings Bank\Desktop\135281\135281_ALERT2358878_Hemeko Usa Inc._Alert Write-Up.docx</t>
  </si>
  <si>
    <t>Full text archived in 'Narrative' tab of 135281_Audit_Log.xlsx</t>
  </si>
  <si>
    <t>ALERT2362189</t>
  </si>
  <si>
    <t>Daniel Muvdi Lopez</t>
  </si>
  <si>
    <t>C:\Users\ssaha\OneDrive - Community Federal Savings Bank\Desktop\136313</t>
  </si>
  <si>
    <t>C:\Users\ssaha\OneDrive - Community Federal Savings Bank\Desktop\136313\136313_ALERT2362189_Combined_Alerted_Transaction.xlsx</t>
  </si>
  <si>
    <t>Emerald Creek Management; Walmart #0266; Sams Club #4795</t>
  </si>
  <si>
    <t>C:\Users\ssaha\OneDrive - Community Federal Savings Bank\Desktop\136313\OSDD Searches</t>
  </si>
  <si>
    <t>mode=Fast, entities=4, searches=14, time=2 minute(s) and 12 second(s), captchaFlagged=0</t>
  </si>
  <si>
    <t>Method: Fast | Searches: [Customer (Daniel Muvdi Lopez)] Negative News page 1; [Customer (Daniel Muvdi Lopez)] Negative News page 2; [Customer (Daniel Muvdi Lopez)] Negative News w/o middle, page 1; [Customer (Daniel Muvdi Lopez)] Negative News w/o middle, page 2; [CP 1 of 3 (Emerald Creek Management)] Negative News page 1; [CP 1 of 3 (Emerald Creek Management)] Negative News page 2; [CP 3 of 3 (Sams Club #4795)] Negative News page 1; [CP 3 of 3 (Sams Club #4795)] Negative News page 2; [Customer (Daniel Muvdi Lopez)] Name + Address; [Customer (Daniel Muvdi Lopez)] Google name; [Customer (Daniel Muvdi Lopez)] Address; [CP 1 of 3 (Emerald Creek Management)] Google name; [CP 2 of 3 (Walmart #0266)] Google name; [CP 3 of 3 (Sams Club #4795)] Google name</t>
  </si>
  <si>
    <t>C:\Users\ssaha\OneDrive - Community Federal Savings Bank\Desktop\136313\136313_ALERT2362189_Daniel Muvdi Lopez_Alert Write-Up.docx</t>
  </si>
  <si>
    <t>Full text archived in 'Narrative' tab of 136313_Audit_Log.xlsx</t>
  </si>
  <si>
    <t>C:\Users\ssaha\OneDrive - Community Federal Savings Bank\Desktop\136313\136313_ALERT2362189_Combined_NonAlerted_Transaction.xlsx</t>
  </si>
  <si>
    <t>source=Non Alerted Transaction Files, tag=NonAlerted</t>
  </si>
  <si>
    <t>ALERT2363104</t>
  </si>
  <si>
    <t>Millstream Partners LTD</t>
  </si>
  <si>
    <t>C:\Users\ssaha\OneDrive - Community Federal Savings Bank\Desktop\134049</t>
  </si>
  <si>
    <t>C:\Users\ssaha\OneDrive - Community Federal Savings Bank\Desktop\134049\134049_ALERT2363104_Combined_Alerted_Transaction.xlsx</t>
  </si>
  <si>
    <t>Bunker Hill Mining Corp; Emergent Metals Corp; Canada Nickel Company Inc.,</t>
  </si>
  <si>
    <t>C:\Users\ssaha\OneDrive - Community Federal Savings Bank\Desktop\134049\OSDD Searches</t>
  </si>
  <si>
    <t>mode=Optimised, entities=4, searches=28, time=7 minute(s) and 29 second(s), captchaFlagged=0</t>
  </si>
  <si>
    <t>Method: Optimised | Searches: [Customer (Millstream Partners LTD)] Negative News page 1; [Customer (Millstream Partners LTD)] Negative News page 2; [Customer (Millstream Partners LTD)] Negative News w/o middle, page 1; [Customer (Millstream Partners LTD)] Negative News w/o middle, page 2; [CP 1 of 3 (Bunker Hill Mining Corp)] Negative News page 1; [CP 1 of 3 (Bunker Hill Mining Corp)] Negative News page 2; [CP 1 of 3 (Bunker Hill Mining Corp)] Negative News w/o middle, page 1; [CP 1 of 3 (Bunker Hill Mining Corp)] Negative News w/o middle, page 2; [CP 2 of 3 (Emergent Metals Corp)] Negative News page 1; [CP 2 of 3 (Emergent Metals Corp)] Negative News page 2; [CP 2 of 3 (Emergent Metals Corp)] Negative News w/o middle, page 1; [CP 2 of 3 (Emergent Metals Corp)] Negative News w/o middle, page 2; [CP 3 of 3 (Canada Nickel Company Inc.,)] Negative News page 1; [CP 3 of 3 (Canada Nickel Company Inc.,)] Negative News page 2; [CP 3 of 3 (Canada Nickel Company Inc.,)] Negative News w/o middle, page 1; [CP 3 of 3 (Canada Nickel Company Inc.,)] Negative News w/o middle, page 2; [Customer (Millstream Partners LTD)] Name + Address; [CP 1 of 3 (Bunker Hill Mining Corp)] Name + Address; [CP 2 of 3 (Emergent Metals Corp)] Name + Address; [CP 3 of 3 (Canada Nickel Company Inc.,)] Name + Address; [Customer (Millstream Partners LTD)] Google name; [Customer (Millstream Partners LTD)] Address; [CP 1 of 3 (Bunker Hill Mining Corp)] Google name; [CP 1 of 3 (Bunker Hill Mining Corp)] Address; [CP 2 of 3 (Emergent Metals Corp)] Google name; [CP 2 of 3 (Emergent Metals Corp)] Address; [CP 3 of 3 (Canada Nickel Company Inc.,)] Google name; [CP 3 of 3 (Canada Nickel Company Inc.,)] Address</t>
  </si>
  <si>
    <t>C:\Users\ssaha\OneDrive - Community Federal Savings Bank\Desktop\134049\134049_ALERT2363104_Millstream Partners LTD_Alert Write-Up.docx</t>
  </si>
  <si>
    <t>Full text archived in 'Narrative' tab of 134049_Audit_Log.xlsx</t>
  </si>
  <si>
    <t>ALERT2368717</t>
  </si>
  <si>
    <t>Alexandre Peppo Do Nascimento</t>
  </si>
  <si>
    <t>C:\Users\ssaha\OneDrive - Community Federal Savings Bank\Desktop\137857</t>
  </si>
  <si>
    <t>C:\Users\ssaha\OneDrive - Community Federal Savings Bank\Desktop\137857\137857_ALERT2368717_Combined_Alerted_Transaction.xlsx</t>
  </si>
  <si>
    <t>C:\Users\ssaha\OneDrive - Community Federal Savings Bank\Desktop\137857\OSDD Searches</t>
  </si>
  <si>
    <t>mode=Fast, entities=1, searches=7, time=1 minute(s) and 7 second(s), captchaFlagged=0</t>
  </si>
  <si>
    <t>Method: Fast | Searches: [Customer (Alexandre Peppo Do Nascimento)] Negative News page 1; [Customer (Alexandre Peppo Do Nascimento)] Negative News page 2; [Customer (Alexandre Peppo Do Nascimento)] Negative News w/o middle, page 1; [Customer (Alexandre Peppo Do Nascimento)] Negative News w/o middle, page 2; [Customer (Alexandre Peppo Do Nascimento)] Name + Address; [Customer (Alexandre Peppo Do Nascimento)] Google name; [Customer (Alexandre Peppo Do Nascimento)] Address</t>
  </si>
  <si>
    <t>C:\Users\ssaha\OneDrive - Community Federal Savings Bank\Desktop\137857\137857_ALERT2368717_Alexandre Peppo Do Nascimento_Alert Write-Up.docx</t>
  </si>
  <si>
    <t>Full text archived in 'Narrative' tab of 137857_Audit_Log.xlsx</t>
  </si>
  <si>
    <t>ALERT2368144</t>
  </si>
  <si>
    <t>Ari Goren</t>
  </si>
  <si>
    <t>C:\Users\ssaha\OneDrive - Community Federal Savings Bank\Desktop\137313\OSDD Searches</t>
  </si>
  <si>
    <t>mode=Fast, entities=1, searches=5, time=58 second(s), captchaFlagged=0</t>
  </si>
  <si>
    <t>Method: Fast | Searches: [Customer (Ari Goren)] Negative News page 1; [Customer (Ari Goren)] Negative News page 2; [Customer (Ari Goren)] Name + Address; [Customer (Ari Goren)] Google name; [Customer (Ari Goren)] Address</t>
  </si>
  <si>
    <t>C:\Users\ssaha\OneDrive - Community Federal Savings Bank\Desktop\137313</t>
  </si>
  <si>
    <t>C:\Users\ssaha\OneDrive - Community Federal Savings Bank\Desktop\137313\137313_ALERT2368144_Combined_Alerted_Transaction.xlsx</t>
  </si>
  <si>
    <t>C:\Users\ssaha\OneDrive - Community Federal Savings Bank\Desktop\137313\137313_ALERT2368144_Ari Goren_Alert Write-Up.docx</t>
  </si>
  <si>
    <t>Full text archived in 'Narrative' tab of 137313_Audit_Log.xlsx</t>
  </si>
  <si>
    <t>ALERT2367850</t>
  </si>
  <si>
    <t>Kopal Garg</t>
  </si>
  <si>
    <t>Sanidhya Narain</t>
  </si>
  <si>
    <t>C:\Users\ssaha\OneDrive - Community Federal Savings Bank\Desktop\134521</t>
  </si>
  <si>
    <t>C:\Users\ssaha\OneDrive - Community Federal Savings Bank\Desktop\134521\134521_ALERT2367850_Combined_Alerted_Transaction.xlsx</t>
  </si>
  <si>
    <t>C:\Users\ssaha\OneDrive - Community Federal Savings Bank\Desktop\134521\OSDD Searches</t>
  </si>
  <si>
    <t>mode=Fast, entities=2, searches=10, time=1 minute(s) and 23 second(s), captchaFlagged=0</t>
  </si>
  <si>
    <t>Method: Fast | Searches: [Customer (Kopal Garg)] Negative News page 1; [Customer (Kopal Garg)] Negative News page 2; [CP 1 of 1 (Sanidhya Narain)] Negative News page 1; [CP 1 of 1 (Sanidhya Narain)] Negative News page 2; [Customer (Kopal Garg)] Name + Address; [CP 1 of 1 (Sanidhya Narain)] Name + Address; [Customer (Kopal Garg)] Google name; [Customer (Kopal Garg)] Address; [CP 1 of 1 (Sanidhya Narain)] Google name; [CP 1 of 1 (Sanidhya Narain)] Address</t>
  </si>
  <si>
    <t>C:\Users\ssaha\OneDrive - Community Federal Savings Bank\Desktop\134521\134521_ALERT2367850_Kopal Garg_Alert Write-Up.docx</t>
  </si>
  <si>
    <t>Full text archived in 'Narrative' tab of 134521_Audit_Log.xlsx</t>
  </si>
  <si>
    <t>ALERT2362568</t>
  </si>
  <si>
    <t>Freightera</t>
  </si>
  <si>
    <t>C:\Users\ssaha\OneDrive - Community Federal Savings Bank\Desktop\135873</t>
  </si>
  <si>
    <t>C:\Users\ssaha\OneDrive - Community Federal Savings Bank\Desktop\135873\135873_ALERT2362568_Combined_Alerted_Transaction.xlsx</t>
  </si>
  <si>
    <t>Saia; Arcbest; Southeastern Freight Lines</t>
  </si>
  <si>
    <t>C:\Users\ssaha\OneDrive - Community Federal Savings Bank\Desktop\135873\OSDD Searches</t>
  </si>
  <si>
    <t>mode=Fast, entities=4, searches=20, time=11 minute(s) and 5 second(s), captchaFlagged=1</t>
  </si>
  <si>
    <t>Method: Fast | Searches: [Customer (Freightera)] Negative News page 1; [Customer (Freightera)] Negative News page 2; [CP 1 of 3 (Saia)] Negative News page 1; [CP 1 of 3 (Saia)] Negative News page 2; [CP 2 of 3 (Arcbest)] Negative News page 1; [CP 2 of 3 (Arcbest)] Negative News page 2; [CP 3 of 3 (Southeastern Freight Lines)] Negative News page 1; [CP 3 of 3 (Southeastern Freight Lines)] Negative News page 2; [Customer (Freightera)] Name + Address; [CP 1 of 3 (Saia)] Name + Address; [CP 2 of 3 (Arcbest)] Name + Address; [CP 3 of 3 (Southeastern Freight Lines)] Name + Address; [Customer (Freightera)] Google name; [Customer (Freightera)] Address; [CP 1 of 3 (Saia)] Google name; [CP 1 of 3 (Saia)] Address; [CP 2 of 3 (Arcbest)] Google name; [CP 2 of 3 (Arcbest)] Address; [CP 3 of 3 (Southeastern Freight Lines)] Google name; [CP 3 of 3 (Southeastern Freight Lines)] Address</t>
  </si>
  <si>
    <t>mode=Fast, entities=4, searches=20, time=2 minute(s) and 20 second(s), captchaFlagged=0</t>
  </si>
  <si>
    <t>mode=Fast, entities=4, searches=20, time=4 minute(s) and 51 second(s), captchaFlagged=0</t>
  </si>
  <si>
    <t>C:\Users\ssaha\OneDrive - Community Federal Savings Bank\Desktop\135873\135873_ALERT2362568_Freightera_Alert Write-Up.docx</t>
  </si>
  <si>
    <t>Full text archived in 'Narrative' tab of 135873_Audit_Log.xlsx</t>
  </si>
  <si>
    <t>ALERT2363979</t>
  </si>
  <si>
    <t>Newton Maia Salomao Alves</t>
  </si>
  <si>
    <t>C:\Users\ssaha\OneDrive - Community Federal Savings Bank\Desktop\138337</t>
  </si>
  <si>
    <t>C:\Users\ssaha\OneDrive - Community Federal Savings Bank\Desktop\138337\138337_ALERT2363979_Combined_Alerted_Transaction.xlsx</t>
  </si>
  <si>
    <t>Sunley House Limited Partnership; Sunley House L.P. Iv-Gpe-Viii-A; Sh 24Xbfs Co Limited Partnership</t>
  </si>
  <si>
    <t>C:\Users\ssaha\OneDrive - Community Federal Savings Bank\Desktop\138337\OSDD Searches</t>
  </si>
  <si>
    <t>mode=Fast, entities=4, searches=26, time=3 minute(s) and 39 second(s), captchaFlagged=0</t>
  </si>
  <si>
    <t>Method: Fast | Searches: [Customer (Newton Maia Salomao Alves)] Negative News page 1; [Customer (Newton Maia Salomao Alves)] Negative News page 2; [Customer (Newton Maia Salomao Alves)] Negative News w/o middle, page 1; [Customer (Newton Maia Salomao Alves)] Negative News w/o middle, page 2; [CP 1 of 3 (Sunley House Limited Partnership)] Negative News page 1; [CP 1 of 3 (Sunley House Limited Partnership)] Negative News page 2; [CP 1 of 3 (Sunley House Limited Partnership)] Negative News w/o middle, page 1; [CP 1 of 3 (Sunley House Limited Partnership)] Negative News w/o middle, page 2; [CP 2 of 3 (Sunley House L.P. Iv-Gpe-Viii-A)] Negative News page 1; [CP 2 of 3 (Sunley House L.P. Iv-Gpe-Viii-A)] Negative News page 2; [CP 3 of 3 (Sh 24Xbfs Co Limited Partnership)] Negative News page 1; [CP 3 of 3 (Sh 24Xbfs Co Limited Partnership)] Negative News page 2; [CP 3 of 3 (Sh 24Xbfs Co Limited Partnership)] Negative News w/o middle, page 1; [CP 3 of 3 (Sh 24Xbfs Co Limited Partnership)] Negative News w/o middle, page 2; [Customer (Newton Maia Salomao Alves)] Name + Address; [CP 1 of 3 (Sunley House Limited Partnership)] Name + Address; [CP 2 of 3 (Sunley House L.P. Iv-Gpe-Viii-A)] Name + Address; [CP 3 of 3 (Sh 24Xbfs Co Limited Partnership)] Name + Address; [Customer (Newton Maia Salomao Alves)] Google name; [Customer (Newton Maia Salomao Alves)] Address; [CP 1 of 3 (Sunley House Limited Partnership)] Google name; [CP 1 of 3 (Sunley House Limited Partnership)] Address; [CP 2 of 3 (Sunley House L.P. Iv-Gpe-Viii-A)] Google name; [CP 2 of 3 (Sunley House L.P. Iv-Gpe-Viii-A)] Address; [CP 3 of 3 (Sh 24Xbfs Co Limited Partnership)] Google name; [CP 3 of 3 (Sh 24Xbfs Co Limited Partnership)] Address</t>
  </si>
  <si>
    <t>C:\Users\ssaha\OneDrive - Community Federal Savings Bank\Desktop\138337\138337_ALERT2363979_Newton Maia Salomao Alves_Alert Write-Up.docx</t>
  </si>
  <si>
    <t>Full text archived in 'Narrative' tab of 138337_Audit_Log.xlsx</t>
  </si>
  <si>
    <t>ALERT2361040</t>
  </si>
  <si>
    <t>Alm Ecom LLC</t>
  </si>
  <si>
    <t>Facebook Ads</t>
  </si>
  <si>
    <t>C:\Users\ssaha\OneDrive - Community Federal Savings Bank\Desktop\139093</t>
  </si>
  <si>
    <t>C:\Users\ssaha\OneDrive - Community Federal Savings Bank\Desktop\139093\139093_ALERT2361040_Combined_Alerted_Transaction.xlsx</t>
  </si>
  <si>
    <t>C:\Users\ssaha\OneDrive - Community Federal Savings Bank\Desktop\139093\139093_ALERT2361040_Alm Ecom LLC_Alert Write-Up.docx</t>
  </si>
  <si>
    <t>Full text archived in 'Narrative' tab of 139093_Audit_Log.xlsx</t>
  </si>
  <si>
    <t>C:\Users\ssaha\OneDrive - Community Federal Savings Bank\Desktop\139093\OSDD Searches</t>
  </si>
  <si>
    <t>mode=Fast, entities=2, searches=10, time=1 minute(s) and 41 second(s), captchaFlagged=0</t>
  </si>
  <si>
    <t>Method: Fast | Searches: [Customer (Alm Ecom LLC)] Negative News page 1; [Customer (Alm Ecom LLC)] Negative News page 2; [Customer (Alm Ecom LLC)] Negative News w/o middle, page 1; [Customer (Alm Ecom LLC)] Negative News w/o middle, page 2; [CP 1 of 1 (Facebook Ads)] Negative News page 1; [CP 1 of 1 (Facebook Ads)] Negative News page 2; [Customer (Alm Ecom LLC)] Name + Address; [Customer (Alm Ecom LLC)] Google name; [Customer (Alm Ecom LLC)] Address; [CP 1 of 1 (Facebook Ads)] Google name</t>
  </si>
  <si>
    <t>ERROR - Err -2147418110: Method 'Close' of object '_Workbook' failed [src: AML_Macro] - entities=2, searches=10, captchaFlagged=0</t>
  </si>
  <si>
    <t>ALERT2358822</t>
  </si>
  <si>
    <t>Velocitytitan Commerce INC</t>
  </si>
  <si>
    <t>Google Ads</t>
  </si>
  <si>
    <t>C:\Users\ssaha\OneDrive - Community Federal Savings Bank\Desktop\134925</t>
  </si>
  <si>
    <t>C:\Users\ssaha\OneDrive - Community Federal Savings Bank\Desktop\134925\134925_ALERT2358822_Combined_Alerted_Transaction.xlsx</t>
  </si>
  <si>
    <t>C:\Users\ssaha\OneDrive - Community Federal Savings Bank\Desktop\134925\OSDD Searches</t>
  </si>
  <si>
    <t>mode=Fast, entities=2, searches=8, time=1 minute(s) and 14 second(s), captchaFlagged=0</t>
  </si>
  <si>
    <t>Method: Fast | Searches: [Customer (Velocitytitan Commerce INC)] Negative News page 1; [Customer (Velocitytitan Commerce INC)] Negative News page 2; [Customer (Velocitytitan Commerce INC)] Negative News w/o middle, page 1; [Customer (Velocitytitan Commerce INC)] Negative News w/o middle, page 2; [Customer (Velocitytitan Commerce INC)] Name + Address; [Customer (Velocitytitan Commerce INC)] Google name; [Customer (Velocitytitan Commerce INC)] Address; [CP 1 of 1 (Google Ads)] Google name</t>
  </si>
  <si>
    <t>C:\Users\ssaha\OneDrive - Community Federal Savings Bank\Desktop\134925\134925_ALERT2358822_Velocitytitan Commerce INC_Alert Write-Up.docx</t>
  </si>
  <si>
    <t>Full text archived in 'Narrative' tab of 134925_Audit_Log.xlsx</t>
  </si>
  <si>
    <t>ALERT2362420</t>
  </si>
  <si>
    <t>Dollar Tree Management LLC</t>
  </si>
  <si>
    <t>C:\Users\ssaha\OneDrive - Community Federal Savings Bank\Desktop\134917</t>
  </si>
  <si>
    <t>C:\Users\ssaha\OneDrive - Community Federal Savings Bank\Desktop\134917\134917_ALERT2362420_Combined_Alerted_Transaction.xlsx</t>
  </si>
  <si>
    <t>At&amp;T; Brightspeed; Marketspark</t>
  </si>
  <si>
    <t>C:\Users\ssaha\OneDrive - Community Federal Savings Bank\Desktop\134917\OSDD Searches</t>
  </si>
  <si>
    <t>mode=Fast, entities=4, searches=14, time=2 minute(s) and 14 second(s), captchaFlagged=0</t>
  </si>
  <si>
    <t>Method: Fast | Searches: [Customer (Dollar Tree Management LLC)] Negative News page 1; [Customer (Dollar Tree Management LLC)] Negative News page 2; [Customer (Dollar Tree Management LLC)] Negative News w/o middle, page 1; [Customer (Dollar Tree Management LLC)] Negative News w/o middle, page 2; [CP 2 of 3 (Brightspeed)] Negative News page 1; [CP 2 of 3 (Brightspeed)] Negative News page 2; [CP 3 of 3 (Marketspark)] Negative News page 1; [CP 3 of 3 (Marketspark)] Negative News page 2; [Customer (Dollar Tree Management LLC)] Name + Address; [Customer (Dollar Tree Management LLC)] Google name; [Customer (Dollar Tree Management LLC)] Address; [CP 1 of 3 (At&amp;T)] Google name; [CP 2 of 3 (Brightspeed)] Google name; [CP 3 of 3 (Marketspark)] Google name</t>
  </si>
  <si>
    <t>C:\Users\ssaha\OneDrive - Community Federal Savings Bank\Desktop\134917\134917_ALERT2362420_Dollar Tree Management LLC_Alert Write-Up.docx</t>
  </si>
  <si>
    <t>Full text archived in 'Narrative' tab of 134917_Audit_Log.xlsx</t>
  </si>
  <si>
    <t>ALERT2370284</t>
  </si>
  <si>
    <t>Embertech LTD</t>
  </si>
  <si>
    <t>C:\Users\ssaha\OneDrive - Community Federal Savings Bank\Desktop\134941</t>
  </si>
  <si>
    <t>C:\Users\ssaha\OneDrive - Community Federal Savings Bank\Desktop\134941\134941_ALERT2370284_Combined_Alerted_Transaction.xlsx</t>
  </si>
  <si>
    <t>C:\Users\ssaha\OneDrive - Community Federal Savings Bank\Desktop\134941\OSDD Searches</t>
  </si>
  <si>
    <t>mode=Fast, entities=1, searches=5, time=47 second(s), captchaFlagged=0</t>
  </si>
  <si>
    <t>Method: Fast | Searches: [Customer (Embertech LTD)] Negative News page 1; [Customer (Embertech LTD)] Negative News page 2; [Customer (Embertech LTD)] Name + Address; [Customer (Embertech LTD)] Google name; [Customer (Embertech LTD)] Address</t>
  </si>
  <si>
    <t>C:\Users\ssaha\OneDrive - Community Federal Savings Bank\Desktop\134941\134941_ALERT2370284_Embertech LTD_Alert Write-Up.docx</t>
  </si>
  <si>
    <t>Full text archived in 'Narrative' tab of 134941_Audit_Log.xlsx</t>
  </si>
  <si>
    <t>ALERT2368286</t>
  </si>
  <si>
    <t>Marcelo Abreu Ribeiro</t>
  </si>
  <si>
    <t>C:\Users\ssaha\OneDrive - Community Federal Savings Bank\Desktop\134825</t>
  </si>
  <si>
    <t>C:\Users\ssaha\OneDrive - Community Federal Savings Bank\Desktop\134825\134825_ALERT2368286_Combined_Alerted_Transaction.xlsx</t>
  </si>
  <si>
    <t>Luciana Ribeiro; Dufry Lojas Francas Rio De Janeiro; Uber</t>
  </si>
  <si>
    <t>C:\Users\ssaha\OneDrive - Community Federal Savings Bank\Desktop\134825\OSDD Searches</t>
  </si>
  <si>
    <t>mode=Fast, entities=4, searches=14, time=1 minute(s) and 44 second(s), captchaFlagged=0</t>
  </si>
  <si>
    <t>Method: Fast | Searches: [Customer (Marcelo Abreu Ribeiro)] Negative News page 1; [Customer (Marcelo Abreu Ribeiro)] Negative News page 2; [Customer (Marcelo Abreu Ribeiro)] Negative News w/o middle, page 1; [Customer (Marcelo Abreu Ribeiro)] Negative News w/o middle, page 2; [CP 1 of 3 (Luciana Ribeiro)] Negative News page 1; [CP 1 of 3 (Luciana Ribeiro)] Negative News page 2; [CP 2 of 3 (Dufry Lojas Francas Rio De Janeiro)] Negative News page 1; [CP 2 of 3 (Dufry Lojas Francas Rio De Janeiro)] Negative News page 2; [Customer (Marcelo Abreu Ribeiro)] Name + Address; [Customer (Marcelo Abreu Ribeiro)] Google name; [Customer (Marcelo Abreu Ribeiro)] Address; [CP 1 of 3 (Luciana Ribeiro)] Google name; [CP 2 of 3 (Dufry Lojas Francas Rio De Janeiro)] Google name; [CP 3 of 3 (Uber)] Google name</t>
  </si>
  <si>
    <t>RFI Questions Generated</t>
  </si>
  <si>
    <t>C:\Users\ssaha\OneDrive - Community Federal Savings Bank\Desktop\134825\134825_ALERT2368286_Marcelo Abreu Ribeiro_RFI QUESTIONS.docx</t>
  </si>
  <si>
    <t>Full text archived in 'Narrative' tab of 134825_Audit_Log.xlsx</t>
  </si>
  <si>
    <t>ALERT2364419</t>
  </si>
  <si>
    <t>Mitsui Corporation LTD</t>
  </si>
  <si>
    <t>C:\Users\ssaha\OneDrive - Community Federal Savings Bank\Desktop\134901</t>
  </si>
  <si>
    <t>C:\Users\ssaha\OneDrive - Community Federal Savings Bank\Desktop\134901\134901_ALERT2364419_Combined_Alerted_Transaction.xlsx</t>
  </si>
  <si>
    <t>Michael Lesniak Denise M Madruga; Adam Stone; Jonathan W Branch</t>
  </si>
  <si>
    <t>C:\Users\ssaha\OneDrive - Community Federal Savings Bank\Desktop\134901\OSDD Searches</t>
  </si>
  <si>
    <t>mode=Fast, entities=4, searches=24, time=5 minute(s) and 27 second(s), captchaFlagged=0</t>
  </si>
  <si>
    <t>Method: Fast | Searches: [Customer (Mitsui Corporation LTD)] Negative News page 1; [Customer (Mitsui Corporation LTD)] Negative News page 2; [Customer (Mitsui Corporation LTD)] Negative News w/o middle, page 1; [Customer (Mitsui Corporation LTD)] Negative News w/o middle, page 2; [CP 1 of 3 (Michael Lesniak Denise M Madruga)] Negative News page 1; [CP 1 of 3 (Michael Lesniak Denise M Madruga)] Negative News page 2; [CP 2 of 3 (Adam Stone)] Negative News page 1; [CP 2 of 3 (Adam Stone)] Negative News page 2; [CP 3 of 3 (Jonathan W Branch)] Negative News page 1; [CP 3 of 3 (Jonathan W Branch)] Negative News page 2; [CP 3 of 3 (Jonathan W Branch)] Negative News w/o middle, page 1; [CP 3 of 3 (Jonathan W Branch)] Negative News w/o middle, page 2; [Customer (Mitsui Corporation LTD)] Name + Address; [CP 1 of 3 (Michael Lesniak Denise M Madruga)] Name + Address; [CP 2 of 3 (Adam Stone)] Name + Address; [CP 3 of 3 (Jonathan W Branch)] Name + Address; [Customer (Mitsui Corporation LTD)] Google name; [Customer (Mitsui Corporation LTD)] Address; [CP 1 of 3 (Michael Lesniak Denise M Madruga)] Google name; [CP 1 of 3 (Michael Lesniak Denise M Madruga)] Address; [CP 2 of 3 (Adam Stone)] Google name; [CP 2 of 3 (Adam Stone)] Address; [CP 3 of 3 (Jonathan W Branch)] Google name; [CP 3 of 3 (Jonathan W Branch)] Address</t>
  </si>
  <si>
    <t>C:\Users\ssaha\OneDrive - Community Federal Savings Bank\Desktop\134901\134901_ALERT2364419_Mitsui Corporation LTD_Alert Write-Up.docx</t>
  </si>
  <si>
    <t>Full text archived in 'Narrative' tab of 134901_Audit_Log.xlsx</t>
  </si>
  <si>
    <t>ALERT2370470</t>
  </si>
  <si>
    <t>Talent First International LTD</t>
  </si>
  <si>
    <t>C:\Users\ssaha\OneDrive - Community Federal Savings Bank\Desktop\134933</t>
  </si>
  <si>
    <t>C:\Users\ssaha\OneDrive - Community Federal Savings Bank\Desktop\134933\134933_ALERT2370470_Combined_Alerted_Transaction.xlsx</t>
  </si>
  <si>
    <t>Cynet Security LTD; Trustmi Network LTD</t>
  </si>
  <si>
    <t>C:\Users\ssaha\OneDrive - Community Federal Savings Bank\Desktop\134933\OSDD Searches</t>
  </si>
  <si>
    <t>mode=Fast, entities=3, searches=21, time=19 minute(s) and 57 second(s), captchaFlagged=8</t>
  </si>
  <si>
    <t>Method: Fast | Searches: [Customer (Talent First International LTD)] Negative News page 1; [Customer (Talent First International LTD)] Negative News page 2; [Customer (Talent First International LTD)] Negative News w/o middle, page 1; [Customer (Talent First International LTD)] Negative News w/o middle, page 2; [CP 1 of 2 (Cynet Security LTD)] Negative News page 1; [CP 1 of 2 (Cynet Security LTD)] Negative News page 2; [CP 1 of 2 (Cynet Security LTD)] Negative News w/o middle, page 1; [CP 1 of 2 (Cynet Security LTD)] Negative News w/o middle, page 2; [CP 2 of 2 (Trustmi Network LTD)] Negative News page 1; [CP 2 of 2 (Trustmi Network LTD)] Negative News page 2; [CP 2 of 2 (Trustmi Network LTD)] Negative News w/o middle, page 1; [CP 2 of 2 (Trustmi Network LTD)] Negative News w/o middle, page 2; [Customer (Talent First International LTD)] Name + Address; [CP 1 of 2 (Cynet Security LTD)] Name + Address; [CP 2 of 2 (Trustmi Network LTD)] Name + Address; [Customer (Talent First International LTD)] Google name; [Customer (Talent First International LTD)] Address; [CP 1 of 2 (Cynet Security LTD)] Google name; [CP 1 of 2 (Cynet Security LTD)] Address; [CP 2 of 2 (Trustmi Network LTD)] Google name; [CP 2 of 2 (Trustmi Network LTD)] Address</t>
  </si>
  <si>
    <t>C:\Users\ssaha\OneDrive - Community Federal Savings Bank\Desktop\134933\134933_ALERT2370470_Talent First International LTD_Alert Write-Up.docx</t>
  </si>
  <si>
    <t>Full text archived in 'Narrative' tab of 134933_Audit_Log.xlsx</t>
  </si>
  <si>
    <t>ALERT2362184</t>
  </si>
  <si>
    <t>Arthur Monroe</t>
  </si>
  <si>
    <t>Floor And Decor 138</t>
  </si>
  <si>
    <t>C:\Users\ssaha\OneDrive - Community Federal Savings Bank\Desktop\139022</t>
  </si>
  <si>
    <t>C:\Users\ssaha\OneDrive - Community Federal Savings Bank\Desktop\139022\139022_ALERT2362184_Combined_Alerted_Transaction.xlsx</t>
  </si>
  <si>
    <t>C:\Users\ssaha\OneDrive - Community Federal Savings Bank\Desktop\139022\OSDD Searches</t>
  </si>
  <si>
    <t>mode=Fast, entities=2, searches=8, time=56 second(s), captchaFlagged=0</t>
  </si>
  <si>
    <t>Method: Fast | Searches: [Customer (Arthur Monroe)] Negative News page 1; [Customer (Arthur Monroe)] Negative News page 2; [CP 1 of 1 (Floor And Decor 138)] Negative News page 1; [CP 1 of 1 (Floor And Decor 138)] Negative News page 2; [Customer (Arthur Monroe)] Name + Address; [Customer (Arthur Monroe)] Google name; [Customer (Arthur Monroe)] Address; [CP 1 of 1 (Floor And Decor 138)] Google name</t>
  </si>
  <si>
    <t>ERROR - Err -2147418110: Method 'Close' of object '_Workbook' failed [src: AML_Macro] - entities=2, searches=8, captchaFlagged=0</t>
  </si>
  <si>
    <t>C:\Users\ssaha\OneDrive - Community Federal Savings Bank\Desktop\139022\139022_ALERT2362184_Arthur Monroe_Alert Write-Up.docx</t>
  </si>
  <si>
    <t>Full text archived in 'Narrative' tab of 139022_Audit_Log.xlsx</t>
  </si>
  <si>
    <t>ALERT2362241</t>
  </si>
  <si>
    <t>Eric J Chapman</t>
  </si>
  <si>
    <t>C:\Users\ssaha\OneDrive - Community Federal Savings Bank\Desktop\138974</t>
  </si>
  <si>
    <t>C:\Users\ssaha\OneDrive - Community Federal Savings Bank\Desktop\138974\138974_ALERT2362241_Combined_Alerted_Transaction.xlsx</t>
  </si>
  <si>
    <t>Siteone Landscape Supply; Amazon.Com; Festival Foods</t>
  </si>
  <si>
    <t>C:\Users\ssaha\OneDrive - Community Federal Savings Bank\Desktop\138974\OSDD Searches</t>
  </si>
  <si>
    <t>mode=Fast, entities=4, searches=16, time=4 minute(s) and 45 second(s), captchaFlagged=0</t>
  </si>
  <si>
    <t>Method: Fast | Searches: [Customer (Eric J Chapman)] Negative News page 1; [Customer (Eric J Chapman)] Negative News page 2; [Customer (Eric J Chapman)] Negative News w/o middle, page 1; [Customer (Eric J Chapman)] Negative News w/o middle, page 2; [CP 1 of 3 (Siteone Landscape Supply)] Negative News page 1; [CP 1 of 3 (Siteone Landscape Supply)] Negative News page 2; [CP 2 of 3 (Amazon.Com)] Negative News page 1; [CP 2 of 3 (Amazon.Com)] Negative News page 2; [CP 3 of 3 (Festival Foods)] Negative News page 1; [CP 3 of 3 (Festival Foods)] Negative News page 2; [Customer (Eric J Chapman)] Name + Address; [Customer (Eric J Chapman)] Google name; [Customer (Eric J Chapman)] Address; [CP 1 of 3 (Siteone Landscape Supply)] Google name; [CP 2 of 3 (Amazon.Com)] Google name; [CP 3 of 3 (Festival Foods)] Google name</t>
  </si>
  <si>
    <t>C:\Users\ssaha\OneDrive - Community Federal Savings Bank\Desktop\138974\138974_ALERT2362241_Eric J Chapman_Alert Write-Up.docx</t>
  </si>
  <si>
    <t>Full text archived in 'Narrative' tab of 138974_Audit_Log.xlsx</t>
  </si>
  <si>
    <t>ALERT2361783</t>
  </si>
  <si>
    <t>Antonio Junior</t>
  </si>
  <si>
    <t>C:\Users\ssaha\OneDrive - Community Federal Savings Bank\Desktop\134612</t>
  </si>
  <si>
    <t>C:\Users\ssaha\OneDrive - Community Federal Savings Bank\Desktop\134612\134612_ALERT2361783_Combined_Alerted_Transaction.xlsx</t>
  </si>
  <si>
    <t>Booking.Com</t>
  </si>
  <si>
    <t>C:\Users\ssaha\OneDrive - Community Federal Savings Bank\Desktop\134612\OSDD Searches</t>
  </si>
  <si>
    <t>Method: Fast | Searches: [Customer (Antonio Junior)] Negative News page 1; [Customer (Antonio Junior)] Negative News page 2; [CP 1 of 1 (Booking.Com)] Negative News page 1; [CP 1 of 1 (Booking.Com)] Negative News page 2; [Customer (Antonio Junior)] Name + Address; [Customer (Antonio Junior)] Google name; [Customer (Antonio Junior)] Address; [CP 1 of 1 (Booking.Com)] Google name</t>
  </si>
  <si>
    <t>C:\Users\ssaha\OneDrive - Community Federal Savings Bank\Desktop\134612\134612_ALERT2361783_Antonio Junior_Alert Write-Up.docx</t>
  </si>
  <si>
    <t>Full text archived in 'Narrative' tab of 134612_Audit_Log.xlsx</t>
  </si>
  <si>
    <t>ALERT2369784</t>
  </si>
  <si>
    <t>Gabriel De Lara Zanella</t>
  </si>
  <si>
    <t>Boa Esperanca Ltda</t>
  </si>
  <si>
    <t>C:\Users\ssaha\OneDrive - Community Federal Savings Bank\Desktop\138580</t>
  </si>
  <si>
    <t>C:\Users\ssaha\OneDrive - Community Federal Savings Bank\Desktop\138580\138580_ALERT2369784_Combined_Alerted_Transaction.xlsx</t>
  </si>
  <si>
    <t>C:\Users\ssaha\OneDrive - Community Federal Savings Bank\Desktop\138580\138580_ALERT2369784_Gabriel De Lara Zanella_Alert Write-Up.docx</t>
  </si>
  <si>
    <t>Full text archived in 'Narrative' tab of 138580_Audit_Log.xlsx</t>
  </si>
  <si>
    <t>C:\Users\ssaha\OneDrive - Community Federal Savings Bank\Desktop\138580\138580_ALERT2369784_Gabriel De Lara Zanella_RFI QUESTIONS.docx</t>
  </si>
  <si>
    <t>C:\Users\ssaha\OneDrive - Community Federal Savings Bank\Desktop\138580\OSDD Searches</t>
  </si>
  <si>
    <t>mode=Fast, entities=2, searches=12, time=4 minute(s) and 31 second(s), captchaFlagged=0</t>
  </si>
  <si>
    <t>Method: Fast | Searches: [Customer (Gabriel De Lara Zanella)] Negative News page 1; [Customer (Gabriel De Lara Zanella)] Negative News page 2; [Customer (Gabriel De Lara Zanella)] Negative News w/o middle, page 1; [Customer (Gabriel De Lara Zanella)] Negative News w/o middle, page 2; [CP 1 of 1 (Boa Esperanca Ltda)] Negative News page 1; [CP 1 of 1 (Boa Esperanca Ltda)] Negative News page 2; [CP 1 of 1 (Boa Esperanca Ltda)] Negative News w/o middle, page 1; [CP 1 of 1 (Boa Esperanca Ltda)] Negative News w/o middle, page 2; [CP 1 of 1 (Boa Esperanca Ltda)] Name + Address; [Customer (Gabriel De Lara Zanella)] Google name; [CP 1 of 1 (Boa Esperanca Ltda)] Google name; [CP 1 of 1 (Boa Esperanca Ltda)] Address</t>
  </si>
  <si>
    <t>ALERT2351210</t>
  </si>
  <si>
    <t>Halo Software LLC</t>
  </si>
  <si>
    <t>C:\Users\ssaha\OneDrive - Community Federal Savings Bank\Desktop\128480\128480_ALERT2351210_Combined_Alerted_Transaction.xlsx</t>
  </si>
  <si>
    <t>Stifel Financial Corp; Great Lakes Water Authority Gen; Brad Marowelli; Caesarstone LTD</t>
  </si>
  <si>
    <t>C:\Users\ssaha\OneDrive - Community Federal Savings Bank\Desktop\128480\128480_ALERT2351210_Halo Software LLC_Alert Write-Up.docx</t>
  </si>
  <si>
    <t>Full text archived in 'Narrative' tab of 128480_Audit_Log.xlsx</t>
  </si>
  <si>
    <t>ALERT2368008</t>
  </si>
  <si>
    <t>Dany Stiven Porras Rodriguez</t>
  </si>
  <si>
    <t>C:\Users\ssaha\OneDrive - Community Federal Savings Bank\Desktop\134236</t>
  </si>
  <si>
    <t>C:\Users\ssaha\OneDrive - Community Federal Savings Bank\Desktop\134236\134236_ALERT2368008_Combined_Alerted_Transaction.xlsx</t>
  </si>
  <si>
    <t>C:\Users\ssaha\OneDrive - Community Federal Savings Bank\Desktop\134236\OSDD Searches</t>
  </si>
  <si>
    <t>mode=Visible, entities=1, searches=6, time=3 minute(s) and 40 second(s), captchaFlagged=0</t>
  </si>
  <si>
    <t>Method: Visible | Searches: [Customer (Dany Stiven Porras Rodriguez)] Name + Address; [Customer (Dany Stiven Porras Rodriguez)] Name + Additional Address; [Customer (Dany Stiven Porras Rodriguez)] Negative News page 1; [Customer (Dany Stiven Porras Rodriguez)] Negative News page 2; [Customer (Dany Stiven Porras Rodriguez)] Negative News w/o middle, page 1; [Customer (Dany Stiven Porras Rodriguez)] Negative News w/o middle, page 2</t>
  </si>
  <si>
    <t>C:\Users\ssaha\OneDrive - Community Federal Savings Bank\Desktop\134236\134236_ALERT2368008_Dany Stiven Porras Rodriguez_RFI QUESTIONS.docx</t>
  </si>
  <si>
    <t>Full text archived in 'Narrative' tab of 134236_Audit_Log.xlsx</t>
  </si>
  <si>
    <t>ALERT2361737</t>
  </si>
  <si>
    <t>Joao Santos</t>
  </si>
  <si>
    <t>Apple Store; T Mobile</t>
  </si>
  <si>
    <t>C:\Users\ssaha\OneDrive - Community Federal Savings Bank\Desktop\134572</t>
  </si>
  <si>
    <t>C:\Users\ssaha\OneDrive - Community Federal Savings Bank\Desktop\134572\OSDD Searches</t>
  </si>
  <si>
    <t>mode=Visible, entities=3, searches=7, time=5 minute(s) and 49 second(s), captchaFlagged=0</t>
  </si>
  <si>
    <t>Method: Visible | Searches: [Customer (Joao Santos)] Negative News page 2; [CP 1 of 2 (Apple Store)] Google name; [CP 1 of 2 (Apple Store)] Negative News page 1; [CP 1 of 2 (Apple Store)] Negative News page 2; [CP 2 of 2 (T Mobile)] Google name; [CP 2 of 2 (T Mobile)] Negative News page 1; [CP 2 of 2 (T Mobile)] Negative News page 2</t>
  </si>
  <si>
    <t>C:\Users\ssaha\OneDrive - Community Federal Savings Bank\Desktop\134572\134572_ALERT2361737_Combined_Alerted_Transaction.xlsx</t>
  </si>
  <si>
    <t>Joao Vitor Mascarenhas Santos</t>
  </si>
  <si>
    <t>mode=Visible, entities=3, searches=2, time=55 second(s), captchaFlagged=0</t>
  </si>
  <si>
    <t>Method: Visible | Searches: [Customer (Joao Vitor Mascarenhas Santos)] Negative News w/o middle, page 1; [Customer (Joao Vitor Mascarenhas Santos)] Negative News w/o middle, page 2</t>
  </si>
  <si>
    <t>Joao  Santos</t>
  </si>
  <si>
    <t>C:\Users\ssaha\OneDrive - Community Federal Savings Bank\Desktop\134572\134572_ALERT2361737_Joao  Santos_Alert Write-Up.docx</t>
  </si>
  <si>
    <t>Full text archived in 'Narrative' tab of 134572_Audit_Log.xlsx</t>
  </si>
  <si>
    <t>ALERT2361640</t>
  </si>
  <si>
    <t>Rafael Franco</t>
  </si>
  <si>
    <t>C:\Users\ssaha\OneDrive - Community Federal Savings Bank\Desktop\138268</t>
  </si>
  <si>
    <t>C:\Users\ssaha\OneDrive - Community Federal Savings Bank\Desktop\138268\138268_ALERT2361640_Combined_Alerted_Transaction.xlsx</t>
  </si>
  <si>
    <t>Apple Store; Bestbuy; Lyft; Marshalls</t>
  </si>
  <si>
    <t>C:\Users\ssaha\OneDrive - Community Federal Savings Bank\Desktop\138268\138268_ALERT2361640_Rafael Franco_Alert Write-Up.docx</t>
  </si>
  <si>
    <t>Full text archived in 'Narrative' tab of 138268_Audit_Log.xlsx</t>
  </si>
  <si>
    <t>ALERT2367501</t>
  </si>
  <si>
    <t>Paityn Diethorn</t>
  </si>
  <si>
    <t>The Stingray Allstars Virginia</t>
  </si>
  <si>
    <t>C:\Users\ssaha\OneDrive - Community Federal Savings Bank\Desktop\134596</t>
  </si>
  <si>
    <t>C:\Users\ssaha\OneDrive - Community Federal Savings Bank\Desktop\134596\134596_ALERT2367501_Combined_Alerted_Transaction.xlsx</t>
  </si>
  <si>
    <t>C:\Users\ssaha\OneDrive - Community Federal Savings Bank\Desktop\134596\OSDD Searches</t>
  </si>
  <si>
    <t>mode=Fast, entities=2, searches=3, time=32 second(s), captchaFlagged=0</t>
  </si>
  <si>
    <t>Method: Fast | Searches: [Customer (Paityn Diethorn)] Negative News page 1; [Customer (Paityn Diethorn)] Address; [CP 1 of 1 (The Stingray Allstars Virginia)] Google name</t>
  </si>
  <si>
    <t>C:\Users\ssaha\OneDrive - Community Federal Savings Bank\Desktop\134596\134596_ALERT2367501_Paityn Diethorn_Alert Write-Up.docx</t>
  </si>
  <si>
    <t>Full text archived in 'Narrative' tab of 134596_Audit_Log.xlsx</t>
  </si>
  <si>
    <t>ALERT2362428</t>
  </si>
  <si>
    <t>Vanguard Group, Inc.</t>
  </si>
  <si>
    <t>C:\Users\ssaha\OneDrive - Community Federal Savings Bank\Desktop\134244</t>
  </si>
  <si>
    <t>C:\Users\ssaha\OneDrive - Community Federal Savings Bank\Desktop\134244\134244_ALERT2362428_Combined_Alerted_Transaction.xlsx</t>
  </si>
  <si>
    <t>Vanguard Group INC</t>
  </si>
  <si>
    <t>T Mobile; Bct Consulting</t>
  </si>
  <si>
    <t>C:\Users\ssaha\OneDrive - Community Federal Savings Bank\Desktop\134244\OSDD Searches</t>
  </si>
  <si>
    <t>mode=Fast, entities=3, searches=13, time=4 minute(s) and 40 second(s), captchaFlagged=0</t>
  </si>
  <si>
    <t>Method: Fast | Searches: [Customer (Vanguard Group INC)] Negative News page 1; [Customer (Vanguard Group INC)] Negative News page 2; [Customer (Vanguard Group INC)] Negative News w/o middle, page 1; [Customer (Vanguard Group INC)] Negative News w/o middle, page 2; [CP 1 of 2 (T Mobile)] Negative News page 1; [CP 1 of 2 (T Mobile)] Negative News page 2; [CP 2 of 2 (Bct Consulting)] Negative News page 1; [CP 2 of 2 (Bct Consulting)] Negative News page 2; [Customer (Vanguard Group INC)] Name + Address; [Customer (Vanguard Group INC)] Google name; [Customer (Vanguard Group INC)] Address; [CP 1 of 2 (T Mobile)] Google name; [CP 2 of 2 (Bct Consulting)] Google name</t>
  </si>
  <si>
    <t>C:\Users\ssaha\OneDrive - Community Federal Savings Bank\Desktop\134244\134244_ALERT2362428_Vanguard Group INC_Alert Write-Up.docx</t>
  </si>
  <si>
    <t>Full text archived in 'Narrative' tab of 134244_Audit_Log.xlsx</t>
  </si>
  <si>
    <t>Bct Consulting INC</t>
  </si>
  <si>
    <t>mode=Fast, entities=1, searches=5, time=45 second(s), captchaFlagged=0</t>
  </si>
  <si>
    <t>Method: Fast | Searches: [CP 1 of 1 (Bct Consulting INC)] Negative News page 1; [CP 1 of 1 (Bct Consulting INC)] Negative News page 2; [CP 1 of 1 (Bct Consulting INC)] Negative News w/o middle, page 1; [CP 1 of 1 (Bct Consulting INC)] Negative News w/o middle, page 2; [CP 1 of 1 (Bct Consulting INC)] Google name</t>
  </si>
  <si>
    <t>Gregory Peter Risi</t>
  </si>
  <si>
    <t>Lawdefined.Com</t>
  </si>
  <si>
    <t>C:\Users\ssaha\OneDrive - Community Federal Savings Bank\Desktop\138164</t>
  </si>
  <si>
    <t>C:\Users\ssaha\OneDrive - Community Federal Savings Bank\Desktop\138164\138164_ALERT_Combined_Alerted_Transaction.xlsx</t>
  </si>
  <si>
    <t>ALERT2362155</t>
  </si>
  <si>
    <t>C:\Users\ssaha\OneDrive - Community Federal Savings Bank\Desktop\138164\OSDD Searches</t>
  </si>
  <si>
    <t>mode=Fast, entities=2, searches=10, time=1 minute(s) and 15 second(s), captchaFlagged=0</t>
  </si>
  <si>
    <t>Method: Fast | Searches: [Customer (Gregory Peter Risi)] Negative News page 1; [Customer (Gregory Peter Risi)] Negative News page 2; [Customer (Gregory Peter Risi)] Negative News w/o middle, page 1; [Customer (Gregory Peter Risi)] Negative News w/o middle, page 2; [CP 1 of 1 (Lawdefined.Com)] Negative News page 1; [CP 1 of 1 (Lawdefined.Com)] Negative News page 2; [Customer (Gregory Peter Risi)] Name + Address; [Customer (Gregory Peter Risi)] Google name; [Customer (Gregory Peter Risi)] Address; [CP 1 of 1 (Lawdefined.Com)] Google name</t>
  </si>
  <si>
    <t>C:\Users\ssaha\OneDrive - Community Federal Savings Bank\Desktop\138164\138164_ALERT2362155_Gregory Peter Risi_Alert Write-Up.docx</t>
  </si>
  <si>
    <t>Full text archived in 'Narrative' tab of 138164_Audit_Log.xlsx</t>
  </si>
  <si>
    <t>ALERT2362336</t>
  </si>
  <si>
    <t>Adt INC</t>
  </si>
  <si>
    <t>C:\Users\ssaha\OneDrive - Community Federal Savings Bank\Desktop\138308</t>
  </si>
  <si>
    <t>C:\Users\ssaha\OneDrive - Community Federal Savings Bank\Desktop\138308\138308_ALERT2362336_Combined_Alerted_Transaction.xlsx</t>
  </si>
  <si>
    <t>Centurylink\Lumen; Optimum 07866; At&amp;T</t>
  </si>
  <si>
    <t>C:\Users\ssaha\OneDrive - Community Federal Savings Bank\Desktop\138308\OSDD Searches</t>
  </si>
  <si>
    <t>mode=Fast, entities=4, searches=14, time=4 minute(s) and 47 second(s), captchaFlagged=0</t>
  </si>
  <si>
    <t>Method: Fast | Searches: [Customer (Adt INC)] Negative News page 1; [Customer (Adt INC)] Negative News page 2; [CP 1 of 3 (Centurylink Lumen)] Negative News page 1; [CP 1 of 3 (Centurylink Lumen)] Negative News page 2; [CP 2 of 3 (Optimum 07866)] Negative News page 1; [CP 2 of 3 (Optimum 07866)] Negative News page 2; [CP 3 of 3 (At&amp;T)] Negative News page 1; [CP 3 of 3 (At&amp;T)] Negative News page 2; [Customer (Adt INC)] Name + Address; [Customer (Adt INC)] Google name; [Customer (Adt INC)] Address; [CP 1 of 3 (Centurylink Lumen)] Google name; [CP 2 of 3 (Optimum 07866)] Google name; [CP 3 of 3 (At&amp;T)] Google name</t>
  </si>
  <si>
    <t>Centurylink Lumen; Optimum 07866; At&amp;T</t>
  </si>
  <si>
    <t>C:\Users\ssaha\OneDrive - Community Federal Savings Bank\Desktop\138308\138308_ALERT2362336_Adt INC_Alert Write-Up.docx</t>
  </si>
  <si>
    <t>Full text archived in 'Narrative' tab of 138308_Audit_Log.xlsx</t>
  </si>
  <si>
    <t>ALERT2361654</t>
  </si>
  <si>
    <t>Raphael Bernardino</t>
  </si>
  <si>
    <t>C:\Users\ssaha\OneDrive - Community Federal Savings Bank\Desktop\138460</t>
  </si>
  <si>
    <t>Raphael Carvalho Bernardino</t>
  </si>
  <si>
    <t>Qantas Air</t>
  </si>
  <si>
    <t>C:\Users\ssaha\OneDrive - Community Federal Savings Bank\Desktop\138460\138460_ALERT2361654_Combined_Alerted_Transaction.xlsx</t>
  </si>
  <si>
    <t>C:\Users\ssaha\OneDrive - Community Federal Savings Bank\Desktop\138460\OSDD Searches</t>
  </si>
  <si>
    <t>mode=Fast, entities=2, searches=10, time=4 minute(s) and 11 second(s), captchaFlagged=0</t>
  </si>
  <si>
    <t>Method: Fast | Searches: [Customer (Raphael Carvalho Bernardino)] Negative News page 1; [Customer (Raphael Carvalho Bernardino)] Negative News page 2; [Customer (Raphael Carvalho Bernardino)] Negative News w/o middle, page 1; [Customer (Raphael Carvalho Bernardino)] Negative News w/o middle, page 2; [CP 1 of 1 (Qantas Air)] Negative News page 1; [CP 1 of 1 (Qantas Air)] Negative News page 2; [Customer (Raphael Carvalho Bernardino)] Name + Address; [Customer (Raphael Carvalho Bernardino)] Google name; [Customer (Raphael Carvalho Bernardino)] Address; [CP 1 of 1 (Qantas Air)] Google name</t>
  </si>
  <si>
    <t>C:\Users\ssaha\OneDrive - Community Federal Savings Bank\Desktop\138460\138460_ALERT2361654_Raphael Carvalho Bernardino_Alert Write-Up.docx</t>
  </si>
  <si>
    <t>Full text archived in 'Narrative' tab of 138460_Audit_Log.xlsx</t>
  </si>
  <si>
    <t>ALERT2361749</t>
  </si>
  <si>
    <t>Stefan Madach</t>
  </si>
  <si>
    <t>C:\Users\ssaha\OneDrive - Community Federal Savings Bank\Desktop\137780</t>
  </si>
  <si>
    <t>C:\Users\ssaha\OneDrive - Community Federal Savings Bank\Desktop\137780\137780_ALERT2361749_Combined_Alerted_Transaction.xlsx</t>
  </si>
  <si>
    <t>Saint Laurent; Zimmermann Sawgrass; Burberry LTD</t>
  </si>
  <si>
    <t>C:\Users\ssaha\OneDrive - Community Federal Savings Bank\Desktop\137780\OSDD Searches</t>
  </si>
  <si>
    <t>mode=Fast, entities=4, searches=14, time=4 minute(s) and 35 second(s), captchaFlagged=0</t>
  </si>
  <si>
    <t>Method: Fast | Searches: [Customer (Stefan Madach)] Negative News page 1; [Customer (Stefan Madach)] Negative News page 2; [CP 1 of 3 (Saint Laurent)] Negative News page 1; [CP 1 of 3 (Saint Laurent)] Negative News page 2; [CP 2 of 3 (Zimmermann Sawgrass)] Negative News page 1; [CP 2 of 3 (Zimmermann Sawgrass)] Negative News page 2; [CP 3 of 3 (Burberry LTD)] Negative News page 1; [CP 3 of 3 (Burberry LTD)] Negative News page 2; [Customer (Stefan Madach)] Name + Address; [Customer (Stefan Madach)] Google name; [Customer (Stefan Madach)] Address; [CP 1 of 3 (Saint Laurent)] Google name; [CP 2 of 3 (Zimmermann Sawgrass)] Google name; [CP 3 of 3 (Burberry LTD)] Google name</t>
  </si>
  <si>
    <t>C:\Users\ssaha\OneDrive - Community Federal Savings Bank\Desktop\137780\137780_ALERT2361749_Stefan Madach_Alert Write-Up.docx</t>
  </si>
  <si>
    <t>Full text archived in 'Narrative' tab of 137780_Audit_Log.xlsx</t>
  </si>
  <si>
    <t>ALERT2363759</t>
  </si>
  <si>
    <t>Sundex Trading Limited</t>
  </si>
  <si>
    <t>C:\Users\ssaha\OneDrive - Community Federal Savings Bank\Desktop\137237\137237_ALERT2363759_Combined_Alerted_Transaction.xlsx</t>
  </si>
  <si>
    <t>mode=Fast, entities=1, searches=5, time=31 second(s), captchaFlagged=0</t>
  </si>
  <si>
    <t>Method: Fast | Searches: [Customer (Sundex Trading Limited)] Negative News page 1; [Customer (Sundex Trading Limited)] Negative News page 2; [Customer (Sundex Trading Limited)] Negative News w/o middle, page 1; [Customer (Sundex Trading Limited)] Negative News w/o middle, page 2; [Customer (Sundex Trading Limited)] Google name</t>
  </si>
  <si>
    <t>ALERT2369255</t>
  </si>
  <si>
    <t>Broadzen Limited</t>
  </si>
  <si>
    <t>C:\Users\ssaha\OneDrive - Community Federal Savings Bank\Desktop\135968</t>
  </si>
  <si>
    <t>C:\Users\ssaha\OneDrive - Community Federal Savings Bank\Desktop\135968\135968_ALERT2369255_Combined_Alerted_Transaction.xlsx</t>
  </si>
  <si>
    <t>Shenzhen Tai Shan Ke Ji You Xian G</t>
  </si>
  <si>
    <t>C:\Users\ssaha\OneDrive - Community Federal Savings Bank\Desktop\135968\OSDD Searches</t>
  </si>
  <si>
    <t>mode=Fast, entities=2, searches=8, time=2 minute(s) and 9 second(s), captchaFlagged=0</t>
  </si>
  <si>
    <t>Method: Fast | Searches: [Customer (Broadzen Limited)] Negative News page 1; [Customer (Broadzen Limited)] Negative News page 2; [CP 1 of 1 (Shenzhen Tai Shan Ke Ji You Xian G)] Negative News page 1; [CP 1 of 1 (Shenzhen Tai Shan Ke Ji You Xian G)] Negative News page 2; [Customer (Broadzen Limited)] Name + Address; [Customer (Broadzen Limited)] Google name; [Customer (Broadzen Limited)] Address; [CP 1 of 1 (Shenzhen Tai Shan Ke Ji You Xian G)] Google name</t>
  </si>
  <si>
    <t>mode=Fast, entities=2, searches=4, time=1 minute(s) and 5 second(s), captchaFlagged=0</t>
  </si>
  <si>
    <t>Method: Fast | Searches: [CP 1 of 1 (Shenzhen Tai Shan Ke Ji You Xian G)] Negative News page 1; [CP 1 of 1 (Shenzhen Tai Shan Ke Ji You Xian G)] Negative News page 2; [CP 1 of 1 (Shenzhen Tai Shan Ke Ji You Xian G)] Name + Address; [CP 1 of 1 (Shenzhen Tai Shan Ke Ji You Xian G)] Address</t>
  </si>
  <si>
    <t>C:\Users\ssaha\OneDrive - Community Federal Savings Bank\Desktop\135968\135968_ALERT2369255_Broadzen Limited_RFI QUESTIONS.docx</t>
  </si>
  <si>
    <t>Full text archived in 'Narrative' tab of 135968_Audit_Log.xlsx</t>
  </si>
  <si>
    <t>ALERT2369289</t>
  </si>
  <si>
    <t>Shenzhen Xiao Lu Yue Dong</t>
  </si>
  <si>
    <t>Shenzhen Xiao Lu Yue Dong Wen Hua</t>
  </si>
  <si>
    <t>C:\Users\ssaha\OneDrive - Community Federal Savings Bank\Desktop\135952</t>
  </si>
  <si>
    <t>C:\Users\ssaha\OneDrive - Community Federal Savings Bank\Desktop\135952\135952_ALERT2369289_Combined_Alerted_Transaction.xlsx</t>
  </si>
  <si>
    <t>C:\Users\ssaha\OneDrive - Community Federal Savings Bank\Desktop\135952\OSDD Searches</t>
  </si>
  <si>
    <t>mode=Fast, entities=2, searches=10, time=2 minute(s) and 19 second(s), captchaFlagged=0</t>
  </si>
  <si>
    <t>Method: Fast | Searches: [Customer (Shenzhen Xiao Lu Yue Dong)] Negative News page 1; [Customer (Shenzhen Xiao Lu Yue Dong)] Negative News page 2; [CP 1 of 1 (Shenzhen Xiao Lu Yue Dong Wen Hua)] Negative News page 1; [CP 1 of 1 (Shenzhen Xiao Lu Yue Dong Wen Hua)] Negative News page 2; [Customer (Shenzhen Xiao Lu Yue Dong)] Name + Address; [CP 1 of 1 (Shenzhen Xiao Lu Yue Dong Wen Hua)] Name + Address; [Customer (Shenzhen Xiao Lu Yue Dong)] Google name; [Customer (Shenzhen Xiao Lu Yue Dong)] Address; [CP 1 of 1 (Shenzhen Xiao Lu Yue Dong Wen Hua)] Google name; [CP 1 of 1 (Shenzhen Xiao Lu Yue Dong Wen Hua)] Address</t>
  </si>
  <si>
    <t>mode=Fast, entities=1, searches=6, time=1 minute(s) and 4 second(s), captchaFlagged=0</t>
  </si>
  <si>
    <t>Method: Fast | Searches: [Customer (Shenzhen Xiao Lu Yue Dong Wen Hua)] Negative News page 1; [Customer (Shenzhen Xiao Lu Yue Dong Wen Hua)] Negative News page 2; [Customer (Shenzhen Xiao Lu Yue Dong Wen Hua)] Name + Address; [Customer (Shenzhen Xiao Lu Yue Dong Wen Hua)] Google name; [Customer (Shenzhen Xiao Lu Yue Dong Wen Hua)] Address; [Customer (Shenzhen Xiao Lu Yue Dong Wen Hua)] Name + Additional Address</t>
  </si>
  <si>
    <t>C:\Users\ssaha\OneDrive - Community Federal Savings Bank\Desktop\135952\135952_ALERT2369289_Shenzhen Xiao Lu Yue Dong Wen Hua_RFI QUESTIONS.docx</t>
  </si>
  <si>
    <t>Full text archived in 'Narrative' tab of 135952_Audit_Log.xlsx</t>
  </si>
  <si>
    <t>ALERT2370466</t>
  </si>
  <si>
    <t>Beyondazure Media</t>
  </si>
  <si>
    <t>C:\Users\ssaha\OneDrive - Community Federal Savings Bank\Desktop\135944</t>
  </si>
  <si>
    <t>C:\Users\ssaha\OneDrive - Community Federal Savings Bank\Desktop\135944\135944_ALERT2370466_Combined_Alerted_Transaction.xlsx</t>
  </si>
  <si>
    <t>Traffic Stars LTD; Ad Market Limited; Kadam Advertising Limited</t>
  </si>
  <si>
    <t>C:\Users\ssaha\OneDrive - Community Federal Savings Bank\Desktop\135944\OSDD Searches</t>
  </si>
  <si>
    <t>mode=Fast, entities=4, searches=26, time=5 minute(s) and 21 second(s), captchaFlagged=0</t>
  </si>
  <si>
    <t>Method: Fast | Searches: [Customer (Beyondazure Media)] Negative News page 1; [Customer (Beyondazure Media)] Negative News page 2; [CP 1 of 3 (Traffic Stars LTD)] Negative News page 1; [CP 1 of 3 (Traffic Stars LTD)] Negative News page 2; [CP 1 of 3 (Traffic Stars LTD)] Negative News w/o middle, page 1; [CP 1 of 3 (Traffic Stars LTD)] Negative News w/o middle, page 2; [CP 2 of 3 (Ad Market Limited)] Negative News page 1; [CP 2 of 3 (Ad Market Limited)] Negative News page 2; [CP 2 of 3 (Ad Market Limited)] Negative News w/o middle, page 1; [CP 2 of 3 (Ad Market Limited)] Negative News w/o middle, page 2; [CP 3 of 3 (Kadam Advertising Limited)] Negative News page 1; [CP 3 of 3 (Kadam Advertising Limited)] Negative News page 2; [CP 3 of 3 (Kadam Advertising Limited)] Negative News w/o middle, page 1; [CP 3 of 3 (Kadam Advertising Limited)] Negative News w/o middle, page 2; [Customer (Beyondazure Media)] Name + Address; [CP 1 of 3 (Traffic Stars LTD)] Name + Address; [CP 2 of 3 (Ad Market Limited)] Name + Address; [CP 3 of 3 (Kadam Advertising Limited)] Name + Address; [Customer (Beyondazure Media)] Google name; [Customer (Beyondazure Media)] Address; [CP 1 of 3 (Traffic Stars LTD)] Google name; [CP 1 of 3 (Traffic Stars LTD)] Address; [CP 2 of 3 (Ad Market Limited)] Google name; [CP 2 of 3 (Ad Market Limited)] Address; [CP 3 of 3 (Kadam Advertising Limited)] Google name; [CP 3 of 3 (Kadam Advertising Limited)] Address</t>
  </si>
  <si>
    <t>C:\Users\ssaha\OneDrive - Community Federal Savings Bank\Desktop\135944\135944_ALERT2370466_Beyondazure Media_Alert Write-Up.docx</t>
  </si>
  <si>
    <t>Full text archived in 'Narrative' tab of 135944_Audit_Log.xlsx</t>
  </si>
  <si>
    <t>ALERT2364065</t>
  </si>
  <si>
    <t>Slashdev LLC</t>
  </si>
  <si>
    <t>C:\Users\ssaha\OneDrive - Community Federal Savings Bank\Desktop\135920</t>
  </si>
  <si>
    <t>C:\Users\ssaha\OneDrive - Community Federal Savings Bank\Desktop\135920\135920_ALERT2364065_Combined_Alerted_Transaction.xlsx</t>
  </si>
  <si>
    <t>Valpal LTD; Abacus Health Solutions LLC; Exsurgo Technologies LLC</t>
  </si>
  <si>
    <t>C:\Users\ssaha\OneDrive - Community Federal Savings Bank\Desktop\135920\OSDD Searches</t>
  </si>
  <si>
    <t>mode=Fast, entities=4, searches=20, time=3 minute(s) and 8 second(s), captchaFlagged=0</t>
  </si>
  <si>
    <t>Method: Fast | Searches: [Customer (Slashdev LLC)] Negative News page 1; [Customer (Slashdev LLC)] Negative News page 2; [CP 1 of 3 (Valpal LTD)] Negative News page 1; [CP 1 of 3 (Valpal LTD)] Negative News page 2; [CP 2 of 3 (Abacus Health Solutions LLC)] Negative News page 1; [CP 2 of 3 (Abacus Health Solutions LLC)] Negative News page 2; [CP 3 of 3 (Exsurgo Technologies LLC)] Negative News page 1; [CP 3 of 3 (Exsurgo Technologies LLC)] Negative News page 2; [Customer (Slashdev LLC)] Name + Address; [CP 1 of 3 (Valpal LTD)] Name + Address; [CP 2 of 3 (Abacus Health Solutions LLC)] Name + Address; [CP 3 of 3 (Exsurgo Technologies LLC)] Name + Address; [Customer (Slashdev LLC)] Google name; [Customer (Slashdev LLC)] Address; [CP 1 of 3 (Valpal LTD)] Google name; [CP 1 of 3 (Valpal LTD)] Address; [CP 2 of 3 (Abacus Health Solutions LLC)] Google name; [CP 2 of 3 (Abacus Health Solutions LLC)] Address; [CP 3 of 3 (Exsurgo Technologies LLC)] Google name; [CP 3 of 3 (Exsurgo Technologies LLC)] Address</t>
  </si>
  <si>
    <t>C:\Users\ssaha\OneDrive - Community Federal Savings Bank\Desktop\135920\135920_ALERT2364065_Slashdev LLC_Alert Write-Up.docx</t>
  </si>
  <si>
    <t>Full text archived in 'Narrative' tab of 135920_Audit_Log.xlsx</t>
  </si>
  <si>
    <t>ALERT2371259</t>
  </si>
  <si>
    <t>Feng Peng</t>
  </si>
  <si>
    <t>Chen Chunyan</t>
  </si>
  <si>
    <t>C:\Users\ssaha\OneDrive - Community Federal Savings Bank\Desktop\135864</t>
  </si>
  <si>
    <t>C:\Users\ssaha\OneDrive - Community Federal Savings Bank\Desktop\135864\135864_ALERT2371259_Combined_Alerted_Transaction.xlsx</t>
  </si>
  <si>
    <t>C:\Users\ssaha\OneDrive - Community Federal Savings Bank\Desktop\135864\OSDD Searches</t>
  </si>
  <si>
    <t>mode=Fast, entities=2, searches=11, time=2 minute(s) and 20 second(s), captchaFlagged=0</t>
  </si>
  <si>
    <t>Method: Fast | Searches: [Customer (Feng Peng)] Negative News page 1; [Customer (Feng Peng)] Negative News page 2; [CP 1 of 1 (Chen Chunyan)] Negative News page 1; [CP 1 of 1 (Chen Chunyan)] Negative News page 2; [Customer (Feng Peng)] Name + Address; [CP 1 of 1 (Chen Chunyan)] Name + Address; [Customer (Feng Peng)] Google name; [Customer (Feng Peng)] Address; [Customer (Feng Peng)] Name + Additional Address; [CP 1 of 1 (Chen Chunyan)] Google name; [CP 1 of 1 (Chen Chunyan)] Address</t>
  </si>
  <si>
    <t>C:\Users\ssaha\OneDrive - Community Federal Savings Bank\Desktop\135864\135864_ALERT2371259_Feng Peng_RFI QUESTIONS.docx</t>
  </si>
  <si>
    <t>Full text archived in 'Narrative' tab of 135864_Audit_Log.xlsx</t>
  </si>
  <si>
    <t>ALERT2363682</t>
  </si>
  <si>
    <t>The Trustee For Tash Sultana Sour Lemon Trust</t>
  </si>
  <si>
    <t>C:\Users\ssaha\OneDrive - Community Federal Savings Bank\Desktop\135800</t>
  </si>
  <si>
    <t>C:\Users\ssaha\OneDrive - Community Federal Savings Bank\Desktop\135800\135800_ALERT2363682_Combined_Alerted_Transaction.xlsx</t>
  </si>
  <si>
    <t>Live Nation Worldwide INC; Fenway Music Company LLC; Postfontaine Holdings LLC</t>
  </si>
  <si>
    <t>C:\Users\ssaha\OneDrive - Community Federal Savings Bank\Desktop\135800\OSDD Searches</t>
  </si>
  <si>
    <t>mode=Fast, entities=4, searches=26, time=10 minute(s) and 12 second(s), captchaFlagged=0</t>
  </si>
  <si>
    <t>Method: Fast | Searches: [Customer (The Trustee For Tash Sultana Sour Lemon Trust)] Negative News page 1; [Customer (The Trustee For Tash Sultana Sour Lemon Trust)] Negative News page 2; [CP 1 of 3 (Live Nation Worldwide INC)] Negative News page 1; [CP 1 of 3 (Live Nation Worldwide INC)] Negative News page 2; [CP 1 of 3 (Live Nation Worldwide INC)] Negative News w/o middle, page 1; [CP 1 of 3 (Live Nation Worldwide INC)] Negative News w/o middle, page 2; [CP 2 of 3 (Fenway Music Company LLC)] Negative News page 1; [CP 2 of 3 (Fenway Music Company LLC)] Negative News page 2; [CP 2 of 3 (Fenway Music Company LLC)] Negative News w/o middle, page 1; [CP 2 of 3 (Fenway Music Company LLC)] Negative News w/o middle, page 2; [CP 3 of 3 (Postfontaine Holdings LLC)] Negative News page 1; [CP 3 of 3 (Postfontaine Holdings LLC)] Negative News page 2; [CP 3 of 3 (Postfontaine Holdings LLC)] Negative News w/o middle, page 1; [CP 3 of 3 (Postfontaine Holdings LLC)] Negative News w/o middle, page 2; [Customer (The Trustee For Tash Sultana Sour Lemon Trust)] Name + Address; [CP 1 of 3 (Live Nation Worldwide INC)] Name + Address; [CP 2 of 3 (Fenway Music Company LLC)] Name + Address; [CP 3 of 3 (Postfontaine Holdings LLC)] Name + Address; [Customer (The Trustee For Tash Sultana Sour Lemon Trust)] Google name; [Customer (The Trustee For Tash Sultana Sour Lemon Trust)] Address; [CP 1 of 3 (Live Nation Worldwide INC)] Google name; [CP 1 of 3 (Live Nation Worldwide INC)] Address; [CP 2 of 3 (Fenway Music Company LLC)] Google name; [CP 2 of 3 (Fenway Music Company LLC)] Address; [CP 3 of 3 (Postfontaine Holdings LLC)] Google name; [CP 3 of 3 (Postfontaine Holdings LLC)] Address</t>
  </si>
  <si>
    <t>C:\Users\ssaha\OneDrive - Community Federal Savings Bank\Desktop\135800\135800_ALERT2363682_The Trustee For Tash Sultana Sour Lemon Trust_Alert Write-Up.docx</t>
  </si>
  <si>
    <t>Full text archived in 'Narrative' tab of 135800_Audit_Log.xlsx</t>
  </si>
  <si>
    <t>ALERT2364127</t>
  </si>
  <si>
    <t>Xb LLC</t>
  </si>
  <si>
    <t>C:\Users\ssaha\OneDrive - Community Federal Savings Bank\Desktop\137043</t>
  </si>
  <si>
    <t>C:\Users\ssaha\OneDrive - Community Federal Savings Bank\Desktop\137043\137043_ALERT2364127_Combined_Alerted_Transaction.xlsx</t>
  </si>
  <si>
    <t>Jasper Nick Dhanjal Or Shaireen; Nutan Mangla; Hemlata D Patel</t>
  </si>
  <si>
    <t>C:\Users\ssaha\OneDrive - Community Federal Savings Bank\Desktop\137043\OSDD Searches</t>
  </si>
  <si>
    <t>mode=Fast, entities=4, searches=22, time=9 minute(s) and 33 second(s), captchaFlagged=0</t>
  </si>
  <si>
    <t>Method: Fast | Searches: [Customer (Xb LLC)] Negative News page 1; [Customer (Xb LLC)] Negative News page 2; [CP 1 of 3 (Jasper Nick Dhanjal Or Shaireen)] Negative News page 1; [CP 1 of 3 (Jasper Nick Dhanjal Or Shaireen)] Negative News page 2; [CP 2 of 3 (Nutan Mangla)] Negative News page 1; [CP 2 of 3 (Nutan Mangla)] Negative News page 2; [CP 3 of 3 (Hemlata D Patel)] Negative News page 1; [CP 3 of 3 (Hemlata D Patel)] Negative News page 2; [CP 3 of 3 (Hemlata D Patel)] Negative News w/o middle, page 1; [CP 3 of 3 (Hemlata D Patel)] Negative News w/o middle, page 2; [Customer (Xb LLC)] Name + Address; [CP 1 of 3 (Jasper Nick Dhanjal Or Shaireen)] Name + Address; [CP 2 of 3 (Nutan Mangla)] Name + Address; [CP 3 of 3 (Hemlata D Patel)] Name + Address; [Customer (Xb LLC)] Google name; [Customer (Xb LLC)] Address; [CP 1 of 3 (Jasper Nick Dhanjal Or Shaireen)] Google name; [CP 1 of 3 (Jasper Nick Dhanjal Or Shaireen)] Address; [CP 2 of 3 (Nutan Mangla)] Google name; [CP 2 of 3 (Nutan Mangla)] Address; [CP 3 of 3 (Hemlata D Patel)] Google name; [CP 3 of 3 (Hemlata D Patel)] Address</t>
  </si>
  <si>
    <t>C:\Users\ssaha\OneDrive - Community Federal Savings Bank\Desktop\137043\137043_ALERT2364127_Xb LLC_RFI QUESTIONS.docx</t>
  </si>
  <si>
    <t>Full text archived in 'Narrative' tab of 137043_Audit_Log.xlsx</t>
  </si>
  <si>
    <t>ALERT2368508</t>
  </si>
  <si>
    <t>Andre Luiz Ribeiro Dos Santos</t>
  </si>
  <si>
    <t>C:\Users\ssaha\OneDrive - Community Federal Savings Bank\Desktop\135856</t>
  </si>
  <si>
    <t>Transaction Files folder created</t>
  </si>
  <si>
    <t>C:\Users\ssaha\OneDrive - Community Federal Savings Bank\Desktop\135856\135856_ALERT2368508_Combined_Alerted_Transaction.xlsx</t>
  </si>
  <si>
    <t>Sma Autos Ltda; Lojas Americanas; Ren*Plenaver</t>
  </si>
  <si>
    <t>C:\Users\ssaha\OneDrive - Community Federal Savings Bank\Desktop\135856\OSDD Searches</t>
  </si>
  <si>
    <t>mode=Fast, entities=4, searches=18, time=3 minute(s) and 53 second(s), captchaFlagged=0</t>
  </si>
  <si>
    <t>Method: Fast | Searches: [Customer (Andre Luiz Ribeiro Dos Santos)] Negative News page 1; [Customer (Andre Luiz Ribeiro Dos Santos)] Negative News page 2; [Customer (Andre Luiz Ribeiro Dos Santos)] Negative News w/o middle, page 1; [Customer (Andre Luiz Ribeiro Dos Santos)] Negative News w/o middle, page 2; [CP 1 of 3 (Sma Autos Ltda)] Negative News page 1; [CP 1 of 3 (Sma Autos Ltda)] Negative News page 2; [CP 1 of 3 (Sma Autos Ltda)] Negative News w/o middle, page 1; [CP 1 of 3 (Sma Autos Ltda)] Negative News w/o middle, page 2; [CP 2 of 3 (Lojas Americanas)] Negative News page 1; [CP 2 of 3 (Lojas Americanas)] Negative News page 2; [CP 3 of 3 (Ren Plenaver)] Negative News page 1; [CP 3 of 3 (Ren Plenaver)] Negative News page 2; [Customer (Andre Luiz Ribeiro Dos Santos)] Name + Address; [Customer (Andre Luiz Ribeiro Dos Santos)] Google name; [Customer (Andre Luiz Ribeiro Dos Santos)] Address; [CP 1 of 3 (Sma Autos Ltda)] Google name; [CP 2 of 3 (Lojas Americanas)] Google name; [CP 3 of 3 (Ren Plenaver)] Google name</t>
  </si>
  <si>
    <t>C:\Users\ssaha\OneDrive - Community Federal Savings Bank\Desktop\135856\135856_ALERT2368508_Andre Luiz Ribeiro Dos Santos_RFI QUESTIONS.docx</t>
  </si>
  <si>
    <t>Full text archived in 'Narrative' tab of 135856_Audit_Log.xlsx</t>
  </si>
  <si>
    <t>ALERT2368050</t>
  </si>
  <si>
    <t>Roberto Zac</t>
  </si>
  <si>
    <t>C:\Users\ssaha\OneDrive - Community Federal Savings Bank\Desktop\135976</t>
  </si>
  <si>
    <t>C:\Users\ssaha\OneDrive - Community Federal Savings Bank\Desktop\135976\135976_ALERT2368050_Combined_Alerted_Transaction.xlsx</t>
  </si>
  <si>
    <t>Best Doctors; Isa Schleif</t>
  </si>
  <si>
    <t>C:\Users\ssaha\OneDrive - Community Federal Savings Bank\Desktop\135976\OSDD Searches</t>
  </si>
  <si>
    <t>mode=Fast, entities=3, searches=11, time=2 minute(s) and 27 second(s), captchaFlagged=0</t>
  </si>
  <si>
    <t>Method: Fast | Searches: [Customer (Roberto Zac)] Negative News page 1; [Customer (Roberto Zac)] Negative News page 2; [CP 1 of 2 (Best Doctors)] Negative News page 1; [CP 1 of 2 (Best Doctors)] Negative News page 2; [CP 2 of 2 (Isa Schleif)] Negative News page 1; [CP 2 of 2 (Isa Schleif)] Negative News page 2; [Customer (Roberto Zac)] Name + Address; [Customer (Roberto Zac)] Google name; [Customer (Roberto Zac)] Address; [CP 1 of 2 (Best Doctors)] Google name; [CP 2 of 2 (Isa Schleif)] Google name</t>
  </si>
  <si>
    <t>C:\Users\ssaha\OneDrive - Community Federal Savings Bank\Desktop\135976\135976_ALERT2368050_Roberto Zac_RFI QUESTIONS.docx</t>
  </si>
  <si>
    <t>Full text archived in 'Narrative' tab of 135976_Audit_Log.xlsx</t>
  </si>
  <si>
    <t>ALERT2369520</t>
  </si>
  <si>
    <t>Tassia Neves</t>
  </si>
  <si>
    <t>C:\Users\ssaha\OneDrive - Community Federal Savings Bank\Desktop\134828</t>
  </si>
  <si>
    <t>C:\Users\ssaha\OneDrive - Community Federal Savings Bank\Desktop\134828\134828_ALERT2369520_Combined_Alerted_Transaction.xlsx</t>
  </si>
  <si>
    <t>C:\Users\ssaha\OneDrive - Community Federal Savings Bank\Desktop\134828\OSDD Searches</t>
  </si>
  <si>
    <t>mode=Fast, entities=1, searches=5, time=2 minute(s) and 25 second(s), captchaFlagged=0</t>
  </si>
  <si>
    <t>Method: Fast | Searches: [Customer (Tassia Neves)] Negative News page 1; [Customer (Tassia Neves)] Negative News page 2; [Customer (Tassia Neves)] Name + Address; [Customer (Tassia Neves)] Google name; [Customer (Tassia Neves)] Address</t>
  </si>
  <si>
    <t>C:\Users\ssaha\OneDrive - Community Federal Savings Bank\Desktop\134828\134828_ALERT2369520_Tassia Neves_Alert Write-Up.docx</t>
  </si>
  <si>
    <t>Full text archived in 'Narrative' tab of 134828_Audit_Log.xlsx</t>
  </si>
  <si>
    <t>ALERT2369109</t>
  </si>
  <si>
    <t>31 Games Limited</t>
  </si>
  <si>
    <t>Air Smart Advertising Solutions Fz LLC</t>
  </si>
  <si>
    <t>C:\Users\ssaha\OneDrive - Community Federal Savings Bank\Desktop\135632</t>
  </si>
  <si>
    <t>C:\Users\ssaha\OneDrive - Community Federal Savings Bank\Desktop\135632\135632_ALERT2369109_Combined_Alerted_Transaction.xlsx</t>
  </si>
  <si>
    <t>C:\Users\ssaha\OneDrive - Community Federal Savings Bank\Desktop\135632\OSDD Searches</t>
  </si>
  <si>
    <t>mode=Fast, entities=2, searches=14, time=5 minute(s) and 6 second(s), captchaFlagged=0</t>
  </si>
  <si>
    <t>Method: Fast | Searches: [Customer (31 Games Limited)] Negative News page 1; [Customer (31 Games Limited)] Negative News page 2; [Customer (31 Games Limited)] Negative News w/o middle, page 1; [Customer (31 Games Limited)] Negative News w/o middle, page 2; [CP 1 of 1 (Air Smart Advertising Solutions Fz LLC)] Negative News page 1; [CP 1 of 1 (Air Smart Advertising Solutions Fz LLC)] Negative News page 2; [CP 1 of 1 (Air Smart Advertising Solutions Fz LLC)] Negative News w/o middle, page 1; [CP 1 of 1 (Air Smart Advertising Solutions Fz LLC)] Negative News w/o middle, page 2; [Customer (31 Games Limited)] Name + Address; [CP 1 of 1 (Air Smart Advertising Solutions Fz LLC)] Name + Address; [Customer (31 Games Limited)] Google name; [Customer (31 Games Limited)] Address; [CP 1 of 1 (Air Smart Advertising Solutions Fz LLC)] Google name; [CP 1 of 1 (Air Smart Advertising Solutions Fz LLC)] Address</t>
  </si>
  <si>
    <t>C:\Users\ssaha\OneDrive - Community Federal Savings Bank\Desktop\135632\135632_ALERT2369109_31 Games Limited_Alert Write-Up.docx</t>
  </si>
  <si>
    <t>Full text archived in 'Narrative' tab of 135632_Audit_Log.xlsx</t>
  </si>
  <si>
    <t>ALERT2362608</t>
  </si>
  <si>
    <t>Tracksuit Limited</t>
  </si>
  <si>
    <t>C:\Users\ssaha\OneDrive - Community Federal Savings Bank\Desktop\137251</t>
  </si>
  <si>
    <t>C:\Users\ssaha\OneDrive - Community Federal Savings Bank\Desktop\137251\137251_ALERT2362608_Combined_Alerted_Transaction.xlsx</t>
  </si>
  <si>
    <t>Tracksuit INC; Retail Club Events INC; Commercenext LLC</t>
  </si>
  <si>
    <t>C:\Users\ssaha\OneDrive - Community Federal Savings Bank\Desktop\137251\OSDD Searches</t>
  </si>
  <si>
    <t>mode=Fast, entities=4, searches=22, time=11 minute(s) and 5 second(s), captchaFlagged=0</t>
  </si>
  <si>
    <t>Method: Fast | Searches: [Customer (Tracksuit Limited)] Negative News page 1; [Customer (Tracksuit Limited)] Negative News page 2; [CP 1 of 3 (Tracksuit INC)] Negative News page 1; [CP 1 of 3 (Tracksuit INC)] Negative News page 2; [CP 2 of 3 (Retail Club Events INC)] Negative News page 1; [CP 2 of 3 (Retail Club Events INC)] Negative News page 2; [CP 2 of 3 (Retail Club Events INC)] Negative News w/o middle, page 1; [CP 2 of 3 (Retail Club Events INC)] Negative News w/o middle, page 2; [CP 3 of 3 (Commercenext LLC)] Negative News page 1; [CP 3 of 3 (Commercenext LLC)] Negative News page 2; [Customer (Tracksuit Limited)] Name + Address; [CP 1 of 3 (Tracksuit INC)] Name + Address; [CP 2 of 3 (Retail Club Events INC)] Name + Address; [CP 3 of 3 (Commercenext LLC)] Name + Address; [Customer (Tracksuit Limited)] Google name; [Customer (Tracksuit Limited)] Address; [CP 1 of 3 (Tracksuit INC)] Google name; [CP 1 of 3 (Tracksuit INC)] Address; [CP 2 of 3 (Retail Club Events INC)] Google name; [CP 2 of 3 (Retail Club Events INC)] Address; [CP 3 of 3 (Commercenext LLC)] Google name; [CP 3 of 3 (Commercenext LLC)] Address</t>
  </si>
  <si>
    <t>C:\Users\ssaha\OneDrive - Community Federal Savings Bank\Desktop\137251\137251_ALERT2362608_Tracksuit Limited_Alert Write-Up.docx</t>
  </si>
  <si>
    <t>Full text archived in 'Narrative' tab of 137251_Audit_Log.xlsx</t>
  </si>
  <si>
    <t>ALERT2358017</t>
  </si>
  <si>
    <t>Future Classic Recordings LLC</t>
  </si>
  <si>
    <t>C:\Users\ssaha\OneDrive - Community Federal Savings Bank\Desktop\136987</t>
  </si>
  <si>
    <t>C:\Users\ssaha\OneDrive - Community Federal Savings Bank\Desktop\136987\136987_ALERT2358017_Combined_Alerted_Transaction.xlsx</t>
  </si>
  <si>
    <t>A To Z Media INC; The Ads Group; Blue Collar Press</t>
  </si>
  <si>
    <t>C:\Users\ssaha\OneDrive - Community Federal Savings Bank\Desktop\136987\OSDD Searches</t>
  </si>
  <si>
    <t>mode=Fast, entities=4, searches=18, time=2 minute(s) and 39 second(s), captchaFlagged=0</t>
  </si>
  <si>
    <t>Method: Fast | Searches: [Customer (Future Classic Recordings LLC)] Negative News page 1; [Customer (Future Classic Recordings LLC)] Negative News page 2; [Customer (Future Classic Recordings LLC)] Negative News w/o middle, page 1; [Customer (Future Classic Recordings LLC)] Negative News w/o middle, page 2; [CP 1 of 3 (A To Z Media INC)] Negative News page 1; [CP 1 of 3 (A To Z Media INC)] Negative News page 2; [CP 1 of 3 (A To Z Media INC)] Negative News w/o middle, page 1; [CP 1 of 3 (A To Z Media INC)] Negative News w/o middle, page 2; [CP 2 of 3 (The Ads Group)] Negative News page 1; [CP 2 of 3 (The Ads Group)] Negative News page 2; [CP 3 of 3 (Blue Collar Press)] Negative News page 1; [CP 3 of 3 (Blue Collar Press)] Negative News page 2; [Customer (Future Classic Recordings LLC)] Name + Address; [Customer (Future Classic Recordings LLC)] Google name; [Customer (Future Classic Recordings LLC)] Address; [CP 1 of 3 (A To Z Media INC)] Google name; [CP 2 of 3 (The Ads Group)] Google name; [CP 3 of 3 (Blue Collar Press)] Google name</t>
  </si>
  <si>
    <t>C:\Users\ssaha\OneDrive - Community Federal Savings Bank\Desktop\136987\136987_ALERT2358017_Future Classic Recordings LLC_Alert Write-Up.docx</t>
  </si>
  <si>
    <t>Full text archived in 'Narrative' tab of 136987_Audit_Log.xlsx</t>
  </si>
  <si>
    <t>ALERT2361608</t>
  </si>
  <si>
    <t>Courtney Stafford</t>
  </si>
  <si>
    <t>C:\Users\ssaha\OneDrive - Community Federal Savings Bank\Desktop\137123</t>
  </si>
  <si>
    <t>C:\Users\ssaha\OneDrive - Community Federal Savings Bank\Desktop\137123\137123_ALERT2361608_Combined_Alerted_Transaction.xlsx</t>
  </si>
  <si>
    <t>Smuss Type Kiosk; Group Dining Reservation; Ande* Rezd Ra</t>
  </si>
  <si>
    <t>C:\Users\ssaha\OneDrive - Community Federal Savings Bank\Desktop\137123\OSDD Searches</t>
  </si>
  <si>
    <t>mode=Fast, entities=4, searches=14, time=1 minute(s) and 53 second(s), captchaFlagged=0</t>
  </si>
  <si>
    <t>Method: Fast | Searches: [Customer (Courtney Stafford)] Negative News page 1; [Customer (Courtney Stafford)] Negative News page 2; [CP 1 of 3 (Smuss Type Kiosk)] Negative News page 1; [CP 1 of 3 (Smuss Type Kiosk)] Negative News page 2; [CP 2 of 3 (Group Dining Reservation)] Negative News page 1; [CP 2 of 3 (Group Dining Reservation)] Negative News page 2; [CP 3 of 3 (Ande Rezd Ra)] Negative News page 1; [CP 3 of 3 (Ande Rezd Ra)] Negative News page 2; [Customer (Courtney Stafford)] Name + Address; [Customer (Courtney Stafford)] Google name; [Customer (Courtney Stafford)] Address; [CP 1 of 3 (Smuss Type Kiosk)] Google name; [CP 2 of 3 (Group Dining Reservation)] Google name; [CP 3 of 3 (Ande Rezd Ra)] Google name</t>
  </si>
  <si>
    <t>Smuss Type Kiosk; Group Dining Reservation; Ande Rezd Ra</t>
  </si>
  <si>
    <t>C:\Users\ssaha\OneDrive - Community Federal Savings Bank\Desktop\137123\137123_ALERT2361608_Courtney Stafford_RFI QUESTIONS.docx</t>
  </si>
  <si>
    <t>Full text archived in 'Narrative' tab of 137123_Audit_Log.xlsx</t>
  </si>
  <si>
    <t>Pre RFI Alert Write-Up Generated</t>
  </si>
  <si>
    <t>C:\Users\ssaha\OneDrive - Community Federal Savings Bank\Desktop\137123\137123_ALERT2361608_Courtney Stafford_Pre RFI Alert Write-Up.docx</t>
  </si>
  <si>
    <t>Fill-in narrative shell generated alongside the RFI questions doc</t>
  </si>
  <si>
    <t>ALERT2359594</t>
  </si>
  <si>
    <t>Pieter Danhieux</t>
  </si>
  <si>
    <t>C:\Users\ssaha\OneDrive - Community Federal Savings Bank\Desktop\137195</t>
  </si>
  <si>
    <t>C:\Users\ssaha\OneDrive - Community Federal Savings Bank\Desktop\137195\137195_ALERT2359594_Combined_Alerted_Transaction.xlsx</t>
  </si>
  <si>
    <t>Airbnb; The Marmara; Neolokal Mutfak Restoran</t>
  </si>
  <si>
    <t>C:\Users\ssaha\OneDrive - Community Federal Savings Bank\Desktop\137195\OSDD Searches</t>
  </si>
  <si>
    <t>mode=Fast, entities=4, searches=14, time=1 minute(s) and 54 second(s), captchaFlagged=0</t>
  </si>
  <si>
    <t>Method: Fast | Searches: [Customer (Pieter Danhieux)] Negative News page 1; [Customer (Pieter Danhieux)] Negative News page 2; [CP 1 of 3 (Airbnb)] Negative News page 1; [CP 1 of 3 (Airbnb)] Negative News page 2; [CP 2 of 3 (The Marmara)] Negative News page 1; [CP 2 of 3 (The Marmara)] Negative News page 2; [CP 3 of 3 (Neolokal Mutfak Restoran)] Negative News page 1; [CP 3 of 3 (Neolokal Mutfak Restoran)] Negative News page 2; [Customer (Pieter Danhieux)] Name + Address; [Customer (Pieter Danhieux)] Google name; [Customer (Pieter Danhieux)] Address; [CP 1 of 3 (Airbnb)] Google name; [CP 2 of 3 (The Marmara)] Google name; [CP 3 of 3 (Neolokal Mutfak Restoran)] Google name</t>
  </si>
  <si>
    <t>C:\Users\ssaha\OneDrive - Community Federal Savings Bank\Desktop\137195\137195_ALERT2359594_Pieter Danhieux_Alert Write-Up.docx</t>
  </si>
  <si>
    <t>Full text archived in 'Narrative' tab of 137195_Audit_Log.xlsx</t>
  </si>
  <si>
    <t>ALERT2360497</t>
  </si>
  <si>
    <t>Brian Humphrey</t>
  </si>
  <si>
    <t>United; Paypal *Southeastpr</t>
  </si>
  <si>
    <t>C:\Users\ssaha\OneDrive - Community Federal Savings Bank\Desktop\134668</t>
  </si>
  <si>
    <t>C:\Users\ssaha\OneDrive - Community Federal Savings Bank\Desktop\134668\134668_ALERT2360497_Combined_Alerted_Transaction.xlsx</t>
  </si>
  <si>
    <t>C:\Users\ssaha\OneDrive - Community Federal Savings Bank\Desktop\134668\OSDD Searches</t>
  </si>
  <si>
    <t>mode=Fast, entities=3, searches=11, time=1 minute(s) and 53 second(s), captchaFlagged=0</t>
  </si>
  <si>
    <t>Method: Fast | Searches: [Customer (Brian Humphrey)] Negative News page 1; [Customer (Brian Humphrey)] Negative News page 2; [CP 1 of 2 (United)] Negative News page 1; [CP 1 of 2 (United)] Negative News page 2; [CP 2 of 2 (Paypal Southeastpr)] Negative News page 1; [CP 2 of 2 (Paypal Southeastpr)] Negative News page 2; [Customer (Brian Humphrey)] Name + Address; [Customer (Brian Humphrey)] Google name; [Customer (Brian Humphrey)] Address; [CP 1 of 2 (United)] Google name; [CP 2 of 2 (Paypal Southeastpr)] Google name</t>
  </si>
  <si>
    <t>C:\Users\ssaha\OneDrive - Community Federal Savings Bank\Desktop\134668\134668_ALERT2360497_Brian Humphrey_Alert Write-Up.docx</t>
  </si>
  <si>
    <t>Full text archived in 'Narrative' tab of 134668_Audit_Log.xlsx</t>
  </si>
  <si>
    <t>ALERT2362588</t>
  </si>
  <si>
    <t>Bondi Moves Pty LTD</t>
  </si>
  <si>
    <t>C:\Users\ssaha\OneDrive - Community Federal Savings Bank\Desktop\137227</t>
  </si>
  <si>
    <t>C:\Users\ssaha\OneDrive - Community Federal Savings Bank\Desktop\137227\137227_ALERT2362588_Combined_Alerted_Transaction.xlsx</t>
  </si>
  <si>
    <t>Deel INC; Amanda Smith; Wendy Zareczny</t>
  </si>
  <si>
    <t>C:\Users\ssaha\OneDrive - Community Federal Savings Bank\Desktop\137227\OSDD Searches</t>
  </si>
  <si>
    <t>mode=Fast, entities=4, searches=23, time=3 minute(s) and 4 second(s), captchaFlagged=0</t>
  </si>
  <si>
    <t>Method: Fast | Searches: [Customer (Bondi Moves Pty LTD)] Negative News page 1; [Customer (Bondi Moves Pty LTD)] Negative News page 2; [Customer (Bondi Moves Pty LTD)] Negative News w/o middle, page 1; [Customer (Bondi Moves Pty LTD)] Negative News w/o middle, page 2; [CP 1 of 3 (Deel INC)] Negative News page 1; [CP 1 of 3 (Deel INC)] Negative News page 2; [CP 2 of 3 (Amanda Smith)] Negative News page 1; [CP 2 of 3 (Amanda Smith)] Negative News page 2; [CP 3 of 3 (Wendy Zareczny)] Negative News page 1; [CP 3 of 3 (Wendy Zareczny)] Negative News page 2; [Customer (Bondi Moves Pty LTD)] Name + Address; [CP 1 of 3 (Deel INC)] Name + Address; [CP 2 of 3 (Amanda Smith)] Name + Address; [CP 3 of 3 (Wendy Zareczny)] Name + Address; [Customer (Bondi Moves Pty LTD)] Google name; [Customer (Bondi Moves Pty LTD)] Address; [Customer (Bondi Moves Pty LTD)] Name + Additional Address; [CP 1 of 3 (Deel INC)] Google name; [CP 1 of 3 (Deel INC)] Address; [CP 2 of 3 (Amanda Smith)] Google name; [CP 2 of 3 (Amanda Smith)] Address; [CP 3 of 3 (Wendy Zareczny)] Google name; [CP 3 of 3 (Wendy Zareczny)] Address</t>
  </si>
  <si>
    <t>C:\Users\ssaha\OneDrive - Community Federal Savings Bank\Desktop\137227\137227_ALERT2362588_Bondi Moves Pty LTD_RFI QUESTIONS.docx</t>
  </si>
  <si>
    <t>Full text archived in 'Narrative' tab of 137227_Audit_Log.xlsx</t>
  </si>
  <si>
    <t>C:\Users\ssaha\OneDrive - Community Federal Savings Bank\Desktop\137227\137227_ALERT2362588_Bondi Moves Pty LTD_Pre RFI Alert Write-Up.docx</t>
  </si>
  <si>
    <t>ALERT2365046</t>
  </si>
  <si>
    <t>Sconey Pty LTD</t>
  </si>
  <si>
    <t>Advantage Partners INC; Qbs Software GMBH; Lundbeck</t>
  </si>
  <si>
    <t>C:\Users\ssaha\OneDrive - Community Federal Savings Bank\Desktop\137211</t>
  </si>
  <si>
    <t>C:\Users\ssaha\OneDrive - Community Federal Savings Bank\Desktop\137211\137211_ALERT2365046_Combined_Alerted_Transaction.xlsx</t>
  </si>
  <si>
    <t>C:\Users\ssaha\OneDrive - Community Federal Savings Bank\Desktop\137211\OSDD Searches</t>
  </si>
  <si>
    <t>mode=Fast, entities=4, searches=26, time=4 minute(s) and 2 second(s), captchaFlagged=0</t>
  </si>
  <si>
    <t>Method: Fast | Searches: [Customer (Sconey Pty LTD)] Negative News page 1; [Customer (Sconey Pty LTD)] Negative News page 2; [Customer (Sconey Pty LTD)] Negative News w/o middle, page 1; [Customer (Sconey Pty LTD)] Negative News w/o middle, page 2; [CP 1 of 3 (Advantage Partners INC)] Negative News page 1; [CP 1 of 3 (Advantage Partners INC)] Negative News page 2; [CP 1 of 3 (Advantage Partners INC)] Negative News w/o middle, page 1; [CP 1 of 3 (Advantage Partners INC)] Negative News w/o middle, page 2; [CP 2 of 3 (Qbs Software GMBH)] Negative News page 1; [CP 2 of 3 (Qbs Software GMBH)] Negative News page 2; [CP 2 of 3 (Qbs Software GMBH)] Negative News w/o middle, page 1; [CP 2 of 3 (Qbs Software GMBH)] Negative News w/o middle, page 2; [CP 3 of 3 (Lundbeck)] Negative News page 1; [CP 3 of 3 (Lundbeck)] Negative News page 2; [Customer (Sconey Pty LTD)] Name + Address; [CP 1 of 3 (Advantage Partners INC)] Name + Address; [CP 2 of 3 (Qbs Software GMBH)] Name + Address; [CP 3 of 3 (Lundbeck)] Name + Address; [Customer (Sconey Pty LTD)] Google name; [Customer (Sconey Pty LTD)] Address; [CP 1 of 3 (Advantage Partners INC)] Google name; [CP 1 of 3 (Advantage Partners INC)] Address; [CP 2 of 3 (Qbs Software GMBH)] Google name; [CP 2 of 3 (Qbs Software GMBH)] Address; [CP 3 of 3 (Lundbeck)] Google name; [CP 3 of 3 (Lundbeck)] Address</t>
  </si>
  <si>
    <t>C:\Users\ssaha\OneDrive - Community Federal Savings Bank\Desktop\137211\137211_ALERT2365046_Sconey Pty LTD_Alert Write-Up.docx</t>
  </si>
  <si>
    <t>Full text archived in 'Narrative' tab of 137211_Audit_Log.xlsx</t>
  </si>
  <si>
    <t>ALERT2362182</t>
  </si>
  <si>
    <t>Analuna Etang Fisher</t>
  </si>
  <si>
    <t>C:\Users\ssaha\OneDrive - Community Federal Savings Bank\Desktop\135760</t>
  </si>
  <si>
    <t>C:\Users\ssaha\OneDrive - Community Federal Savings Bank\Desktop\135760\135760_ALERT2362182_Combined_Alerted_Transaction.xlsx</t>
  </si>
  <si>
    <t>Wellington Family Dentist; Cheddar'S Zk; Petes 53</t>
  </si>
  <si>
    <t>C:\Users\ssaha\OneDrive - Community Federal Savings Bank\Desktop\135760\OSDD Searches</t>
  </si>
  <si>
    <t>mode=Fast, entities=4, searches=16, time=2 minute(s) and 34 second(s), captchaFlagged=0</t>
  </si>
  <si>
    <t>Method: Fast | Searches: [Customer (Analuna Etang Fisher)] Negative News page 1; [Customer (Analuna Etang Fisher)] Negative News page 2; [Customer (Analuna Etang Fisher)] Negative News w/o middle, page 1; [Customer (Analuna Etang Fisher)] Negative News w/o middle, page 2; [CP 1 of 3 (Wellington Family Dentist)] Negative News page 1; [CP 1 of 3 (Wellington Family Dentist)] Negative News page 2; [CP 2 of 3 (Cheddar'S Zk)] Negative News page 1; [CP 2 of 3 (Cheddar'S Zk)] Negative News page 2; [CP 3 of 3 (Petes 53)] Negative News page 1; [CP 3 of 3 (Petes 53)] Negative News page 2; [Customer (Analuna Etang Fisher)] Name + Address; [Customer (Analuna Etang Fisher)] Google name; [Customer (Analuna Etang Fisher)] Address; [CP 1 of 3 (Wellington Family Dentist)] Google name; [CP 2 of 3 (Cheddar'S Zk)] Google name; [CP 3 of 3 (Petes 53)] Google name</t>
  </si>
  <si>
    <t>C:\Users\ssaha\OneDrive - Community Federal Savings Bank\Desktop\135760\135760_ALERT2362182_Analuna Etang Fisher_Alert Write-Up.docx</t>
  </si>
  <si>
    <t>Full text archived in 'Narrative' tab of 135760_Audit_Log.xlsx</t>
  </si>
  <si>
    <t>ALERT2367642</t>
  </si>
  <si>
    <t>Sami Saad El-Dein</t>
  </si>
  <si>
    <t>C:\Users\ssaha\OneDrive - Community Federal Savings Bank\Desktop\137387</t>
  </si>
  <si>
    <t>C:\Users\ssaha\OneDrive - Community Federal Savings Bank\Desktop\137387\137387_ALERT2367642_Combined_Alerted_Transaction.xlsx</t>
  </si>
  <si>
    <t>Bellagio Hotel &amp; Casino; Evi* Jackp; Palomino Las Vegas</t>
  </si>
  <si>
    <t>C:\Users\ssaha\OneDrive - Community Federal Savings Bank\Desktop\137387\OSDD Searches</t>
  </si>
  <si>
    <t>mode=Fast, entities=4, searches=20, time=3 minute(s) and 47 second(s), captchaFlagged=0</t>
  </si>
  <si>
    <t>Method: Fast | Searches: [Customer (Sami Saad El-Dein)] Negative News page 1; [Customer (Sami Saad El-Dein)] Negative News page 2; [Customer (Sami Saad El-Dein)] Negative News w/o middle, page 1; [Customer (Sami Saad El-Dein)] Negative News w/o middle, page 2; [CP 1 of 3 (Bellagio Hotel &amp; Casino)] Negative News page 1; [CP 1 of 3 (Bellagio Hotel &amp; Casino)] Negative News page 2; [CP 2 of 3 (Evi Jackp)] Negative News page 1; [CP 2 of 3 (Evi Jackp)] Negative News page 2; [CP 3 of 3 (Palomino Las Vegas)] Negative News page 1; [CP 3 of 3 (Palomino Las Vegas)] Negative News page 2; [Customer (Sami Saad El-Dein)] Name + Address; [CP 1 of 3 (Bellagio Hotel &amp; Casino)] Name + Address; [CP 3 of 3 (Palomino Las Vegas)] Name + Address; [Customer (Sami Saad El-Dein)] Google name; [Customer (Sami Saad El-Dein)] Address; [CP 1 of 3 (Bellagio Hotel &amp; Casino)] Google name; [CP 1 of 3 (Bellagio Hotel &amp; Casino)] Address; [CP 2 of 3 (Evi Jackp)] Google name; [CP 3 of 3 (Palomino Las Vegas)] Google name; [CP 3 of 3 (Palomino Las Vegas)] Address</t>
  </si>
  <si>
    <t>C:\Users\ssaha\OneDrive - Community Federal Savings Bank\Desktop\137387\137387_ALERT2367642_Sami Saad El-Dein_Alert Write-Up.docx</t>
  </si>
  <si>
    <t>Full text archived in 'Narrative' tab of 137387_Audit_Log.xlsx</t>
  </si>
  <si>
    <t>ALERT2362236</t>
  </si>
  <si>
    <t>Quang Giang Nhat Ngo</t>
  </si>
  <si>
    <t>C:\Users\ssaha\OneDrive - Community Federal Savings Bank\Desktop\135840</t>
  </si>
  <si>
    <t>C:\Users\ssaha\OneDrive - Community Federal Savings Bank\Desktop\135840\135840_ALERT2362236_Combined_Alerted_Transaction.xlsx</t>
  </si>
  <si>
    <t>Costco</t>
  </si>
  <si>
    <t>C:\Users\ssaha\OneDrive - Community Federal Savings Bank\Desktop\135840\OSDD Searches</t>
  </si>
  <si>
    <t>mode=Fast, entities=2, searches=10, time=4 minute(s) and 5 second(s), captchaFlagged=0</t>
  </si>
  <si>
    <t>Method: Fast | Searches: [Customer (Quang Giang Nhat Ngo)] Negative News page 1; [Customer (Quang Giang Nhat Ngo)] Negative News page 2; [Customer (Quang Giang Nhat Ngo)] Negative News w/o middle, page 1; [Customer (Quang Giang Nhat Ngo)] Negative News w/o middle, page 2; [CP 1 of 1 (Costco)] Negative News page 1; [CP 1 of 1 (Costco)] Negative News page 2; [Customer (Quang Giang Nhat Ngo)] Name + Address; [Customer (Quang Giang Nhat Ngo)] Google name; [Customer (Quang Giang Nhat Ngo)] Address; [CP 1 of 1 (Costco)] Google name</t>
  </si>
  <si>
    <t>C:\Users\ssaha\OneDrive - Community Federal Savings Bank\Desktop\135840\135840_ALERT2362236_Quang Giang Nhat Ngo_Alert Write-Up.docx</t>
  </si>
  <si>
    <t>Full text archived in 'Narrative' tab of 135840_Audit_Log.xlsx</t>
  </si>
  <si>
    <t>C:\Users\ssaha\OneDrive - Community Federal Savings Bank\Desktop\135840\135840_ALERT2362236_Quang Giang Nhat Ngo_RFI QUESTIONS.docx</t>
  </si>
  <si>
    <t>C:\Users\ssaha\OneDrive - Community Federal Savings Bank\Desktop\135840\135840_ALERT2362236_Quang Giang Nhat Ngo_Pre RFI Alert Write-Up.docx</t>
  </si>
  <si>
    <t>ALERT2362339</t>
  </si>
  <si>
    <t>Medtronic INC</t>
  </si>
  <si>
    <t>C:\Users\ssaha\OneDrive - Community Federal Savings Bank\Desktop\135816</t>
  </si>
  <si>
    <t>C:\Users\ssaha\OneDrive - Community Federal Savings Bank\Desktop\135816\135816_ALERT2362339_Combined_Alerted_Transaction.xlsx</t>
  </si>
  <si>
    <t>At&amp;T; Mi Claro Empresas</t>
  </si>
  <si>
    <t>C:\Users\ssaha\OneDrive - Community Federal Savings Bank\Desktop\135816\OSDD Searches</t>
  </si>
  <si>
    <t>mode=Fast, entities=3, searches=9, time=2 minute(s) and 14 second(s), captchaFlagged=0</t>
  </si>
  <si>
    <t>Method: Fast | Searches: [Customer (Medtronic INC)] Negative News page 1; [Customer (Medtronic INC)] Negative News page 2; [CP 2 of 2 (Mi Claro Empresas)] Negative News page 1; [CP 2 of 2 (Mi Claro Empresas)] Negative News page 2; [Customer (Medtronic INC)] Name + Address; [Customer (Medtronic INC)] Google name; [Customer (Medtronic INC)] Address; [CP 1 of 2 (At&amp;T)] Google name; [CP 2 of 2 (Mi Claro Empresas)] Google name</t>
  </si>
  <si>
    <t>C:\Users\ssaha\OneDrive - Community Federal Savings Bank\Desktop\135816\135816_ALERT2362339_Medtronic INC_Alert Write-Up.docx</t>
  </si>
  <si>
    <t>Full text archived in 'Narrative' tab of 135816_Audit_Log.xlsx</t>
  </si>
  <si>
    <t>ALERT2370264</t>
  </si>
  <si>
    <t>Business Design (L.A. Software) LTD</t>
  </si>
  <si>
    <t>C:\Users\ssaha\OneDrive - Community Federal Savings Bank\Desktop\137459</t>
  </si>
  <si>
    <t>C:\Users\ssaha\OneDrive - Community Federal Savings Bank\Desktop\137459\137459_ALERT2370264_Combined_Alerted_Transaction.xlsx</t>
  </si>
  <si>
    <t>C:\Users\ssaha\OneDrive - Community Federal Savings Bank\Desktop\137459\OSDD Searches</t>
  </si>
  <si>
    <t>mode=Fast, entities=1, searches=7, time=1 minute(s) and 10 second(s), captchaFlagged=0</t>
  </si>
  <si>
    <t>Method: Fast | Searches: [Customer (Business Design (L.A. Software) LTD)] Negative News page 1; [Customer (Business Design (L.A. Software) LTD)] Negative News page 2; [Customer (Business Design (L.A. Software) LTD)] Negative News w/o middle, page 1; [Customer (Business Design (L.A. Software) LTD)] Negative News w/o middle, page 2; [Customer (Business Design (L.A. Software) LTD)] Name + Address; [Customer (Business Design (L.A. Software) LTD)] Google name; [Customer (Business Design (L.A. Software) LTD)] Address</t>
  </si>
  <si>
    <t>C:\Users\ssaha\OneDrive - Community Federal Savings Bank\Desktop\137459\137459_ALERT2370264_Business Design (L.A. Software) LTD_Alert Write-Up.docx</t>
  </si>
  <si>
    <t>Full text archived in 'Narrative' tab of 137459_Audit_Log.xlsx</t>
  </si>
  <si>
    <t>ALERT2369929</t>
  </si>
  <si>
    <t>Sen Nan Trading Co., Limited</t>
  </si>
  <si>
    <t>C:\Users\ssaha\OneDrive - Community Federal Savings Bank\Desktop\137027</t>
  </si>
  <si>
    <t>C:\Users\ssaha\OneDrive - Community Federal Savings Bank\Desktop\137027\137027_ALERT2369929_Combined_Alerted_Transaction.xlsx</t>
  </si>
  <si>
    <t>C:\Users\ssaha\OneDrive - Community Federal Savings Bank\Desktop\137027\137027_ALERT2369929_Sen Nan Trading Co., Limited_Alert Write-Up.docx</t>
  </si>
  <si>
    <t>Full text archived in 'Narrative' tab of 137027_Audit_Log.xlsx</t>
  </si>
  <si>
    <t>C:\Users\ssaha\OneDrive - Community Federal Savings Bank\Desktop\137027\OSDD Searches</t>
  </si>
  <si>
    <t>mode=Fast, entities=1, searches=7, time=1 minute(s) and 56 second(s), captchaFlagged=0</t>
  </si>
  <si>
    <t>Method: Fast | Searches: [Customer (Sen Nan Trading Co., Limited)] Negative News page 1; [Customer (Sen Nan Trading Co., Limited)] Negative News page 2; [Customer (Sen Nan Trading Co., Limited)] Negative News w/o middle, page 1; [Customer (Sen Nan Trading Co., Limited)] Negative News w/o middle, page 2; [Customer (Sen Nan Trading Co., Limited)] Name + Address; [Customer (Sen Nan Trading Co., Limited)] Google name; [Customer (Sen Nan Trading Co., Limited)] Address</t>
  </si>
  <si>
    <t>C:\Users\ssaha\OneDrive - Community Federal Savings Bank\Desktop\137003</t>
  </si>
  <si>
    <t>C:\Users\ssaha\OneDrive - Community Federal Savings Bank\Desktop\137003\137003_ALERT2369909_Combined_Alerted_Transaction.xlsx</t>
  </si>
  <si>
    <t>C:\Users\ssaha\OneDrive - Community Federal Savings Bank\Desktop\137003\OSDD Searches</t>
  </si>
  <si>
    <t>mode=Fast, entities=1, searches=6, time=1 minute(s) and 18 second(s), captchaFlagged=0</t>
  </si>
  <si>
    <t>Method: Fast | Searches: [Customer (Steeve Tremblay)] Negative News page 1; [Customer (Steeve Tremblay)] Negative News page 2; [Customer (Steeve Tremblay)] Name + Address; [Customer (Steeve Tremblay)] Google name; [Customer (Steeve Tremblay)] Address; [Customer (Steeve Tremblay)] Name + Additional Address</t>
  </si>
  <si>
    <t>C:\Users\ssaha\OneDrive - Community Federal Savings Bank\Desktop\137003\137003_ALERT2369909_Steeve Tremblay_RFI QUESTIONS.docx</t>
  </si>
  <si>
    <t>Full text archived in 'Narrative' tab of 137003_Audit_Log.xlsx</t>
  </si>
  <si>
    <t>C:\Users\ssaha\OneDrive - Community Federal Savings Bank\Desktop\137003\137003_ALERT2369909_Steeve Tremblay_Pre RFI Alert Write-Up.docx</t>
  </si>
  <si>
    <t>msrivastava</t>
  </si>
  <si>
    <t>C:\Users\msrivastava\OneDrive - Community Federal Savings Bank\Desktop\137003</t>
  </si>
  <si>
    <t>C:\Users\msrivastava\OneDrive - Community Federal Savings Bank\Desktop\137003\137003_ALERT2369909_Steeve Tremblay_RFI QUESTIONS.docx</t>
  </si>
  <si>
    <t>C:\Users\msrivastava\OneDrive - Community Federal Savings Bank\Desktop\137003\137003_ALERT2369909_Steeve Tremblay_Pre RFI Alert Write-Up.docx</t>
  </si>
  <si>
    <t>mode=Visible, entities=1, searches=3, time=2 minute(s) and 42 second(s), captchaFlagged=0</t>
  </si>
  <si>
    <t>Method: Visible | Searches: [Customer (Steeve Tremblay)] Google name; [Customer (Steeve Tremblay)] Negative News page 1; [Customer (Steeve Tremblay)] Negative News page 2</t>
  </si>
  <si>
    <t>$A$1</t>
  </si>
  <si>
    <t>$B$1</t>
  </si>
  <si>
    <t>$C$1</t>
  </si>
  <si>
    <t>$D$1</t>
  </si>
  <si>
    <t>$E$1</t>
  </si>
  <si>
    <t>$F$1</t>
  </si>
  <si>
    <t>$G$1</t>
  </si>
  <si>
    <t>$H$1</t>
  </si>
  <si>
    <t>$I$1</t>
  </si>
  <si>
    <t>$J$1</t>
  </si>
  <si>
    <t>$K$1</t>
  </si>
  <si>
    <t>$L$1</t>
  </si>
  <si>
    <t>$M$1</t>
  </si>
  <si>
    <t>$N$1</t>
  </si>
  <si>
    <t>$O$1</t>
  </si>
  <si>
    <t>$P$1</t>
  </si>
  <si>
    <t>$Q$1</t>
  </si>
  <si>
    <t>$R$1</t>
  </si>
  <si>
    <t>$S$1</t>
  </si>
  <si>
    <t>$T$1</t>
  </si>
  <si>
    <t>$U$1</t>
  </si>
  <si>
    <t>$A$2</t>
  </si>
  <si>
    <t>$B$2</t>
  </si>
  <si>
    <t>$C$2</t>
  </si>
  <si>
    <t>$D$2</t>
  </si>
  <si>
    <t>$E$2</t>
  </si>
  <si>
    <t>$F$2</t>
  </si>
  <si>
    <t>$G$2</t>
  </si>
  <si>
    <t>$H$2</t>
  </si>
  <si>
    <t>$I$2</t>
  </si>
  <si>
    <t>$J$2</t>
  </si>
  <si>
    <t>$K$2</t>
  </si>
  <si>
    <t>$L$2</t>
  </si>
  <si>
    <t>$M$2</t>
  </si>
  <si>
    <t>$N$2</t>
  </si>
  <si>
    <t>$O$2</t>
  </si>
  <si>
    <t>$P$2</t>
  </si>
  <si>
    <t>$Q$2</t>
  </si>
  <si>
    <t>$R$2</t>
  </si>
  <si>
    <t>$S$2</t>
  </si>
  <si>
    <t>$T$2</t>
  </si>
  <si>
    <t>$U$2</t>
  </si>
  <si>
    <t>$A$3</t>
  </si>
  <si>
    <t>$B$3</t>
  </si>
  <si>
    <t>$C$3</t>
  </si>
  <si>
    <t>$D$3</t>
  </si>
  <si>
    <t>$E$3</t>
  </si>
  <si>
    <t>$F$3</t>
  </si>
  <si>
    <t>$G$3</t>
  </si>
  <si>
    <t>$H$3</t>
  </si>
  <si>
    <t>$I$3</t>
  </si>
  <si>
    <t>$J$3</t>
  </si>
  <si>
    <t>$K$3</t>
  </si>
  <si>
    <t>$L$3</t>
  </si>
  <si>
    <t>$M$3</t>
  </si>
  <si>
    <t>$N$3</t>
  </si>
  <si>
    <t>$O$3</t>
  </si>
  <si>
    <t>$P$3</t>
  </si>
  <si>
    <t>$Q$3</t>
  </si>
  <si>
    <t>$R$3</t>
  </si>
  <si>
    <t>$S$3</t>
  </si>
  <si>
    <t>$T$3</t>
  </si>
  <si>
    <t>$U$3</t>
  </si>
  <si>
    <t>$A$4</t>
  </si>
  <si>
    <t>$B$4</t>
  </si>
  <si>
    <t>$C$4</t>
  </si>
  <si>
    <t>$D$4</t>
  </si>
  <si>
    <t>$E$4</t>
  </si>
  <si>
    <t>$F$4</t>
  </si>
  <si>
    <t>$G$4</t>
  </si>
  <si>
    <t>$H$4</t>
  </si>
  <si>
    <t>$I$4</t>
  </si>
  <si>
    <t>$J$4</t>
  </si>
  <si>
    <t>$K$4</t>
  </si>
  <si>
    <t>$L$4</t>
  </si>
  <si>
    <t>$M$4</t>
  </si>
  <si>
    <t>$N$4</t>
  </si>
  <si>
    <t>$O$4</t>
  </si>
  <si>
    <t>$P$4</t>
  </si>
  <si>
    <t>$Q$4</t>
  </si>
  <si>
    <t>$R$4</t>
  </si>
  <si>
    <t>$S$4</t>
  </si>
  <si>
    <t>$T$4</t>
  </si>
  <si>
    <t>$U$4</t>
  </si>
  <si>
    <t>$A$5</t>
  </si>
  <si>
    <t>$B$5</t>
  </si>
  <si>
    <t>$C$5</t>
  </si>
  <si>
    <t>$D$5</t>
  </si>
  <si>
    <t>$E$5</t>
  </si>
  <si>
    <t>$F$5</t>
  </si>
  <si>
    <t>$G$5</t>
  </si>
  <si>
    <t>$H$5</t>
  </si>
  <si>
    <t>$I$5</t>
  </si>
  <si>
    <t>$J$5</t>
  </si>
  <si>
    <t>$K$5</t>
  </si>
  <si>
    <t>$L$5</t>
  </si>
  <si>
    <t>$M$5</t>
  </si>
  <si>
    <t>$N$5</t>
  </si>
  <si>
    <t>$O$5</t>
  </si>
  <si>
    <t>$P$5</t>
  </si>
  <si>
    <t>$Q$5</t>
  </si>
  <si>
    <t>$R$5</t>
  </si>
  <si>
    <t>$S$5</t>
  </si>
  <si>
    <t>$T$5</t>
  </si>
  <si>
    <t>$U$5</t>
  </si>
  <si>
    <t>$A$6</t>
  </si>
  <si>
    <t>$B$6</t>
  </si>
  <si>
    <t>$C$6</t>
  </si>
  <si>
    <t>$D$6</t>
  </si>
  <si>
    <t>$E$6</t>
  </si>
  <si>
    <t>$F$6</t>
  </si>
  <si>
    <t>$G$6</t>
  </si>
  <si>
    <t>$H$6</t>
  </si>
  <si>
    <t>$I$6</t>
  </si>
  <si>
    <t>$J$6</t>
  </si>
  <si>
    <t>$K$6</t>
  </si>
  <si>
    <t>$L$6</t>
  </si>
  <si>
    <t>$M$6</t>
  </si>
  <si>
    <t>$N$6</t>
  </si>
  <si>
    <t>$O$6</t>
  </si>
  <si>
    <t>$P$6</t>
  </si>
  <si>
    <t>$Q$6</t>
  </si>
  <si>
    <t>$R$6</t>
  </si>
  <si>
    <t>$S$6</t>
  </si>
  <si>
    <t>$T$6</t>
  </si>
  <si>
    <t>$U$6</t>
  </si>
  <si>
    <t>$A$7</t>
  </si>
  <si>
    <t>$B$7</t>
  </si>
  <si>
    <t>$C$7</t>
  </si>
  <si>
    <t>$D$7</t>
  </si>
  <si>
    <t>$E$7</t>
  </si>
  <si>
    <t>$F$7</t>
  </si>
  <si>
    <t>$G$7</t>
  </si>
  <si>
    <t>$H$7</t>
  </si>
  <si>
    <t>$I$7</t>
  </si>
  <si>
    <t>$J$7</t>
  </si>
  <si>
    <t>$K$7</t>
  </si>
  <si>
    <t>$L$7</t>
  </si>
  <si>
    <t>$M$7</t>
  </si>
  <si>
    <t>$N$7</t>
  </si>
  <si>
    <t>$O$7</t>
  </si>
  <si>
    <t>$P$7</t>
  </si>
  <si>
    <t>$Q$7</t>
  </si>
  <si>
    <t>$R$7</t>
  </si>
  <si>
    <t>$S$7</t>
  </si>
  <si>
    <t>$T$7</t>
  </si>
  <si>
    <t>$U$7</t>
  </si>
  <si>
    <t>$A$8</t>
  </si>
  <si>
    <t>$B$8</t>
  </si>
  <si>
    <t>$C$8</t>
  </si>
  <si>
    <t>$D$8</t>
  </si>
  <si>
    <t>$E$8</t>
  </si>
  <si>
    <t>$F$8</t>
  </si>
  <si>
    <t>$G$8</t>
  </si>
  <si>
    <t>$H$8</t>
  </si>
  <si>
    <t>$I$8</t>
  </si>
  <si>
    <t>$J$8</t>
  </si>
  <si>
    <t>$K$8</t>
  </si>
  <si>
    <t>$L$8</t>
  </si>
  <si>
    <t>$M$8</t>
  </si>
  <si>
    <t>$N$8</t>
  </si>
  <si>
    <t>$O$8</t>
  </si>
  <si>
    <t>$P$8</t>
  </si>
  <si>
    <t>$Q$8</t>
  </si>
  <si>
    <t>$R$8</t>
  </si>
  <si>
    <t>$S$8</t>
  </si>
  <si>
    <t>$T$8</t>
  </si>
  <si>
    <t>$U$8</t>
  </si>
  <si>
    <t>$A$9</t>
  </si>
  <si>
    <t>$B$9</t>
  </si>
  <si>
    <t>$C$9</t>
  </si>
  <si>
    <t>$D$9</t>
  </si>
  <si>
    <t>$E$9</t>
  </si>
  <si>
    <t>$F$9</t>
  </si>
  <si>
    <t>$G$9</t>
  </si>
  <si>
    <t>$H$9</t>
  </si>
  <si>
    <t>$I$9</t>
  </si>
  <si>
    <t>$J$9</t>
  </si>
  <si>
    <t>$K$9</t>
  </si>
  <si>
    <t>$L$9</t>
  </si>
  <si>
    <t>$M$9</t>
  </si>
  <si>
    <t>$N$9</t>
  </si>
  <si>
    <t>$O$9</t>
  </si>
  <si>
    <t>$P$9</t>
  </si>
  <si>
    <t>$Q$9</t>
  </si>
  <si>
    <t>$R$9</t>
  </si>
  <si>
    <t>$S$9</t>
  </si>
  <si>
    <t>$T$9</t>
  </si>
  <si>
    <t>$U$9</t>
  </si>
  <si>
    <t>$A$10</t>
  </si>
  <si>
    <t>$B$10</t>
  </si>
  <si>
    <t>$C$10</t>
  </si>
  <si>
    <t>$D$10</t>
  </si>
  <si>
    <t>$E$10</t>
  </si>
  <si>
    <t>$F$10</t>
  </si>
  <si>
    <t>$G$10</t>
  </si>
  <si>
    <t>$H$10</t>
  </si>
  <si>
    <t>$I$10</t>
  </si>
  <si>
    <t>$J$10</t>
  </si>
  <si>
    <t>$K$10</t>
  </si>
  <si>
    <t>$L$10</t>
  </si>
  <si>
    <t>$M$10</t>
  </si>
  <si>
    <t>$N$10</t>
  </si>
  <si>
    <t>$O$10</t>
  </si>
  <si>
    <t>$P$10</t>
  </si>
  <si>
    <t>$Q$10</t>
  </si>
  <si>
    <t>$R$10</t>
  </si>
  <si>
    <t>$S$10</t>
  </si>
  <si>
    <t>$T$10</t>
  </si>
  <si>
    <t>$U$10</t>
  </si>
  <si>
    <t>$A$11</t>
  </si>
  <si>
    <t>$B$11</t>
  </si>
  <si>
    <t>$C$11</t>
  </si>
  <si>
    <t>$D$11</t>
  </si>
  <si>
    <t>$E$11</t>
  </si>
  <si>
    <t>$F$11</t>
  </si>
  <si>
    <t>$G$11</t>
  </si>
  <si>
    <t>$H$11</t>
  </si>
  <si>
    <t>$I$11</t>
  </si>
  <si>
    <t>$J$11</t>
  </si>
  <si>
    <t>$K$11</t>
  </si>
  <si>
    <t>$L$11</t>
  </si>
  <si>
    <t>$M$11</t>
  </si>
  <si>
    <t>$N$11</t>
  </si>
  <si>
    <t>$O$11</t>
  </si>
  <si>
    <t>$P$11</t>
  </si>
  <si>
    <t>$Q$11</t>
  </si>
  <si>
    <t>$R$11</t>
  </si>
  <si>
    <t>$S$11</t>
  </si>
  <si>
    <t>$T$11</t>
  </si>
  <si>
    <t>$U$11</t>
  </si>
  <si>
    <t>$A$12</t>
  </si>
  <si>
    <t>$B$12</t>
  </si>
  <si>
    <t>$C$12</t>
  </si>
  <si>
    <t>$D$12</t>
  </si>
  <si>
    <t>$E$12</t>
  </si>
  <si>
    <t>$F$12</t>
  </si>
  <si>
    <t>$G$12</t>
  </si>
  <si>
    <t>$H$12</t>
  </si>
  <si>
    <t>$I$12</t>
  </si>
  <si>
    <t>$J$12</t>
  </si>
  <si>
    <t>$K$12</t>
  </si>
  <si>
    <t>$L$12</t>
  </si>
  <si>
    <t>$M$12</t>
  </si>
  <si>
    <t>$N$12</t>
  </si>
  <si>
    <t>$O$12</t>
  </si>
  <si>
    <t>$P$12</t>
  </si>
  <si>
    <t>$Q$12</t>
  </si>
  <si>
    <t>$R$12</t>
  </si>
  <si>
    <t>$S$12</t>
  </si>
  <si>
    <t>$T$12</t>
  </si>
  <si>
    <t>$U$12</t>
  </si>
  <si>
    <t>$A$13</t>
  </si>
  <si>
    <t>$B$13</t>
  </si>
  <si>
    <t>$C$13</t>
  </si>
  <si>
    <t>$D$13</t>
  </si>
  <si>
    <t>$E$13</t>
  </si>
  <si>
    <t>$F$13</t>
  </si>
  <si>
    <t>$G$13</t>
  </si>
  <si>
    <t>$H$13</t>
  </si>
  <si>
    <t>$I$13</t>
  </si>
  <si>
    <t>$J$13</t>
  </si>
  <si>
    <t>$K$13</t>
  </si>
  <si>
    <t>$L$13</t>
  </si>
  <si>
    <t>$M$13</t>
  </si>
  <si>
    <t>$N$13</t>
  </si>
  <si>
    <t>$O$13</t>
  </si>
  <si>
    <t>$P$13</t>
  </si>
  <si>
    <t>$Q$13</t>
  </si>
  <si>
    <t>$R$13</t>
  </si>
  <si>
    <t>$S$13</t>
  </si>
  <si>
    <t>$T$13</t>
  </si>
  <si>
    <t>$U$13</t>
  </si>
  <si>
    <t>$A$14</t>
  </si>
  <si>
    <t>$B$14</t>
  </si>
  <si>
    <t>$C$14</t>
  </si>
  <si>
    <t>$D$14</t>
  </si>
  <si>
    <t>$E$14</t>
  </si>
  <si>
    <t>$F$14</t>
  </si>
  <si>
    <t>$G$14</t>
  </si>
  <si>
    <t>$H$14</t>
  </si>
  <si>
    <t>$I$14</t>
  </si>
  <si>
    <t>$J$14</t>
  </si>
  <si>
    <t>$K$14</t>
  </si>
  <si>
    <t>$L$14</t>
  </si>
  <si>
    <t>$M$14</t>
  </si>
  <si>
    <t>$N$14</t>
  </si>
  <si>
    <t>$O$14</t>
  </si>
  <si>
    <t>$P$14</t>
  </si>
  <si>
    <t>$Q$14</t>
  </si>
  <si>
    <t>$R$14</t>
  </si>
  <si>
    <t>$S$14</t>
  </si>
  <si>
    <t>$T$14</t>
  </si>
  <si>
    <t>$U$14</t>
  </si>
  <si>
    <t>$A$15</t>
  </si>
  <si>
    <t>$B$15</t>
  </si>
  <si>
    <t>$C$15</t>
  </si>
  <si>
    <t>$D$15</t>
  </si>
  <si>
    <t>$E$15</t>
  </si>
  <si>
    <t>$F$15</t>
  </si>
  <si>
    <t>$G$15</t>
  </si>
  <si>
    <t>$H$15</t>
  </si>
  <si>
    <t>$I$15</t>
  </si>
  <si>
    <t>$J$15</t>
  </si>
  <si>
    <t>$K$15</t>
  </si>
  <si>
    <t>$L$15</t>
  </si>
  <si>
    <t>$M$15</t>
  </si>
  <si>
    <t>$N$15</t>
  </si>
  <si>
    <t>$O$15</t>
  </si>
  <si>
    <t>$P$15</t>
  </si>
  <si>
    <t>$Q$15</t>
  </si>
  <si>
    <t>$R$15</t>
  </si>
  <si>
    <t>$S$15</t>
  </si>
  <si>
    <t>$T$15</t>
  </si>
  <si>
    <t>$U$15</t>
  </si>
  <si>
    <t>$A$16</t>
  </si>
  <si>
    <t>$B$16</t>
  </si>
  <si>
    <t>$C$16</t>
  </si>
  <si>
    <t>$D$16</t>
  </si>
  <si>
    <t>$E$16</t>
  </si>
  <si>
    <t>$F$16</t>
  </si>
  <si>
    <t>$G$16</t>
  </si>
  <si>
    <t>$H$16</t>
  </si>
  <si>
    <t>$I$16</t>
  </si>
  <si>
    <t>$J$16</t>
  </si>
  <si>
    <t>$K$16</t>
  </si>
  <si>
    <t>$L$16</t>
  </si>
  <si>
    <t>$M$16</t>
  </si>
  <si>
    <t>$N$16</t>
  </si>
  <si>
    <t>$O$16</t>
  </si>
  <si>
    <t>$P$16</t>
  </si>
  <si>
    <t>$Q$16</t>
  </si>
  <si>
    <t>$R$16</t>
  </si>
  <si>
    <t>$S$16</t>
  </si>
  <si>
    <t>$T$16</t>
  </si>
  <si>
    <t>$U$16</t>
  </si>
  <si>
    <t>$A$17</t>
  </si>
  <si>
    <t>$B$17</t>
  </si>
  <si>
    <t>$C$17</t>
  </si>
  <si>
    <t>$D$17</t>
  </si>
  <si>
    <t>$E$17</t>
  </si>
  <si>
    <t>$F$17</t>
  </si>
  <si>
    <t>$G$17</t>
  </si>
  <si>
    <t>$H$17</t>
  </si>
  <si>
    <t>$I$17</t>
  </si>
  <si>
    <t>$J$17</t>
  </si>
  <si>
    <t>$K$17</t>
  </si>
  <si>
    <t>$L$17</t>
  </si>
  <si>
    <t>$M$17</t>
  </si>
  <si>
    <t>$N$17</t>
  </si>
  <si>
    <t>$O$17</t>
  </si>
  <si>
    <t>$P$17</t>
  </si>
  <si>
    <t>$Q$17</t>
  </si>
  <si>
    <t>$R$17</t>
  </si>
  <si>
    <t>$S$17</t>
  </si>
  <si>
    <t>$T$17</t>
  </si>
  <si>
    <t>$U$17</t>
  </si>
  <si>
    <t>$A$18</t>
  </si>
  <si>
    <t>$B$18</t>
  </si>
  <si>
    <t>$C$18</t>
  </si>
  <si>
    <t>$D$18</t>
  </si>
  <si>
    <t>$E$18</t>
  </si>
  <si>
    <t>$F$18</t>
  </si>
  <si>
    <t>$G$18</t>
  </si>
  <si>
    <t>$H$18</t>
  </si>
  <si>
    <t>$I$18</t>
  </si>
  <si>
    <t>$J$18</t>
  </si>
  <si>
    <t>$K$18</t>
  </si>
  <si>
    <t>$L$18</t>
  </si>
  <si>
    <t>$M$18</t>
  </si>
  <si>
    <t>$N$18</t>
  </si>
  <si>
    <t>$O$18</t>
  </si>
  <si>
    <t>$P$18</t>
  </si>
  <si>
    <t>$Q$18</t>
  </si>
  <si>
    <t>$R$18</t>
  </si>
  <si>
    <t>$S$18</t>
  </si>
  <si>
    <t>$T$18</t>
  </si>
  <si>
    <t>$U$18</t>
  </si>
  <si>
    <t>$A$19</t>
  </si>
  <si>
    <t>$B$19</t>
  </si>
  <si>
    <t>$C$19</t>
  </si>
  <si>
    <t>$D$19</t>
  </si>
  <si>
    <t>$E$19</t>
  </si>
  <si>
    <t>$F$19</t>
  </si>
  <si>
    <t>$G$19</t>
  </si>
  <si>
    <t>$H$19</t>
  </si>
  <si>
    <t>$I$19</t>
  </si>
  <si>
    <t>$J$19</t>
  </si>
  <si>
    <t>$K$19</t>
  </si>
  <si>
    <t>$L$19</t>
  </si>
  <si>
    <t>$M$19</t>
  </si>
  <si>
    <t>$N$19</t>
  </si>
  <si>
    <t>$O$19</t>
  </si>
  <si>
    <t>$P$19</t>
  </si>
  <si>
    <t>$Q$19</t>
  </si>
  <si>
    <t>$R$19</t>
  </si>
  <si>
    <t>$S$19</t>
  </si>
  <si>
    <t>$T$19</t>
  </si>
  <si>
    <t>$U$19</t>
  </si>
  <si>
    <t>$A$20</t>
  </si>
  <si>
    <t>$B$20</t>
  </si>
  <si>
    <t>$C$20</t>
  </si>
  <si>
    <t>$D$20</t>
  </si>
  <si>
    <t>$E$20</t>
  </si>
  <si>
    <t>$F$20</t>
  </si>
  <si>
    <t>$G$20</t>
  </si>
  <si>
    <t>$H$20</t>
  </si>
  <si>
    <t>$I$20</t>
  </si>
  <si>
    <t>$J$20</t>
  </si>
  <si>
    <t>$K$20</t>
  </si>
  <si>
    <t>$L$20</t>
  </si>
  <si>
    <t>$M$20</t>
  </si>
  <si>
    <t>$N$20</t>
  </si>
  <si>
    <t>$O$20</t>
  </si>
  <si>
    <t>$P$20</t>
  </si>
  <si>
    <t>$Q$20</t>
  </si>
  <si>
    <t>$R$20</t>
  </si>
  <si>
    <t>$S$20</t>
  </si>
  <si>
    <t>$T$20</t>
  </si>
  <si>
    <t>$U$20</t>
  </si>
  <si>
    <t>$A$21</t>
  </si>
  <si>
    <t>$B$21</t>
  </si>
  <si>
    <t>$C$21</t>
  </si>
  <si>
    <t>$D$21</t>
  </si>
  <si>
    <t>$E$21</t>
  </si>
  <si>
    <t>$F$21</t>
  </si>
  <si>
    <t>$G$21</t>
  </si>
  <si>
    <t>$H$21</t>
  </si>
  <si>
    <t>$I$21</t>
  </si>
  <si>
    <t>$J$21</t>
  </si>
  <si>
    <t>$K$21</t>
  </si>
  <si>
    <t>$L$21</t>
  </si>
  <si>
    <t>$M$21</t>
  </si>
  <si>
    <t>$N$21</t>
  </si>
  <si>
    <t>$O$21</t>
  </si>
  <si>
    <t>$P$21</t>
  </si>
  <si>
    <t>$Q$21</t>
  </si>
  <si>
    <t>$R$21</t>
  </si>
  <si>
    <t>$S$21</t>
  </si>
  <si>
    <t>$T$21</t>
  </si>
  <si>
    <t>$U$21</t>
  </si>
  <si>
    <t>$A$22</t>
  </si>
  <si>
    <t>$B$22</t>
  </si>
  <si>
    <t>$C$22</t>
  </si>
  <si>
    <t>$D$22</t>
  </si>
  <si>
    <t>$E$22</t>
  </si>
  <si>
    <t>$F$22</t>
  </si>
  <si>
    <t>$G$22</t>
  </si>
  <si>
    <t>$H$22</t>
  </si>
  <si>
    <t>$I$22</t>
  </si>
  <si>
    <t>$J$22</t>
  </si>
  <si>
    <t>$K$22</t>
  </si>
  <si>
    <t>$L$22</t>
  </si>
  <si>
    <t>$M$22</t>
  </si>
  <si>
    <t>$N$22</t>
  </si>
  <si>
    <t>$O$22</t>
  </si>
  <si>
    <t>$P$22</t>
  </si>
  <si>
    <t>$Q$22</t>
  </si>
  <si>
    <t>$R$22</t>
  </si>
  <si>
    <t>$S$22</t>
  </si>
  <si>
    <t>$T$22</t>
  </si>
  <si>
    <t>$U$22</t>
  </si>
  <si>
    <t>$A$23</t>
  </si>
  <si>
    <t>$B$23</t>
  </si>
  <si>
    <t>$C$23</t>
  </si>
  <si>
    <t>$D$23</t>
  </si>
  <si>
    <t>$E$23</t>
  </si>
  <si>
    <t>$F$23</t>
  </si>
  <si>
    <t>$G$23</t>
  </si>
  <si>
    <t>$H$23</t>
  </si>
  <si>
    <t>$I$23</t>
  </si>
  <si>
    <t>$J$23</t>
  </si>
  <si>
    <t>$K$23</t>
  </si>
  <si>
    <t>$L$23</t>
  </si>
  <si>
    <t>$M$23</t>
  </si>
  <si>
    <t>$N$23</t>
  </si>
  <si>
    <t>$O$23</t>
  </si>
  <si>
    <t>$P$23</t>
  </si>
  <si>
    <t>$Q$23</t>
  </si>
  <si>
    <t>$R$23</t>
  </si>
  <si>
    <t>$S$23</t>
  </si>
  <si>
    <t>$T$23</t>
  </si>
  <si>
    <t>$U$23</t>
  </si>
  <si>
    <t>$A$24</t>
  </si>
  <si>
    <t>$B$24</t>
  </si>
  <si>
    <t>$C$24</t>
  </si>
  <si>
    <t>$D$24</t>
  </si>
  <si>
    <t>$E$24</t>
  </si>
  <si>
    <t>$F$24</t>
  </si>
  <si>
    <t>$G$24</t>
  </si>
  <si>
    <t>$H$24</t>
  </si>
  <si>
    <t>$I$24</t>
  </si>
  <si>
    <t>$J$24</t>
  </si>
  <si>
    <t>$K$24</t>
  </si>
  <si>
    <t>$L$24</t>
  </si>
  <si>
    <t>$M$24</t>
  </si>
  <si>
    <t>$N$24</t>
  </si>
  <si>
    <t>$O$24</t>
  </si>
  <si>
    <t>$P$24</t>
  </si>
  <si>
    <t>$Q$24</t>
  </si>
  <si>
    <t>$R$24</t>
  </si>
  <si>
    <t>$S$24</t>
  </si>
  <si>
    <t>$T$24</t>
  </si>
  <si>
    <t>$U$24</t>
  </si>
  <si>
    <t>$A$25</t>
  </si>
  <si>
    <t>$B$25</t>
  </si>
  <si>
    <t>$C$25</t>
  </si>
  <si>
    <t>$D$25</t>
  </si>
  <si>
    <t>$E$25</t>
  </si>
  <si>
    <t>$F$25</t>
  </si>
  <si>
    <t>$G$25</t>
  </si>
  <si>
    <t>$H$25</t>
  </si>
  <si>
    <t>$I$25</t>
  </si>
  <si>
    <t>$J$25</t>
  </si>
  <si>
    <t>$K$25</t>
  </si>
  <si>
    <t>$L$25</t>
  </si>
  <si>
    <t>$M$25</t>
  </si>
  <si>
    <t>$N$25</t>
  </si>
  <si>
    <t>$O$25</t>
  </si>
  <si>
    <t>$P$25</t>
  </si>
  <si>
    <t>$Q$25</t>
  </si>
  <si>
    <t>$R$25</t>
  </si>
  <si>
    <t>$S$25</t>
  </si>
  <si>
    <t>$T$25</t>
  </si>
  <si>
    <t>$U$25</t>
  </si>
  <si>
    <t>$A$26</t>
  </si>
  <si>
    <t>$B$26</t>
  </si>
  <si>
    <t>$C$26</t>
  </si>
  <si>
    <t>$D$26</t>
  </si>
  <si>
    <t>$E$26</t>
  </si>
  <si>
    <t>$F$26</t>
  </si>
  <si>
    <t>$G$26</t>
  </si>
  <si>
    <t>$H$26</t>
  </si>
  <si>
    <t>$I$26</t>
  </si>
  <si>
    <t>$J$26</t>
  </si>
  <si>
    <t>$K$26</t>
  </si>
  <si>
    <t>$L$26</t>
  </si>
  <si>
    <t>$M$26</t>
  </si>
  <si>
    <t>$N$26</t>
  </si>
  <si>
    <t>$O$26</t>
  </si>
  <si>
    <t>$P$26</t>
  </si>
  <si>
    <t>$Q$26</t>
  </si>
  <si>
    <t>$R$26</t>
  </si>
  <si>
    <t>$S$26</t>
  </si>
  <si>
    <t>$T$26</t>
  </si>
  <si>
    <t>$U$26</t>
  </si>
  <si>
    <t>$A$27</t>
  </si>
  <si>
    <t>$B$27</t>
  </si>
  <si>
    <t>$C$27</t>
  </si>
  <si>
    <t>$D$27</t>
  </si>
  <si>
    <t>$E$27</t>
  </si>
  <si>
    <t>$F$27</t>
  </si>
  <si>
    <t>$G$27</t>
  </si>
  <si>
    <t>$H$27</t>
  </si>
  <si>
    <t>$I$27</t>
  </si>
  <si>
    <t>$J$27</t>
  </si>
  <si>
    <t>$K$27</t>
  </si>
  <si>
    <t>$L$27</t>
  </si>
  <si>
    <t>$M$27</t>
  </si>
  <si>
    <t>$N$27</t>
  </si>
  <si>
    <t>$O$27</t>
  </si>
  <si>
    <t>$P$27</t>
  </si>
  <si>
    <t>$Q$27</t>
  </si>
  <si>
    <t>$R$27</t>
  </si>
  <si>
    <t>$S$27</t>
  </si>
  <si>
    <t>$T$27</t>
  </si>
  <si>
    <t>$U$27</t>
  </si>
  <si>
    <t>$A$28</t>
  </si>
  <si>
    <t>$B$28</t>
  </si>
  <si>
    <t>$C$28</t>
  </si>
  <si>
    <t>$D$28</t>
  </si>
  <si>
    <t>$E$28</t>
  </si>
  <si>
    <t>$F$28</t>
  </si>
  <si>
    <t>$G$28</t>
  </si>
  <si>
    <t>$H$28</t>
  </si>
  <si>
    <t>$I$28</t>
  </si>
  <si>
    <t>$J$28</t>
  </si>
  <si>
    <t>$K$28</t>
  </si>
  <si>
    <t>$L$28</t>
  </si>
  <si>
    <t>$M$28</t>
  </si>
  <si>
    <t>$N$28</t>
  </si>
  <si>
    <t>$O$28</t>
  </si>
  <si>
    <t>$P$28</t>
  </si>
  <si>
    <t>$Q$28</t>
  </si>
  <si>
    <t>$R$28</t>
  </si>
  <si>
    <t>$S$28</t>
  </si>
  <si>
    <t>$T$28</t>
  </si>
  <si>
    <t>$U$28</t>
  </si>
  <si>
    <t>$A$29</t>
  </si>
  <si>
    <t>$B$29</t>
  </si>
  <si>
    <t>$C$29</t>
  </si>
  <si>
    <t>$D$29</t>
  </si>
  <si>
    <t>$E$29</t>
  </si>
  <si>
    <t>$F$29</t>
  </si>
  <si>
    <t>$G$29</t>
  </si>
  <si>
    <t>$H$29</t>
  </si>
  <si>
    <t>$I$29</t>
  </si>
  <si>
    <t>$J$29</t>
  </si>
  <si>
    <t>$K$29</t>
  </si>
  <si>
    <t>$L$29</t>
  </si>
  <si>
    <t>$M$29</t>
  </si>
  <si>
    <t>$N$29</t>
  </si>
  <si>
    <t>$O$29</t>
  </si>
  <si>
    <t>$P$29</t>
  </si>
  <si>
    <t>$Q$29</t>
  </si>
  <si>
    <t>$R$29</t>
  </si>
  <si>
    <t>$S$29</t>
  </si>
  <si>
    <t>$T$29</t>
  </si>
  <si>
    <t>$U$29</t>
  </si>
  <si>
    <t>$V$1</t>
  </si>
  <si>
    <t>$W$1</t>
  </si>
  <si>
    <t>$X$1</t>
  </si>
  <si>
    <t>$Y$1</t>
  </si>
  <si>
    <t>$Z$1</t>
  </si>
  <si>
    <t>$AA$1</t>
  </si>
  <si>
    <t>$AB$1</t>
  </si>
  <si>
    <t>$AC$1</t>
  </si>
  <si>
    <t>$V$2</t>
  </si>
  <si>
    <t>$W$2</t>
  </si>
  <si>
    <t>$X$2</t>
  </si>
  <si>
    <t>$Y$2</t>
  </si>
  <si>
    <t>$Z$2</t>
  </si>
  <si>
    <t>$AA$2</t>
  </si>
  <si>
    <t>$AB$2</t>
  </si>
  <si>
    <t>$AC$2</t>
  </si>
  <si>
    <t>$V$3</t>
  </si>
  <si>
    <t>$W$3</t>
  </si>
  <si>
    <t>$X$3</t>
  </si>
  <si>
    <t>$Y$3</t>
  </si>
  <si>
    <t>$Z$3</t>
  </si>
  <si>
    <t>$AA$3</t>
  </si>
  <si>
    <t>$AB$3</t>
  </si>
  <si>
    <t>$AC$3</t>
  </si>
  <si>
    <t>$V$4</t>
  </si>
  <si>
    <t>$W$4</t>
  </si>
  <si>
    <t>$X$4</t>
  </si>
  <si>
    <t>$Y$4</t>
  </si>
  <si>
    <t>$Z$4</t>
  </si>
  <si>
    <t>$AA$4</t>
  </si>
  <si>
    <t>$AB$4</t>
  </si>
  <si>
    <t>$AC$4</t>
  </si>
  <si>
    <t>$V$5</t>
  </si>
  <si>
    <t>$W$5</t>
  </si>
  <si>
    <t>$X$5</t>
  </si>
  <si>
    <t>$Y$5</t>
  </si>
  <si>
    <t>$Z$5</t>
  </si>
  <si>
    <t>$AA$5</t>
  </si>
  <si>
    <t>$AB$5</t>
  </si>
  <si>
    <t>$AC$5</t>
  </si>
  <si>
    <t>$V$6</t>
  </si>
  <si>
    <t>$W$6</t>
  </si>
  <si>
    <t>$X$6</t>
  </si>
  <si>
    <t>$Y$6</t>
  </si>
  <si>
    <t>$Z$6</t>
  </si>
  <si>
    <t>$AA$6</t>
  </si>
  <si>
    <t>$AB$6</t>
  </si>
  <si>
    <t>$AC$6</t>
  </si>
  <si>
    <t>$V$7</t>
  </si>
  <si>
    <t>$W$7</t>
  </si>
  <si>
    <t>$X$7</t>
  </si>
  <si>
    <t>$Y$7</t>
  </si>
  <si>
    <t>$Z$7</t>
  </si>
  <si>
    <t>$AA$7</t>
  </si>
  <si>
    <t>$AB$7</t>
  </si>
  <si>
    <t>$AC$7</t>
  </si>
  <si>
    <t>$V$8</t>
  </si>
  <si>
    <t>$W$8</t>
  </si>
  <si>
    <t>$X$8</t>
  </si>
  <si>
    <t>$Y$8</t>
  </si>
  <si>
    <t>$Z$8</t>
  </si>
  <si>
    <t>$AA$8</t>
  </si>
  <si>
    <t>$AB$8</t>
  </si>
  <si>
    <t>$AC$8</t>
  </si>
  <si>
    <t>$V$9</t>
  </si>
  <si>
    <t>$W$9</t>
  </si>
  <si>
    <t>$X$9</t>
  </si>
  <si>
    <t>$Y$9</t>
  </si>
  <si>
    <t>$Z$9</t>
  </si>
  <si>
    <t>$AA$9</t>
  </si>
  <si>
    <t>$AB$9</t>
  </si>
  <si>
    <t>$AC$9</t>
  </si>
  <si>
    <t>$V$10</t>
  </si>
  <si>
    <t>$W$10</t>
  </si>
  <si>
    <t>$X$10</t>
  </si>
  <si>
    <t>$Y$10</t>
  </si>
  <si>
    <t>$Z$10</t>
  </si>
  <si>
    <t>$AA$10</t>
  </si>
  <si>
    <t>$AB$10</t>
  </si>
  <si>
    <t>$AC$10</t>
  </si>
  <si>
    <t>$V$11</t>
  </si>
  <si>
    <t>$W$11</t>
  </si>
  <si>
    <t>$X$11</t>
  </si>
  <si>
    <t>$Y$11</t>
  </si>
  <si>
    <t>$Z$11</t>
  </si>
  <si>
    <t>$AA$11</t>
  </si>
  <si>
    <t>$AB$11</t>
  </si>
  <si>
    <t>$AC$11</t>
  </si>
  <si>
    <t>$V$12</t>
  </si>
  <si>
    <t>$W$12</t>
  </si>
  <si>
    <t>$X$12</t>
  </si>
  <si>
    <t>$Y$12</t>
  </si>
  <si>
    <t>$Z$12</t>
  </si>
  <si>
    <t>$AA$12</t>
  </si>
  <si>
    <t>$AB$12</t>
  </si>
  <si>
    <t>$AC$12</t>
  </si>
  <si>
    <t>$V$13</t>
  </si>
  <si>
    <t>$W$13</t>
  </si>
  <si>
    <t>$X$13</t>
  </si>
  <si>
    <t>$Y$13</t>
  </si>
  <si>
    <t>$Z$13</t>
  </si>
  <si>
    <t>$AA$13</t>
  </si>
  <si>
    <t>$AB$13</t>
  </si>
  <si>
    <t>$AC$13</t>
  </si>
  <si>
    <t>$V$14</t>
  </si>
  <si>
    <t>$W$14</t>
  </si>
  <si>
    <t>$X$14</t>
  </si>
  <si>
    <t>$Y$14</t>
  </si>
  <si>
    <t>$Z$14</t>
  </si>
  <si>
    <t>$AA$14</t>
  </si>
  <si>
    <t>$AB$14</t>
  </si>
  <si>
    <t>$AC$14</t>
  </si>
  <si>
    <t>$V$15</t>
  </si>
  <si>
    <t>$W$15</t>
  </si>
  <si>
    <t>$X$15</t>
  </si>
  <si>
    <t>$Y$15</t>
  </si>
  <si>
    <t>$Z$15</t>
  </si>
  <si>
    <t>$AA$15</t>
  </si>
  <si>
    <t>$AB$15</t>
  </si>
  <si>
    <t>$AC$15</t>
  </si>
  <si>
    <t>$V$16</t>
  </si>
  <si>
    <t>$W$16</t>
  </si>
  <si>
    <t>$X$16</t>
  </si>
  <si>
    <t>$Y$16</t>
  </si>
  <si>
    <t>$Z$16</t>
  </si>
  <si>
    <t>$AA$16</t>
  </si>
  <si>
    <t>$AB$16</t>
  </si>
  <si>
    <t>$AC$16</t>
  </si>
  <si>
    <t>$V$17</t>
  </si>
  <si>
    <t>$W$17</t>
  </si>
  <si>
    <t>$X$17</t>
  </si>
  <si>
    <t>$Y$17</t>
  </si>
  <si>
    <t>$Z$17</t>
  </si>
  <si>
    <t>$AA$17</t>
  </si>
  <si>
    <t>$AB$17</t>
  </si>
  <si>
    <t>$AC$17</t>
  </si>
  <si>
    <t>$V$18</t>
  </si>
  <si>
    <t>$W$18</t>
  </si>
  <si>
    <t>$X$18</t>
  </si>
  <si>
    <t>$Y$18</t>
  </si>
  <si>
    <t>$Z$18</t>
  </si>
  <si>
    <t>$AA$18</t>
  </si>
  <si>
    <t>$AB$18</t>
  </si>
  <si>
    <t>$AC$18</t>
  </si>
  <si>
    <t>$V$19</t>
  </si>
  <si>
    <t>$W$19</t>
  </si>
  <si>
    <t>$X$19</t>
  </si>
  <si>
    <t>$Y$19</t>
  </si>
  <si>
    <t>$Z$19</t>
  </si>
  <si>
    <t>$AA$19</t>
  </si>
  <si>
    <t>$AB$19</t>
  </si>
  <si>
    <t>$AC$19</t>
  </si>
  <si>
    <t>$V$20</t>
  </si>
  <si>
    <t>$W$20</t>
  </si>
  <si>
    <t>$X$20</t>
  </si>
  <si>
    <t>$Y$20</t>
  </si>
  <si>
    <t>$Z$20</t>
  </si>
  <si>
    <t>$AA$20</t>
  </si>
  <si>
    <t>$AB$20</t>
  </si>
  <si>
    <t>$AC$20</t>
  </si>
  <si>
    <t>$V$21</t>
  </si>
  <si>
    <t>$W$21</t>
  </si>
  <si>
    <t>$X$21</t>
  </si>
  <si>
    <t>$Y$21</t>
  </si>
  <si>
    <t>$Z$21</t>
  </si>
  <si>
    <t>$AA$21</t>
  </si>
  <si>
    <t>$AB$21</t>
  </si>
  <si>
    <t>$AC$21</t>
  </si>
  <si>
    <t>$V$22</t>
  </si>
  <si>
    <t>$W$22</t>
  </si>
  <si>
    <t>$X$22</t>
  </si>
  <si>
    <t>$Y$22</t>
  </si>
  <si>
    <t>$Z$22</t>
  </si>
  <si>
    <t>$AA$22</t>
  </si>
  <si>
    <t>$AB$22</t>
  </si>
  <si>
    <t>$AC$22</t>
  </si>
  <si>
    <t>$V$23</t>
  </si>
  <si>
    <t>$W$23</t>
  </si>
  <si>
    <t>$X$23</t>
  </si>
  <si>
    <t>$Y$23</t>
  </si>
  <si>
    <t>$Z$23</t>
  </si>
  <si>
    <t>$AA$23</t>
  </si>
  <si>
    <t>$AB$23</t>
  </si>
  <si>
    <t>$AC$23</t>
  </si>
  <si>
    <t>$V$24</t>
  </si>
  <si>
    <t>$W$24</t>
  </si>
  <si>
    <t>$X$24</t>
  </si>
  <si>
    <t>$Y$24</t>
  </si>
  <si>
    <t>$Z$24</t>
  </si>
  <si>
    <t>$AA$24</t>
  </si>
  <si>
    <t>$AB$24</t>
  </si>
  <si>
    <t>$AC$24</t>
  </si>
  <si>
    <t>$V$25</t>
  </si>
  <si>
    <t>$W$25</t>
  </si>
  <si>
    <t>$X$25</t>
  </si>
  <si>
    <t>$Y$25</t>
  </si>
  <si>
    <t>$Z$25</t>
  </si>
  <si>
    <t>$AA$25</t>
  </si>
  <si>
    <t>$AB$25</t>
  </si>
  <si>
    <t>$AC$25</t>
  </si>
  <si>
    <t>$V$26</t>
  </si>
  <si>
    <t>$W$26</t>
  </si>
  <si>
    <t>$X$26</t>
  </si>
  <si>
    <t>$Y$26</t>
  </si>
  <si>
    <t>$Z$26</t>
  </si>
  <si>
    <t>$AA$26</t>
  </si>
  <si>
    <t>$AB$26</t>
  </si>
  <si>
    <t>$AC$26</t>
  </si>
  <si>
    <t>$V$27</t>
  </si>
  <si>
    <t>$W$27</t>
  </si>
  <si>
    <t>$X$27</t>
  </si>
  <si>
    <t>$Y$27</t>
  </si>
  <si>
    <t>$Z$27</t>
  </si>
  <si>
    <t>$AA$27</t>
  </si>
  <si>
    <t>$AB$27</t>
  </si>
  <si>
    <t>$AC$27</t>
  </si>
  <si>
    <t>$V$28</t>
  </si>
  <si>
    <t>$W$28</t>
  </si>
  <si>
    <t>$X$28</t>
  </si>
  <si>
    <t>$Y$28</t>
  </si>
  <si>
    <t>$Z$28</t>
  </si>
  <si>
    <t>$AA$28</t>
  </si>
  <si>
    <t>$AB$28</t>
  </si>
  <si>
    <t>$AC$28</t>
  </si>
  <si>
    <t>$V$29</t>
  </si>
  <si>
    <t>$W$29</t>
  </si>
  <si>
    <t>$X$29</t>
  </si>
  <si>
    <t>$Y$29</t>
  </si>
  <si>
    <t>$Z$29</t>
  </si>
  <si>
    <t>$AA$29</t>
  </si>
  <si>
    <t>$AB$29</t>
  </si>
  <si>
    <t>$AC$29</t>
  </si>
  <si>
    <t>$A$30</t>
  </si>
  <si>
    <t>$B$30</t>
  </si>
  <si>
    <t>$C$30</t>
  </si>
  <si>
    <t>$D$30</t>
  </si>
  <si>
    <t>$E$30</t>
  </si>
  <si>
    <t>$F$30</t>
  </si>
  <si>
    <t>$G$30</t>
  </si>
  <si>
    <t>$H$30</t>
  </si>
  <si>
    <t>$I$30</t>
  </si>
  <si>
    <t>$J$30</t>
  </si>
  <si>
    <t>$K$30</t>
  </si>
  <si>
    <t>$L$30</t>
  </si>
  <si>
    <t>$M$30</t>
  </si>
  <si>
    <t>$N$30</t>
  </si>
  <si>
    <t>$O$30</t>
  </si>
  <si>
    <t>$P$30</t>
  </si>
  <si>
    <t>$Q$30</t>
  </si>
  <si>
    <t>$R$30</t>
  </si>
  <si>
    <t>$S$30</t>
  </si>
  <si>
    <t>$T$30</t>
  </si>
  <si>
    <t>$U$30</t>
  </si>
  <si>
    <t>$V$30</t>
  </si>
  <si>
    <t>$W$30</t>
  </si>
  <si>
    <t>$X$30</t>
  </si>
  <si>
    <t>$Y$30</t>
  </si>
  <si>
    <t>$Z$30</t>
  </si>
  <si>
    <t>$AA$30</t>
  </si>
  <si>
    <t>$AB$30</t>
  </si>
  <si>
    <t>$AC$30</t>
  </si>
  <si>
    <t>Graphic 16</t>
  </si>
  <si>
    <t>Rounded Rectangle 15</t>
  </si>
  <si>
    <t>Rounded Rectangle 17</t>
  </si>
  <si>
    <t>Rounded Rectangle 19</t>
  </si>
  <si>
    <t>Rounded Rectangle 24</t>
  </si>
  <si>
    <t>Rounded Rectangle 25</t>
  </si>
  <si>
    <t>Rounded Rectangle 26</t>
  </si>
  <si>
    <t>Rounded Rectangle 21</t>
  </si>
  <si>
    <t>Rounded Rectangle 27</t>
  </si>
  <si>
    <t>Rounded Rectangle 28</t>
  </si>
  <si>
    <t>btnWarmUp</t>
  </si>
  <si>
    <t>Rounded Rectangle 29</t>
  </si>
  <si>
    <t>Graphic 246</t>
  </si>
  <si>
    <t>Graphic 261</t>
  </si>
  <si>
    <t>2332541405</t>
  </si>
  <si>
    <t>ALERT2368547</t>
  </si>
  <si>
    <t>Outgoing Activity To High Risk Jurisdiction</t>
  </si>
  <si>
    <t>GAL47145511849</t>
  </si>
  <si>
    <t>GAL1000000001599199576</t>
  </si>
  <si>
    <t>GAL_D_ADS</t>
  </si>
  <si>
    <t>Money Transfer</t>
  </si>
  <si>
    <t>DR</t>
  </si>
  <si>
    <t xml:space="preserve">   ZZ</t>
  </si>
  <si>
    <t>RAFAEL GARCIA</t>
  </si>
  <si>
    <t>RAFAEL</t>
  </si>
  <si>
    <t>GARCIA</t>
  </si>
  <si>
    <t>RUA ADEMAR JOSE DEMATE FILHO. Q B LT 9.  89230053 US</t>
  </si>
  <si>
    <t>2335555480</t>
  </si>
  <si>
    <t>GAL1000000001603531728</t>
  </si>
  <si>
    <t>C:\Users\ssaha\OneDrive - Community Federal Savings Bank\Desktop\137155\137155_ALERT_Combined_Alerted_Transaction.xlsx</t>
  </si>
  <si>
    <t>Amazon</t>
  </si>
  <si>
    <t>testt</t>
  </si>
  <si>
    <t>Amazon; Flipkart</t>
  </si>
  <si>
    <t>C:\Users\ssaha\OneDrive - Community Federal Savings Bank\Desktop\testt\OSDD Searches</t>
  </si>
  <si>
    <t>mode=Fast, entities=3, searches=9, time=2 minute(s) and 1 second(s), captchaFlagged=0</t>
  </si>
  <si>
    <t>Method: Fast | Searches: [Customer (Steeve Tremblay)] Negative News page 1; [Customer (Steeve Tremblay)] Negative News page 2; [CP 1 of 2 (Amazon)] Negative News page 1; [CP 1 of 2 (Amazon)] Negative News page 2; [CP 2 of 2 (Flipkart)] Negative News page 1; [CP 2 of 2 (Flipkart)] Negative News page 2; [Customer (Steeve Tremblay)] Google name; [CP 1 of 2 (Amazon)] Google name; [CP 2 of 2 (Flipkart)] Google name</t>
  </si>
  <si>
    <t>RFI</t>
  </si>
  <si>
    <t>C:\Users\ssaha\OneDrive - Community Federal Savings Bank\Desktop\testt\testt__Steeve Tremblay_RFI QUESTIONS.docx</t>
  </si>
  <si>
    <t>Full text archived in 'Narrative' tab of testt_Audit_Log.xlsx</t>
  </si>
  <si>
    <t>C:\Users\ssaha\OneDrive - Community Federal Savings Bank\Desktop\testt\testt__Steeve Tremblay_Pre RFI Alert Write-Up.docx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</si>
</sst>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37" x14ac:knownFonts="1">
    <font>
      <sz val="11"/>
      <color theme="1"/>
      <name val="Calibri"/>
      <family val="2"/>
      <scheme val="minor"/>
    </font>
    <font>
      <sz val="11"/>
      <color theme="1"/>
      <name val="Calibri"/>
      <family val="2"/>
    </font>
    <font>
      <u/>
      <sz val="11"/>
      <color theme="10"/>
      <name val="Calibri"/>
      <family val="2"/>
      <scheme val="minor"/>
    </font>
    <font>
      <sz val="11"/>
      <name val="Calibri"/>
      <family val="2"/>
      <scheme val="minor"/>
    </font>
    <font>
      <b/>
      <u/>
      <sz val="12"/>
      <color theme="1"/>
      <name val="Calibri"/>
      <family val="2"/>
    </font>
    <font>
      <b/>
      <sz val="12"/>
      <color theme="1"/>
      <name val="Calibri"/>
      <family val="2"/>
    </font>
    <font>
      <sz val="12"/>
      <color theme="1"/>
      <name val="Calibri"/>
      <family val="2"/>
    </font>
    <font>
      <u/>
      <sz val="12"/>
      <color theme="1"/>
      <name val="Calibri"/>
      <family val="2"/>
    </font>
    <font>
      <b/>
      <u/>
      <sz val="11"/>
      <color theme="1"/>
      <name val="Calibri"/>
      <family val="2"/>
    </font>
    <font>
      <b/>
      <sz val="13"/>
      <color theme="0"/>
      <name val="Segoe UI"/>
      <family val="2"/>
    </font>
    <font>
      <b/>
      <i/>
      <sz val="8.5"/>
      <color theme="0"/>
      <name val="Segoe UI"/>
      <family val="2"/>
    </font>
    <font>
      <b/>
      <i/>
      <sz val="11"/>
      <color theme="3" tint="-0.499984740745262"/>
      <name val="Calibri"/>
      <family val="2"/>
      <scheme val="minor"/>
    </font>
    <font>
      <sz val="12"/>
      <color theme="1"/>
      <name val="Aptos"/>
      <family val="2"/>
    </font>
    <font>
      <sz val="8.5"/>
      <name val="Calibri"/>
      <family val="2"/>
      <scheme val="minor"/>
    </font>
    <font>
      <b/>
      <i/>
      <u/>
      <sz val="9"/>
      <color rgb="FF666699"/>
      <name val="Segoe UI"/>
      <family val="2"/>
    </font>
    <font>
      <sz val="11"/>
      <color theme="0"/>
      <name val="Calibri"/>
      <family val="2"/>
      <scheme val="minor"/>
    </font>
    <font>
      <b/>
      <sz val="11"/>
      <name val="Calibri"/>
      <family val="2"/>
      <scheme val="minor"/>
    </font>
    <font>
      <b/>
      <sz val="11"/>
      <color rgb="FFFFFFFF"/>
      <name val="Calibri"/>
      <family val="2"/>
      <scheme val="minor"/>
    </font>
    <font>
      <b/>
      <sz val="11"/>
      <color rgb="FFFFFFFF"/>
      <name val="Arial"/>
      <family val="2"/>
    </font>
    <font>
      <sz val="10"/>
      <name val="Arial"/>
      <family val="2"/>
    </font>
    <font>
      <sz val="11"/>
      <color theme="1"/>
      <name val="Calibri"/>
      <family val="2"/>
      <charset val="1"/>
    </font>
    <font>
      <sz val="11"/>
      <color theme="1"/>
      <name val="Calibri"/>
      <family val="2"/>
      <scheme val="minor"/>
    </font>
    <font>
      <b/>
      <sz val="9"/>
      <color rgb="FF000000"/>
      <name val="Segoe UI"/>
      <family val="2"/>
    </font>
    <font>
      <sz val="8"/>
      <color rgb="FF000000"/>
      <name val="Segoe UI"/>
      <family val="2"/>
    </font>
    <font>
      <sz val="11"/>
      <name val="Calibri"/>
      <family val="2"/>
    </font>
    <font>
      <b/>
      <sz val="8.5"/>
      <color rgb="FF002060"/>
      <name val="Calibri"/>
      <family val="2"/>
      <scheme val="minor"/>
    </font>
    <font>
      <sz val="11"/>
      <color rgb="FF000000"/>
      <name val="Calibri"/>
      <family val="2"/>
      <scheme val="minor"/>
    </font>
    <font>
      <b/>
      <i/>
      <u/>
      <sz val="9"/>
      <color rgb="FF000000"/>
      <name val="Segoe UI"/>
      <family val="2"/>
    </font>
    <font>
      <b/>
      <i/>
      <sz val="10"/>
      <color rgb="FFFFFFFF"/>
      <name val="Segoe UI"/>
      <family val="2"/>
    </font>
    <font>
      <i/>
      <sz val="10"/>
      <color rgb="FF000000"/>
      <name val="Segoe UI"/>
      <family val="2"/>
    </font>
    <font>
      <b/>
      <i/>
      <sz val="10"/>
      <color rgb="FF252525"/>
      <name val="Segoe UI"/>
      <family val="2"/>
    </font>
    <font>
      <b/>
      <i/>
      <sz val="8.5"/>
      <color rgb="FF252525"/>
      <name val="Segoe UI"/>
      <family val="2"/>
    </font>
    <font>
      <sz val="8"/>
      <color rgb="FF252525"/>
      <name val="Segoe UI"/>
      <family val="2"/>
    </font>
    <font>
      <b/>
      <sz val="9"/>
      <color rgb="FF252525"/>
      <name val="Segoe UI"/>
      <family val="2"/>
    </font>
    <font>
      <b/>
      <sz val="8.5"/>
      <color rgb="FF252525"/>
      <name val="Segoe UI"/>
      <family val="2"/>
    </font>
    <font>
      <sz val="8.5"/>
      <color rgb="FF000000"/>
      <name val="Calibri"/>
      <family val="2"/>
      <scheme val="minor"/>
    </font>
    <font>
      <sz val="11"/>
      <color rgb="FF252525"/>
      <name val="Segoe UI"/>
      <family val="2"/>
    </font>
  </fonts>
  <fills count="19">
    <fill>
      <patternFill patternType="none"/>
    </fill>
    <fill>
      <patternFill patternType="gray125"/>
    </fill>
    <fill>
      <patternFill patternType="solid">
        <fgColor rgb="FFD3D3D3"/>
        <bgColor rgb="FFD3D3D3"/>
      </patternFill>
    </fill>
    <fill>
      <patternFill patternType="solid">
        <fgColor theme="4" tint="0.39997558519241921"/>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002060"/>
        <bgColor indexed="64"/>
      </patternFill>
    </fill>
    <fill>
      <patternFill patternType="solid">
        <fgColor theme="8" tint="0.79998168889431442"/>
        <bgColor indexed="64"/>
      </patternFill>
    </fill>
    <fill>
      <patternFill patternType="solid">
        <fgColor theme="2" tint="-0.499984740745262"/>
        <bgColor indexed="64"/>
      </patternFill>
    </fill>
    <fill>
      <patternFill patternType="solid">
        <fgColor rgb="FFFFFF00"/>
        <bgColor indexed="64"/>
      </patternFill>
    </fill>
    <fill>
      <patternFill patternType="solid">
        <fgColor theme="4"/>
      </patternFill>
    </fill>
    <fill>
      <patternFill patternType="solid">
        <fgColor rgb="FF00467F"/>
        <bgColor indexed="64"/>
      </patternFill>
    </fill>
    <fill>
      <patternFill patternType="solid">
        <fgColor rgb="FF00467F"/>
        <bgColor rgb="FF002060"/>
      </patternFill>
    </fill>
    <fill>
      <patternFill patternType="solid">
        <fgColor rgb="FFDCE6F1"/>
        <bgColor rgb="FFDAE3F3"/>
      </patternFill>
    </fill>
    <fill>
      <patternFill patternType="solid">
        <fgColor rgb="FFFFFFFF"/>
        <bgColor indexed="64"/>
      </patternFill>
    </fill>
    <fill>
      <patternFill patternType="solid">
        <fgColor rgb="FFF3F1EC"/>
        <bgColor indexed="64"/>
      </patternFill>
    </fill>
    <fill>
      <patternFill patternType="solid">
        <fgColor rgb="FF18243E"/>
        <bgColor indexed="64"/>
      </patternFill>
    </fill>
    <fill>
      <patternFill patternType="lightTrellis">
        <bgColor rgb="FFFFFFFF"/>
      </patternFill>
    </fill>
  </fills>
  <borders count="31">
    <border>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style="thin">
        <color rgb="FFD3D3D3"/>
      </left>
      <right style="thin">
        <color rgb="FFD3D3D3"/>
      </right>
      <top style="thin">
        <color rgb="FFD3D3D3"/>
      </top>
      <bottom style="thin">
        <color rgb="FFD3D3D3"/>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theme="2" tint="-9.9978637043366805E-2"/>
      </left>
      <right/>
      <top/>
      <bottom/>
      <diagonal/>
    </border>
    <border>
      <left style="thin">
        <color rgb="FFE1DED6"/>
      </left>
      <right/>
      <top/>
      <bottom/>
      <diagonal/>
    </border>
    <border>
      <left/>
      <right style="thin">
        <color rgb="FFE1DED6"/>
      </right>
      <top/>
      <bottom/>
      <diagonal/>
    </border>
    <border>
      <left/>
      <right/>
      <top style="thin">
        <color rgb="FFE1DED6"/>
      </top>
      <bottom style="thin">
        <color rgb="FFE1DED6"/>
      </bottom>
      <diagonal/>
    </border>
    <border>
      <left style="thin">
        <color rgb="FFE1DED6"/>
      </left>
      <right/>
      <top style="thin">
        <color rgb="FFE1DED6"/>
      </top>
      <bottom style="thin">
        <color rgb="FFE1DED6"/>
      </bottom>
      <diagonal/>
    </border>
    <border>
      <left/>
      <right style="thin">
        <color rgb="FFE1DED6"/>
      </right>
      <top style="thin">
        <color rgb="FFE1DED6"/>
      </top>
      <bottom style="thin">
        <color rgb="FFE1DED6"/>
      </bottom>
      <diagonal/>
    </border>
    <border>
      <left style="thin">
        <color rgb="FFE1DED6"/>
      </left>
      <right/>
      <top style="thin">
        <color rgb="FFE1DED6"/>
      </top>
      <bottom/>
      <diagonal/>
    </border>
    <border>
      <left/>
      <right/>
      <top style="thin">
        <color rgb="FFE1DED6"/>
      </top>
      <bottom/>
      <diagonal/>
    </border>
    <border>
      <left/>
      <right style="thin">
        <color rgb="FFE1DED6"/>
      </right>
      <top style="thin">
        <color rgb="FFE1DED6"/>
      </top>
      <bottom/>
      <diagonal/>
    </border>
    <border>
      <left style="thin">
        <color theme="2" tint="-9.9978637043366805E-2"/>
      </left>
      <right style="thin">
        <color rgb="FFE1DED6"/>
      </right>
      <top/>
      <bottom/>
      <diagonal/>
    </border>
  </borders>
  <cellStyleXfs count="5">
    <xf numFmtId="0" fontId="0" fillId="0" borderId="0"/>
    <xf numFmtId="0" fontId="2" fillId="0" borderId="0"/>
    <xf numFmtId="0" fontId="15" fillId="11" borderId="0"/>
    <xf numFmtId="0" fontId="20" fillId="0" borderId="0"/>
    <xf numFmtId="9" fontId="21" fillId="0" borderId="0" applyFont="0" applyFill="0" applyBorder="0" applyAlignment="0" applyProtection="0"/>
  </cellStyleXfs>
  <cellXfs count="147">
    <xf numFmtId="0" fontId="0" fillId="0" borderId="0" xfId="0"/>
    <xf numFmtId="0" fontId="3" fillId="0" borderId="0" xfId="0" applyFont="1" applyAlignment="1">
      <alignment horizontal="center" vertical="center" wrapText="1"/>
    </xf>
    <xf numFmtId="0" fontId="0" fillId="0" borderId="0" xfId="0" applyAlignment="1">
      <alignment horizontal="center" vertical="center" wrapText="1"/>
    </xf>
    <xf numFmtId="0" fontId="6" fillId="0" borderId="0" xfId="0" applyFont="1" applyAlignment="1">
      <alignment vertical="center"/>
    </xf>
    <xf numFmtId="0" fontId="4" fillId="0" borderId="12" xfId="0" applyFont="1" applyBorder="1" applyAlignment="1">
      <alignment vertical="center"/>
    </xf>
    <xf numFmtId="0" fontId="6" fillId="0" borderId="10" xfId="0" applyFont="1" applyBorder="1" applyAlignment="1">
      <alignment vertical="center"/>
    </xf>
    <xf numFmtId="0" fontId="7" fillId="0" borderId="13" xfId="0" applyFont="1" applyBorder="1" applyAlignment="1">
      <alignment vertical="center"/>
    </xf>
    <xf numFmtId="0" fontId="6" fillId="0" borderId="9" xfId="0" applyFont="1" applyBorder="1" applyAlignment="1">
      <alignment vertical="center"/>
    </xf>
    <xf numFmtId="0" fontId="4" fillId="0" borderId="13" xfId="0" applyFont="1" applyBorder="1" applyAlignment="1">
      <alignment vertical="center"/>
    </xf>
    <xf numFmtId="0" fontId="2" fillId="0" borderId="9" xfId="1" applyBorder="1" applyAlignment="1">
      <alignment vertical="center"/>
    </xf>
    <xf numFmtId="0" fontId="1" fillId="0" borderId="9" xfId="0" applyFont="1" applyBorder="1" applyAlignment="1">
      <alignment vertical="center"/>
    </xf>
    <xf numFmtId="0" fontId="8" fillId="0" borderId="13" xfId="0" applyFont="1" applyBorder="1" applyAlignment="1">
      <alignment vertical="center"/>
    </xf>
    <xf numFmtId="0" fontId="4" fillId="0" borderId="14" xfId="0" applyFont="1" applyBorder="1" applyAlignment="1">
      <alignment vertical="center"/>
    </xf>
    <xf numFmtId="0" fontId="6" fillId="0" borderId="8" xfId="0" applyFont="1" applyBorder="1" applyAlignment="1">
      <alignment vertical="center" wrapText="1"/>
    </xf>
    <xf numFmtId="0" fontId="5" fillId="0" borderId="8" xfId="0" applyFont="1" applyBorder="1" applyAlignment="1">
      <alignment vertical="center" wrapText="1"/>
    </xf>
    <xf numFmtId="0" fontId="0" fillId="3" borderId="15" xfId="0" applyFill="1" applyBorder="1" applyAlignment="1">
      <alignment horizontal="center" vertical="center" wrapText="1"/>
    </xf>
    <xf numFmtId="0" fontId="3" fillId="3" borderId="16" xfId="0" applyFont="1" applyFill="1" applyBorder="1" applyAlignment="1">
      <alignment horizontal="center" vertical="center" wrapText="1"/>
    </xf>
    <xf numFmtId="0" fontId="0" fillId="4" borderId="3" xfId="0" applyFill="1" applyBorder="1" applyAlignment="1">
      <alignment horizontal="center" vertical="center" wrapText="1"/>
    </xf>
    <xf numFmtId="0" fontId="3" fillId="4" borderId="5" xfId="0" applyFont="1" applyFill="1" applyBorder="1" applyAlignment="1">
      <alignment horizontal="center" vertical="center" wrapText="1"/>
    </xf>
    <xf numFmtId="0" fontId="0" fillId="4" borderId="6" xfId="0" applyFill="1" applyBorder="1" applyAlignment="1">
      <alignment horizontal="center" vertical="center" wrapText="1"/>
    </xf>
    <xf numFmtId="0" fontId="3" fillId="4" borderId="7" xfId="0" applyFont="1" applyFill="1" applyBorder="1" applyAlignment="1">
      <alignment horizontal="center" vertical="center" wrapText="1"/>
    </xf>
    <xf numFmtId="0" fontId="0" fillId="4" borderId="17" xfId="0" applyFill="1" applyBorder="1" applyAlignment="1">
      <alignment horizontal="center" vertical="center" wrapText="1"/>
    </xf>
    <xf numFmtId="0" fontId="3" fillId="4" borderId="18" xfId="0" applyFont="1" applyFill="1" applyBorder="1" applyAlignment="1">
      <alignment horizontal="center" vertical="center" wrapText="1"/>
    </xf>
    <xf numFmtId="0" fontId="0" fillId="5" borderId="3" xfId="0" applyFill="1" applyBorder="1" applyAlignment="1">
      <alignment horizontal="center" vertical="center" wrapText="1"/>
    </xf>
    <xf numFmtId="0" fontId="3" fillId="5" borderId="5" xfId="0" applyFont="1" applyFill="1" applyBorder="1" applyAlignment="1">
      <alignment horizontal="center" vertical="center" wrapText="1"/>
    </xf>
    <xf numFmtId="0" fontId="0" fillId="5" borderId="2" xfId="0" applyFill="1" applyBorder="1" applyAlignment="1">
      <alignment horizontal="center" vertical="center" wrapText="1"/>
    </xf>
    <xf numFmtId="0" fontId="3" fillId="5" borderId="1" xfId="0" applyFont="1" applyFill="1" applyBorder="1" applyAlignment="1">
      <alignment horizontal="center" vertical="center" wrapText="1"/>
    </xf>
    <xf numFmtId="0" fontId="0" fillId="0" borderId="0" xfId="0" applyAlignment="1">
      <alignment vertical="top" wrapText="1"/>
    </xf>
    <xf numFmtId="0" fontId="12" fillId="0" borderId="0" xfId="0" applyFont="1" applyAlignment="1">
      <alignment vertical="center"/>
    </xf>
    <xf numFmtId="0" fontId="0" fillId="8" borderId="0" xfId="0" applyFill="1" applyAlignment="1" applyProtection="1">
      <alignment horizontal="center" vertical="center"/>
      <protection locked="0"/>
    </xf>
    <xf numFmtId="0" fontId="0" fillId="0" borderId="0" xfId="0" applyProtection="1">
      <protection locked="0"/>
    </xf>
    <xf numFmtId="0" fontId="11" fillId="6" borderId="0" xfId="0" applyFont="1" applyFill="1" applyAlignment="1" applyProtection="1">
      <alignment horizontal="center" vertical="center"/>
      <protection locked="0"/>
    </xf>
    <xf numFmtId="0" fontId="0" fillId="0" borderId="0" xfId="0" applyAlignment="1" applyProtection="1">
      <alignment horizontal="center" vertical="center"/>
      <protection locked="0"/>
    </xf>
    <xf numFmtId="0" fontId="11" fillId="6" borderId="0" xfId="0" applyFont="1" applyFill="1" applyAlignment="1">
      <alignment horizontal="center" vertical="center"/>
    </xf>
    <xf numFmtId="0" fontId="0" fillId="0" borderId="0" xfId="0" applyAlignment="1">
      <alignment horizontal="left"/>
    </xf>
    <xf numFmtId="0" fontId="0" fillId="10" borderId="3" xfId="0" applyFill="1" applyBorder="1"/>
    <xf numFmtId="0" fontId="0" fillId="10" borderId="4" xfId="0" applyFill="1" applyBorder="1"/>
    <xf numFmtId="0" fontId="0" fillId="10" borderId="5" xfId="0" applyFill="1" applyBorder="1"/>
    <xf numFmtId="0" fontId="0" fillId="0" borderId="6" xfId="0" applyBorder="1"/>
    <xf numFmtId="0" fontId="0" fillId="0" borderId="19" xfId="0" applyBorder="1"/>
    <xf numFmtId="0" fontId="0" fillId="0" borderId="7" xfId="0" applyBorder="1"/>
    <xf numFmtId="0" fontId="0" fillId="0" borderId="20" xfId="0" applyBorder="1"/>
    <xf numFmtId="0" fontId="3" fillId="0" borderId="0" xfId="0" applyFont="1"/>
    <xf numFmtId="22" fontId="0" fillId="0" borderId="0" xfId="0" applyNumberFormat="1"/>
    <xf numFmtId="0" fontId="17" fillId="12" borderId="0" xfId="0" applyFont="1" applyFill="1"/>
    <xf numFmtId="0" fontId="20" fillId="0" borderId="0" xfId="3"/>
    <xf numFmtId="0" fontId="2" fillId="0" borderId="0" xfId="1"/>
    <xf numFmtId="0" fontId="19" fillId="14" borderId="19" xfId="3" applyFont="1" applyFill="1" applyBorder="1" applyAlignment="1">
      <alignment horizontal="center" vertical="center"/>
    </xf>
    <xf numFmtId="0" fontId="19" fillId="0" borderId="19" xfId="3" applyFont="1" applyBorder="1" applyAlignment="1">
      <alignment horizontal="center" vertical="center"/>
    </xf>
    <xf numFmtId="0" fontId="18" fillId="13" borderId="3" xfId="3" applyFont="1" applyFill="1" applyBorder="1" applyAlignment="1">
      <alignment horizontal="center" vertical="center" wrapText="1"/>
    </xf>
    <xf numFmtId="0" fontId="18" fillId="13" borderId="4" xfId="3" applyFont="1" applyFill="1" applyBorder="1" applyAlignment="1">
      <alignment horizontal="center" vertical="center" wrapText="1"/>
    </xf>
    <xf numFmtId="0" fontId="18" fillId="13" borderId="5" xfId="3" applyFont="1" applyFill="1" applyBorder="1" applyAlignment="1">
      <alignment horizontal="center" vertical="center" wrapText="1"/>
    </xf>
    <xf numFmtId="0" fontId="20" fillId="0" borderId="0" xfId="3" applyAlignment="1">
      <alignment horizontal="center" vertical="center"/>
    </xf>
    <xf numFmtId="0" fontId="19" fillId="14" borderId="6" xfId="3" applyFont="1" applyFill="1" applyBorder="1" applyAlignment="1">
      <alignment horizontal="center" vertical="center"/>
    </xf>
    <xf numFmtId="0" fontId="19" fillId="0" borderId="6" xfId="3" applyFont="1" applyBorder="1" applyAlignment="1">
      <alignment horizontal="center" vertical="center"/>
    </xf>
    <xf numFmtId="0" fontId="19" fillId="14" borderId="7" xfId="3" applyFont="1" applyFill="1" applyBorder="1" applyAlignment="1">
      <alignment horizontal="center" vertical="center"/>
    </xf>
    <xf numFmtId="0" fontId="19" fillId="0" borderId="7" xfId="3" applyFont="1" applyBorder="1" applyAlignment="1">
      <alignment horizontal="center" vertical="center"/>
    </xf>
    <xf numFmtId="0" fontId="19" fillId="14" borderId="2" xfId="3" applyFont="1" applyFill="1" applyBorder="1" applyAlignment="1">
      <alignment horizontal="center" vertical="center"/>
    </xf>
    <xf numFmtId="0" fontId="19" fillId="14" borderId="20" xfId="3" applyFont="1" applyFill="1" applyBorder="1" applyAlignment="1">
      <alignment horizontal="center" vertical="center"/>
    </xf>
    <xf numFmtId="0" fontId="22" fillId="2" borderId="11" xfId="0" applyFont="1" applyFill="1" applyBorder="1" applyAlignment="1">
      <alignment vertical="top" wrapText="1" readingOrder="1"/>
    </xf>
    <xf numFmtId="0" fontId="22" fillId="2" borderId="0" xfId="0" applyFont="1" applyFill="1" applyAlignment="1">
      <alignment vertical="top" wrapText="1" readingOrder="1"/>
    </xf>
    <xf numFmtId="0" fontId="23" fillId="0" borderId="11" xfId="0" applyFont="1" applyBorder="1" applyAlignment="1">
      <alignment vertical="top" wrapText="1" readingOrder="1"/>
    </xf>
    <xf numFmtId="14" fontId="23" fillId="0" borderId="11" xfId="0" applyNumberFormat="1" applyFont="1" applyBorder="1" applyAlignment="1">
      <alignment vertical="top" wrapText="1" readingOrder="1"/>
    </xf>
    <xf numFmtId="164" fontId="23" fillId="0" borderId="11" xfId="0" applyNumberFormat="1" applyFont="1" applyBorder="1" applyAlignment="1">
      <alignment vertical="top" wrapText="1" readingOrder="1"/>
    </xf>
    <xf numFmtId="0" fontId="24" fillId="0" borderId="0" xfId="0" applyFont="1" applyAlignment="1">
      <alignment vertical="top" wrapText="1"/>
    </xf>
    <xf numFmtId="0" fontId="3" fillId="0" borderId="0" xfId="0" applyFont="1" applyAlignment="1">
      <alignment vertical="center"/>
    </xf>
    <xf numFmtId="9" fontId="3" fillId="0" borderId="0" xfId="4" applyFont="1" applyFill="1" applyAlignment="1">
      <alignment vertical="center"/>
    </xf>
    <xf numFmtId="0" fontId="3" fillId="0" borderId="0" xfId="0" applyFont="1" applyProtection="1">
      <protection locked="0"/>
    </xf>
    <xf numFmtId="0" fontId="13" fillId="0" borderId="0" xfId="0" applyFont="1"/>
    <xf numFmtId="0" fontId="16" fillId="0" borderId="19" xfId="2" applyFont="1" applyFill="1" applyBorder="1" applyAlignment="1">
      <alignment horizontal="center" vertical="center"/>
    </xf>
    <xf numFmtId="0" fontId="0" fillId="0" borderId="19" xfId="0" applyBorder="1" applyAlignment="1">
      <alignment horizontal="center" vertical="center"/>
    </xf>
    <xf numFmtId="0" fontId="3" fillId="0" borderId="0" xfId="0" applyFont="1" applyAlignment="1">
      <alignment horizontal="center"/>
    </xf>
    <xf numFmtId="9" fontId="3" fillId="0" borderId="0" xfId="4" applyFont="1" applyFill="1"/>
    <xf numFmtId="0" fontId="3" fillId="0" borderId="0" xfId="0" applyFont="1" applyAlignment="1">
      <alignment horizontal="center" wrapText="1"/>
    </xf>
    <xf numFmtId="9" fontId="3" fillId="0" borderId="0" xfId="4" applyFont="1" applyFill="1" applyProtection="1">
      <protection locked="0"/>
    </xf>
    <xf numFmtId="9" fontId="25" fillId="16" borderId="0" xfId="4" applyFont="1" applyFill="1" applyBorder="1" applyAlignment="1" applyProtection="1">
      <alignment horizontal="center" vertical="center"/>
      <protection hidden="1"/>
    </xf>
    <xf numFmtId="9" fontId="32" fillId="16" borderId="0" xfId="4" applyFont="1" applyFill="1" applyBorder="1" applyAlignment="1" applyProtection="1">
      <alignment horizontal="center" wrapText="1"/>
      <protection locked="0"/>
    </xf>
    <xf numFmtId="9" fontId="26" fillId="16" borderId="0" xfId="4" applyFont="1" applyFill="1" applyBorder="1" applyAlignment="1" applyProtection="1">
      <alignment vertical="center"/>
      <protection locked="0"/>
    </xf>
    <xf numFmtId="9" fontId="26" fillId="16" borderId="0" xfId="4" applyFont="1" applyFill="1" applyBorder="1" applyAlignment="1">
      <alignment vertical="center"/>
    </xf>
    <xf numFmtId="9" fontId="32" fillId="16" borderId="0" xfId="4" applyFont="1" applyFill="1" applyBorder="1" applyAlignment="1">
      <alignment horizontal="center" vertical="center" wrapText="1"/>
    </xf>
    <xf numFmtId="9" fontId="36" fillId="16" borderId="0" xfId="4" applyFont="1" applyFill="1" applyBorder="1" applyAlignment="1">
      <alignment vertical="center"/>
    </xf>
    <xf numFmtId="9" fontId="33" fillId="15" borderId="30" xfId="4" applyFont="1" applyFill="1" applyBorder="1" applyAlignment="1">
      <alignment horizontal="center" vertical="center"/>
    </xf>
    <xf numFmtId="9" fontId="32" fillId="15" borderId="26" xfId="4" applyFont="1" applyFill="1" applyBorder="1" applyAlignment="1" applyProtection="1">
      <alignment horizontal="center" wrapText="1"/>
      <protection locked="0"/>
    </xf>
    <xf numFmtId="9" fontId="32" fillId="15" borderId="29" xfId="4" applyFont="1" applyFill="1" applyBorder="1" applyAlignment="1" applyProtection="1">
      <alignment horizontal="center" wrapText="1"/>
      <protection locked="0"/>
    </xf>
    <xf numFmtId="9" fontId="34" fillId="15" borderId="23" xfId="4" applyFont="1" applyFill="1" applyBorder="1" applyAlignment="1">
      <alignment horizontal="center" vertical="center"/>
    </xf>
    <xf numFmtId="0" fontId="34" fillId="15" borderId="24" xfId="0" applyFont="1" applyFill="1" applyBorder="1" applyAlignment="1" applyProtection="1">
      <alignment horizontal="center" vertical="center"/>
      <protection locked="0" hidden="1"/>
    </xf>
    <xf numFmtId="9" fontId="34" fillId="15" borderId="26" xfId="4" applyFont="1" applyFill="1" applyBorder="1" applyAlignment="1" applyProtection="1">
      <alignment horizontal="center" vertical="center"/>
      <protection hidden="1"/>
    </xf>
    <xf numFmtId="0" fontId="3" fillId="0" borderId="0" xfId="0" applyFont="1"/>
    <xf numFmtId="0" fontId="13" fillId="0" borderId="0" xfId="0" applyFont="1"/>
    <xf numFmtId="0" fontId="3" fillId="0" borderId="0" xfId="0" applyFont="1" applyAlignment="1">
      <alignment vertical="center"/>
    </xf>
    <xf numFmtId="0" fontId="3" fillId="0" borderId="0" xfId="0" applyFont="1" applyAlignment="1">
      <alignment horizontal="center"/>
    </xf>
    <xf numFmtId="0" fontId="3" fillId="0" borderId="0" xfId="0" applyFont="1" applyAlignment="1">
      <alignment horizontal="center" wrapText="1"/>
    </xf>
    <xf numFmtId="0" fontId="31" fillId="15" borderId="27" xfId="0" applyFont="1" applyFill="1" applyBorder="1" applyAlignment="1">
      <alignment horizontal="center" vertical="center" wrapText="1"/>
    </xf>
    <xf numFmtId="0" fontId="31" fillId="15" borderId="28" xfId="0" applyFont="1" applyFill="1" applyBorder="1" applyAlignment="1">
      <alignment horizontal="center" vertical="center" wrapText="1"/>
    </xf>
    <xf numFmtId="0" fontId="32" fillId="15" borderId="28" xfId="0" applyFont="1" applyFill="1" applyBorder="1" applyAlignment="1" applyProtection="1">
      <alignment horizontal="center" vertical="center" wrapText="1"/>
      <protection locked="0"/>
    </xf>
    <xf numFmtId="0" fontId="32" fillId="15" borderId="29" xfId="0" applyFont="1" applyFill="1" applyBorder="1" applyAlignment="1" applyProtection="1">
      <alignment horizontal="center" vertical="center" wrapText="1"/>
      <protection locked="0"/>
    </xf>
    <xf numFmtId="0" fontId="31" fillId="15" borderId="25" xfId="0" applyFont="1" applyFill="1" applyBorder="1" applyAlignment="1">
      <alignment horizontal="center" vertical="center" wrapText="1"/>
    </xf>
    <xf numFmtId="0" fontId="31" fillId="15" borderId="24" xfId="0" applyFont="1" applyFill="1" applyBorder="1" applyAlignment="1">
      <alignment horizontal="center" vertical="center" wrapText="1"/>
    </xf>
    <xf numFmtId="0" fontId="33" fillId="15" borderId="21" xfId="0" applyFont="1" applyFill="1" applyBorder="1" applyAlignment="1">
      <alignment horizontal="center" vertical="center" wrapText="1"/>
    </xf>
    <xf numFmtId="0" fontId="31" fillId="15" borderId="22" xfId="0" applyFont="1" applyFill="1" applyBorder="1" applyAlignment="1">
      <alignment horizontal="center" vertical="center" wrapText="1"/>
    </xf>
    <xf numFmtId="0" fontId="32" fillId="15" borderId="28" xfId="0" applyFont="1" applyFill="1" applyBorder="1" applyAlignment="1" applyProtection="1">
      <alignment horizontal="center"/>
      <protection locked="0"/>
    </xf>
    <xf numFmtId="0" fontId="32" fillId="15" borderId="24" xfId="0" applyFont="1" applyFill="1" applyBorder="1" applyAlignment="1" applyProtection="1">
      <alignment horizontal="center" vertical="center" wrapText="1"/>
      <protection locked="0"/>
    </xf>
    <xf numFmtId="0" fontId="32" fillId="15" borderId="26" xfId="0" applyFont="1" applyFill="1" applyBorder="1" applyAlignment="1" applyProtection="1">
      <alignment horizontal="center" vertical="center" wrapText="1"/>
      <protection locked="0"/>
    </xf>
    <xf numFmtId="0" fontId="34" fillId="15" borderId="24" xfId="0" applyFont="1" applyFill="1" applyBorder="1" applyAlignment="1" applyProtection="1">
      <alignment horizontal="center" vertical="center"/>
      <protection locked="0" hidden="1"/>
    </xf>
    <xf numFmtId="0" fontId="34" fillId="15" borderId="24" xfId="0" applyFont="1" applyFill="1" applyBorder="1" applyAlignment="1" applyProtection="1">
      <alignment horizontal="center" vertical="center"/>
      <protection hidden="1"/>
    </xf>
    <xf numFmtId="0" fontId="32" fillId="15" borderId="28" xfId="0" applyFont="1" applyFill="1" applyBorder="1" applyAlignment="1" applyProtection="1">
      <alignment horizontal="center" wrapText="1"/>
      <protection locked="0"/>
    </xf>
    <xf numFmtId="0" fontId="32" fillId="15" borderId="24" xfId="0" applyFont="1" applyFill="1" applyBorder="1" applyAlignment="1" applyProtection="1">
      <alignment horizontal="center"/>
      <protection locked="0"/>
    </xf>
    <xf numFmtId="0" fontId="34" fillId="15" borderId="22" xfId="2" applyFont="1" applyFill="1" applyBorder="1" applyAlignment="1">
      <alignment horizontal="center" vertical="center"/>
    </xf>
    <xf numFmtId="0" fontId="34" fillId="15" borderId="25" xfId="0" applyFont="1" applyFill="1" applyBorder="1" applyAlignment="1" applyProtection="1">
      <alignment horizontal="center" vertical="center"/>
      <protection locked="0"/>
    </xf>
    <xf numFmtId="0" fontId="34" fillId="15" borderId="24" xfId="0" applyFont="1" applyFill="1" applyBorder="1" applyAlignment="1" applyProtection="1">
      <alignment horizontal="center" vertical="center"/>
      <protection locked="0"/>
    </xf>
    <xf numFmtId="0" fontId="33" fillId="15" borderId="22" xfId="0" applyFont="1" applyFill="1" applyBorder="1" applyAlignment="1">
      <alignment horizontal="center" vertical="center" wrapText="1"/>
    </xf>
    <xf numFmtId="0" fontId="32" fillId="15" borderId="23" xfId="0" applyFont="1" applyFill="1" applyBorder="1" applyAlignment="1" applyProtection="1">
      <alignment horizontal="center" vertical="center" wrapText="1"/>
      <protection locked="0"/>
    </xf>
    <xf numFmtId="0" fontId="10" fillId="9" borderId="0" xfId="0" applyFont="1" applyFill="1" applyAlignment="1">
      <alignment horizontal="center" vertical="center"/>
    </xf>
    <xf numFmtId="0" fontId="0" fillId="0" borderId="0" xfId="0" applyProtection="1">
      <protection locked="0"/>
    </xf>
    <xf numFmtId="0" fontId="9" fillId="7" borderId="0" xfId="0" quotePrefix="1" applyFont="1" applyFill="1" applyAlignment="1">
      <alignment horizontal="center" vertical="center"/>
    </xf>
    <xf numFmtId="0" fontId="26" fillId="17" borderId="0" xfId="0" applyFont="1" applyFill="1" applyBorder="1"/>
    <xf numFmtId="0" fontId="27" fillId="17" borderId="0" xfId="0" applyFont="1" applyFill="1" applyBorder="1" applyAlignment="1">
      <alignment horizontal="center"/>
    </xf>
    <xf numFmtId="0" fontId="28" fillId="17" borderId="0" xfId="0" applyFont="1" applyFill="1" applyBorder="1" applyAlignment="1">
      <alignment horizontal="center" vertical="center"/>
    </xf>
    <xf numFmtId="0" fontId="14" fillId="17" borderId="0" xfId="0" applyFont="1" applyFill="1" applyBorder="1" applyAlignment="1">
      <alignment horizontal="center"/>
    </xf>
    <xf numFmtId="0" fontId="26" fillId="17" borderId="0" xfId="0" applyFont="1" applyFill="1" applyBorder="1" applyAlignment="1">
      <alignment horizontal="center" vertical="center"/>
    </xf>
    <xf numFmtId="0" fontId="26" fillId="17" borderId="0" xfId="0" applyFont="1" applyFill="1" applyBorder="1" applyAlignment="1" applyProtection="1">
      <alignment vertical="center"/>
      <protection locked="0"/>
    </xf>
    <xf numFmtId="0" fontId="31" fillId="15" borderId="0" xfId="0" applyFont="1" applyFill="1" applyBorder="1" applyAlignment="1">
      <alignment horizontal="center" vertical="center" wrapText="1"/>
    </xf>
    <xf numFmtId="0" fontId="32" fillId="15" borderId="0" xfId="0" applyFont="1" applyFill="1" applyBorder="1" applyAlignment="1" applyProtection="1">
      <alignment horizontal="center" vertical="center" wrapText="1"/>
      <protection locked="0"/>
    </xf>
    <xf numFmtId="0" fontId="33" fillId="15" borderId="0" xfId="0" applyFont="1" applyFill="1" applyBorder="1" applyAlignment="1">
      <alignment horizontal="center" vertical="center" wrapText="1"/>
    </xf>
    <xf numFmtId="0" fontId="34" fillId="15" borderId="0" xfId="2" applyFont="1" applyFill="1" applyBorder="1" applyAlignment="1">
      <alignment horizontal="center" vertical="center"/>
    </xf>
    <xf numFmtId="0" fontId="34" fillId="15" borderId="0" xfId="2" applyFont="1" applyFill="1" applyBorder="1" applyAlignment="1">
      <alignment horizontal="center" vertical="center"/>
    </xf>
    <xf numFmtId="0" fontId="34" fillId="15" borderId="0" xfId="0" applyFont="1" applyFill="1" applyBorder="1" applyAlignment="1">
      <alignment horizontal="center" vertical="center"/>
    </xf>
    <xf numFmtId="0" fontId="26" fillId="16" borderId="0" xfId="0" applyFont="1" applyFill="1" applyBorder="1"/>
    <xf numFmtId="0" fontId="27" fillId="16" borderId="0" xfId="0" applyFont="1" applyFill="1" applyBorder="1" applyAlignment="1">
      <alignment horizontal="center"/>
    </xf>
    <xf numFmtId="0" fontId="30" fillId="16" borderId="0" xfId="0" applyFont="1" applyFill="1" applyBorder="1" applyAlignment="1">
      <alignment horizontal="center" vertical="center"/>
    </xf>
    <xf numFmtId="0" fontId="31" fillId="16" borderId="0" xfId="0" applyFont="1" applyFill="1" applyBorder="1" applyAlignment="1">
      <alignment horizontal="center" wrapText="1"/>
    </xf>
    <xf numFmtId="0" fontId="32" fillId="16" borderId="0" xfId="0" applyFont="1" applyFill="1" applyBorder="1" applyAlignment="1">
      <alignment horizontal="center" vertical="center" wrapText="1"/>
    </xf>
    <xf numFmtId="0" fontId="32" fillId="16" borderId="0" xfId="0" applyFont="1" applyFill="1" applyBorder="1" applyAlignment="1">
      <alignment horizontal="center" wrapText="1"/>
    </xf>
    <xf numFmtId="0" fontId="32" fillId="16" borderId="0" xfId="0" applyFont="1" applyFill="1" applyBorder="1" applyAlignment="1" applyProtection="1">
      <alignment horizontal="center"/>
      <protection locked="0"/>
    </xf>
    <xf numFmtId="0" fontId="36" fillId="16" borderId="0" xfId="0" applyFont="1" applyFill="1" applyBorder="1" applyAlignment="1">
      <alignment vertical="center"/>
    </xf>
    <xf numFmtId="0" fontId="29" fillId="16" borderId="0" xfId="2" applyFont="1" applyFill="1" applyBorder="1" applyAlignment="1">
      <alignment vertical="center"/>
    </xf>
    <xf numFmtId="0" fontId="25" fillId="16" borderId="0" xfId="0" applyFont="1" applyFill="1" applyBorder="1" applyAlignment="1" applyProtection="1">
      <alignment horizontal="center" vertical="center"/>
      <protection locked="0"/>
    </xf>
    <xf numFmtId="0" fontId="25" fillId="16" borderId="0" xfId="0" applyFont="1" applyFill="1" applyBorder="1" applyAlignment="1" applyProtection="1">
      <alignment horizontal="center" vertical="center"/>
      <protection locked="0" hidden="1"/>
    </xf>
    <xf numFmtId="0" fontId="25" fillId="16" borderId="0" xfId="0" applyFont="1" applyFill="1" applyBorder="1" applyAlignment="1" applyProtection="1">
      <alignment horizontal="center" vertical="center"/>
      <protection hidden="1"/>
    </xf>
    <xf numFmtId="0" fontId="26" fillId="16" borderId="0" xfId="0" applyFont="1" applyFill="1" applyBorder="1" applyAlignment="1" applyProtection="1">
      <alignment horizontal="center"/>
      <protection locked="0"/>
    </xf>
    <xf numFmtId="0" fontId="26" fillId="16" borderId="0" xfId="0" applyFont="1" applyFill="1" applyBorder="1" applyProtection="1">
      <protection locked="0"/>
    </xf>
    <xf numFmtId="0" fontId="26" fillId="16" borderId="0" xfId="0" applyFont="1" applyFill="1" applyBorder="1" applyAlignment="1">
      <alignment vertical="center"/>
    </xf>
    <xf numFmtId="0" fontId="26" fillId="16" borderId="0" xfId="0" applyFont="1" applyFill="1" applyBorder="1" applyAlignment="1">
      <alignment horizontal="center"/>
    </xf>
    <xf numFmtId="0" fontId="35" fillId="16" borderId="0" xfId="0" applyFont="1" applyFill="1" applyBorder="1"/>
    <xf numFmtId="0" fontId="26" fillId="16" borderId="0" xfId="0" applyFont="1" applyFill="1" applyBorder="1"/>
    <xf numFmtId="0" fontId="32" fillId="18" borderId="28" xfId="0" applyFont="1" applyFill="1" applyBorder="1" applyAlignment="1" applyProtection="1">
      <alignment horizontal="center" vertical="center" wrapText="1"/>
    </xf>
    <xf numFmtId="0" fontId="32" fillId="18" borderId="29" xfId="0" applyFont="1" applyFill="1" applyBorder="1" applyAlignment="1" applyProtection="1">
      <alignment horizontal="center" vertical="center" wrapText="1"/>
    </xf>
  </cellXfs>
  <cellStyles count="5">
    <cellStyle name="Accent1" xfId="2" builtinId="29"/>
    <cellStyle name="Hyperlink" xfId="1" builtinId="8"/>
    <cellStyle name="Normal" xfId="0" builtinId="0"/>
    <cellStyle name="Normal 2" xfId="3" xr:uid="{207257C5-062E-4885-964A-41B8DEEEB38F}"/>
    <cellStyle name="Percent" xfId="4" builtinId="5"/>
  </cellStyles>
  <dxfs count="7">
    <dxf>
      <fill>
        <patternFill patternType="gray0625">
          <bgColor rgb="FFC00000"/>
        </patternFill>
      </fill>
    </dxf>
    <dxf>
      <fill>
        <patternFill patternType="gray0625">
          <bgColor rgb="FFFF0000"/>
        </patternFill>
      </fill>
    </dxf>
    <dxf>
      <fill>
        <patternFill patternType="gray0625">
          <bgColor theme="1" tint="0.499984740745262"/>
        </patternFill>
      </fill>
    </dxf>
    <dxf>
      <fill>
        <patternFill patternType="gray0625">
          <bgColor rgb="FFC00000"/>
        </patternFill>
      </fill>
    </dxf>
    <dxf>
      <fill>
        <patternFill patternType="gray0625">
          <bgColor rgb="FFFF0000"/>
        </patternFill>
      </fill>
    </dxf>
    <dxf>
      <fill>
        <patternFill patternType="gray0625">
          <bgColor theme="7" tint="0.39994506668294322"/>
        </patternFill>
      </fill>
    </dxf>
    <dxf>
      <fill>
        <patternFill patternType="gray0625">
          <bgColor theme="9" tint="0.59996337778862885"/>
        </patternFill>
      </fill>
    </dxf>
  </dxfs>
  <tableStyles count="0" defaultTableStyle="TableStyleMedium2" defaultPivotStyle="PivotStyleLight16"/>
  <colors>
    <mruColors>
      <color rgb="FFFFFFFF"/>
      <color rgb="FFF4F0F4"/>
      <color rgb="FF002060"/>
      <color rgb="FFEAF3F8"/>
      <color rgb="FFF3F3F3"/>
      <color rgb="FFD6DCE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0</xdr:col>
      <xdr:colOff>127000</xdr:colOff>
      <xdr:row>16</xdr:row>
      <xdr:rowOff>7845</xdr:rowOff>
    </xdr:from>
    <xdr:to>
      <xdr:col>4</xdr:col>
      <xdr:colOff>400050</xdr:colOff>
      <xdr:row>27</xdr:row>
      <xdr:rowOff>12700</xdr:rowOff>
    </xdr:to>
    <xdr:sp macro="" textlink="">
      <xdr:nvSpPr>
        <xdr:cNvPr id="38" name="NGADD_PANELCARD_UTL">
          <a:extLst>
            <a:ext uri="{FF2B5EF4-FFF2-40B4-BE49-F238E27FC236}">
              <a16:creationId xmlns:a16="http://schemas.microsoft.com/office/drawing/2014/main" id="{8073C734-BE9A-8420-0E76-5D09FB2EEDB3}"/>
            </a:ext>
          </a:extLst>
        </xdr:cNvPr>
        <xdr:cNvSpPr/>
      </xdr:nvSpPr>
      <xdr:spPr>
        <a:xfrm>
          <a:off x="127000" y="4109945"/>
          <a:ext cx="2336800" cy="2760755"/>
        </a:xfrm>
        <a:prstGeom prst="roundRect">
          <a:avLst>
            <a:gd name="adj" fmla="val 8000"/>
          </a:avLst>
        </a:prstGeom>
        <a:noFill/>
        <a:ln w="15875" cap="flat" cmpd="sng" algn="ctr">
          <a:solidFill>
            <a:srgbClr val="D9A441"/>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127000</xdr:colOff>
      <xdr:row>3</xdr:row>
      <xdr:rowOff>305162</xdr:rowOff>
    </xdr:from>
    <xdr:to>
      <xdr:col>4</xdr:col>
      <xdr:colOff>400050</xdr:colOff>
      <xdr:row>14</xdr:row>
      <xdr:rowOff>12700</xdr:rowOff>
    </xdr:to>
    <xdr:sp macro="" textlink="">
      <xdr:nvSpPr>
        <xdr:cNvPr id="37" name="NGADD_PANELCARD_ACT">
          <a:extLst>
            <a:ext uri="{FF2B5EF4-FFF2-40B4-BE49-F238E27FC236}">
              <a16:creationId xmlns:a16="http://schemas.microsoft.com/office/drawing/2014/main" id="{E1F51EED-F8BE-D213-B61F-A4705A767866}"/>
            </a:ext>
          </a:extLst>
        </xdr:cNvPr>
        <xdr:cNvSpPr/>
      </xdr:nvSpPr>
      <xdr:spPr>
        <a:xfrm>
          <a:off x="127000" y="965562"/>
          <a:ext cx="2336800" cy="2533288"/>
        </a:xfrm>
        <a:prstGeom prst="roundRect">
          <a:avLst>
            <a:gd name="adj" fmla="val 8000"/>
          </a:avLst>
        </a:prstGeom>
        <a:noFill/>
        <a:ln w="15875" cap="flat" cmpd="sng" algn="ctr">
          <a:solidFill>
            <a:srgbClr val="D9A441"/>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560293</xdr:colOff>
      <xdr:row>11</xdr:row>
      <xdr:rowOff>29582</xdr:rowOff>
    </xdr:from>
    <xdr:to>
      <xdr:col>20</xdr:col>
      <xdr:colOff>39892</xdr:colOff>
      <xdr:row>11</xdr:row>
      <xdr:rowOff>343347</xdr:rowOff>
    </xdr:to>
    <xdr:sp macro="" textlink="">
      <xdr:nvSpPr>
        <xdr:cNvPr id="11" name="Rectangle: Rounded Corners 10" descr="NGORIG|5|-1|16777215|500|-1|15457490|75|-1|Calibri|115|-1|0|0">
          <a:extLst>
            <a:ext uri="{FF2B5EF4-FFF2-40B4-BE49-F238E27FC236}">
              <a16:creationId xmlns:a16="http://schemas.microsoft.com/office/drawing/2014/main" id="{6ACE78C1-C438-455E-A6B2-D6BF95671B7E}"/>
            </a:ext>
          </a:extLst>
        </xdr:cNvPr>
        <xdr:cNvSpPr/>
      </xdr:nvSpPr>
      <xdr:spPr>
        <a:xfrm>
          <a:off x="2962834" y="2736923"/>
          <a:ext cx="8193293" cy="313765"/>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Customer</a:t>
          </a:r>
          <a:r>
            <a:rPr lang="en-US" sz="1050" b="1" i="0" baseline="0">
              <a:solidFill>
                <a:srgbClr val="FFFFFF"/>
              </a:solidFill>
              <a:latin typeface="Segoe UI" panose="020B0502040204020203" pitchFamily="34" charset="0"/>
            </a:rPr>
            <a:t> Information</a:t>
          </a:r>
          <a:endParaRPr lang="en-US" sz="1050" b="1" i="0">
            <a:solidFill>
              <a:srgbClr val="FFFFFF"/>
            </a:solidFill>
            <a:latin typeface="Segoe UI" panose="020B0502040204020203" pitchFamily="34" charset="0"/>
          </a:endParaRPr>
        </a:p>
      </xdr:txBody>
    </xdr:sp>
    <xdr:clientData/>
  </xdr:twoCellAnchor>
  <xdr:twoCellAnchor>
    <xdr:from>
      <xdr:col>6</xdr:col>
      <xdr:colOff>1</xdr:colOff>
      <xdr:row>15</xdr:row>
      <xdr:rowOff>17930</xdr:rowOff>
    </xdr:from>
    <xdr:to>
      <xdr:col>20</xdr:col>
      <xdr:colOff>17930</xdr:colOff>
      <xdr:row>15</xdr:row>
      <xdr:rowOff>331695</xdr:rowOff>
    </xdr:to>
    <xdr:sp macro="" textlink="">
      <xdr:nvSpPr>
        <xdr:cNvPr id="13" name="Rectangle: Rounded Corners 12" descr="NGORIG|5|-1|16777215|500|-1|15457490|75|-1|Calibri|115|-1|0|0">
          <a:extLst>
            <a:ext uri="{FF2B5EF4-FFF2-40B4-BE49-F238E27FC236}">
              <a16:creationId xmlns:a16="http://schemas.microsoft.com/office/drawing/2014/main" id="{BACEB14D-549C-4C20-9768-2242149249A7}"/>
            </a:ext>
          </a:extLst>
        </xdr:cNvPr>
        <xdr:cNvSpPr/>
      </xdr:nvSpPr>
      <xdr:spPr>
        <a:xfrm>
          <a:off x="2985248" y="3836895"/>
          <a:ext cx="8148917" cy="313765"/>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Counterparty Information</a:t>
          </a:r>
        </a:p>
      </xdr:txBody>
    </xdr:sp>
    <xdr:clientData/>
  </xdr:twoCellAnchor>
  <xdr:twoCellAnchor>
    <xdr:from>
      <xdr:col>6</xdr:col>
      <xdr:colOff>0</xdr:colOff>
      <xdr:row>24</xdr:row>
      <xdr:rowOff>43543</xdr:rowOff>
    </xdr:from>
    <xdr:to>
      <xdr:col>20</xdr:col>
      <xdr:colOff>17929</xdr:colOff>
      <xdr:row>24</xdr:row>
      <xdr:rowOff>357308</xdr:rowOff>
    </xdr:to>
    <xdr:sp macro="" textlink="">
      <xdr:nvSpPr>
        <xdr:cNvPr id="14" name="Rectangle: Rounded Corners 13" descr="NGORIG|5|-1|16777215|500|-1|15457490|75|-1|Calibri|115|-1|0|0">
          <a:extLst>
            <a:ext uri="{FF2B5EF4-FFF2-40B4-BE49-F238E27FC236}">
              <a16:creationId xmlns:a16="http://schemas.microsoft.com/office/drawing/2014/main" id="{36D156AD-2FE2-4384-A3C6-3B9BB06EFA66}"/>
            </a:ext>
          </a:extLst>
        </xdr:cNvPr>
        <xdr:cNvSpPr/>
      </xdr:nvSpPr>
      <xdr:spPr>
        <a:xfrm>
          <a:off x="2993571" y="6030686"/>
          <a:ext cx="9336101" cy="313765"/>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Country Risk Rating</a:t>
          </a:r>
        </a:p>
      </xdr:txBody>
    </xdr:sp>
    <xdr:clientData/>
  </xdr:twoCellAnchor>
  <xdr:twoCellAnchor>
    <xdr:from>
      <xdr:col>5</xdr:col>
      <xdr:colOff>176838</xdr:colOff>
      <xdr:row>2</xdr:row>
      <xdr:rowOff>160979</xdr:rowOff>
    </xdr:from>
    <xdr:to>
      <xdr:col>20</xdr:col>
      <xdr:colOff>12037</xdr:colOff>
      <xdr:row>3</xdr:row>
      <xdr:rowOff>241662</xdr:rowOff>
    </xdr:to>
    <xdr:sp macro="" textlink="">
      <xdr:nvSpPr>
        <xdr:cNvPr id="15" name="Rectangle: Rounded Corners 14" descr="NGORIG|5|-1|16777215|500|-1|15457490|75|-1|Calibri|115|-1|0|0">
          <a:extLst>
            <a:ext uri="{FF2B5EF4-FFF2-40B4-BE49-F238E27FC236}">
              <a16:creationId xmlns:a16="http://schemas.microsoft.com/office/drawing/2014/main" id="{E3D30C5C-01BD-4658-B762-30C6DDCC7868}"/>
            </a:ext>
          </a:extLst>
        </xdr:cNvPr>
        <xdr:cNvSpPr/>
      </xdr:nvSpPr>
      <xdr:spPr>
        <a:xfrm>
          <a:off x="2769755" y="584312"/>
          <a:ext cx="9741199" cy="313517"/>
        </a:xfrm>
        <a:prstGeom prst="roundRect">
          <a:avLst>
            <a:gd name="adj" fmla="val 15000"/>
          </a:avLst>
        </a:prstGeom>
        <a:gradFill flip="none" rotWithShape="1">
          <a:gsLst>
            <a:gs pos="0">
              <a:srgbClr val="1C3056"/>
            </a:gs>
            <a:gs pos="100000">
              <a:srgbClr val="2A4473"/>
            </a:gs>
          </a:gsLst>
          <a:lin ang="5400000" scaled="1"/>
          <a:tileRect/>
        </a:gradFill>
        <a:ln w="15875"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1050" b="1" i="0">
              <a:solidFill>
                <a:srgbClr val="FFFFFF"/>
              </a:solidFill>
              <a:latin typeface="Segoe UI" panose="020B0502040204020203" pitchFamily="34" charset="0"/>
            </a:rPr>
            <a:t>Alert Related Information</a:t>
          </a:r>
        </a:p>
      </xdr:txBody>
    </xdr:sp>
    <xdr:clientData/>
  </xdr:twoCellAnchor>
  <xdr:twoCellAnchor>
    <xdr:from>
      <xdr:col>0</xdr:col>
      <xdr:colOff>228600</xdr:colOff>
      <xdr:row>2</xdr:row>
      <xdr:rowOff>160979</xdr:rowOff>
    </xdr:from>
    <xdr:to>
      <xdr:col>4</xdr:col>
      <xdr:colOff>298450</xdr:colOff>
      <xdr:row>3</xdr:row>
      <xdr:rowOff>241662</xdr:rowOff>
    </xdr:to>
    <xdr:sp macro="" textlink="">
      <xdr:nvSpPr>
        <xdr:cNvPr id="18" name="Rectangle: Rounded Corners 17" descr="NGORIG|5|-1|16777215|500|-1|15457490|75|-1|Calibri|115|-1|0|0">
          <a:extLst>
            <a:ext uri="{FF2B5EF4-FFF2-40B4-BE49-F238E27FC236}">
              <a16:creationId xmlns:a16="http://schemas.microsoft.com/office/drawing/2014/main" id="{4016A711-4E3B-496F-9AD8-CD2092CAA497}"/>
            </a:ext>
          </a:extLst>
        </xdr:cNvPr>
        <xdr:cNvSpPr/>
      </xdr:nvSpPr>
      <xdr:spPr>
        <a:xfrm>
          <a:off x="228600" y="592779"/>
          <a:ext cx="2133600" cy="309283"/>
        </a:xfrm>
        <a:prstGeom prst="roundRect">
          <a:avLst>
            <a:gd name="adj" fmla="val 30000"/>
          </a:avLst>
        </a:prstGeom>
        <a:solidFill>
          <a:srgbClr val="223456">
            <a:alpha val="50000"/>
          </a:srgbClr>
        </a:solidFill>
        <a:ln w="12700"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950" b="1" i="0">
              <a:solidFill>
                <a:srgbClr val="D9A441"/>
              </a:solidFill>
              <a:latin typeface="Segoe UI" panose="020B0502040204020203" pitchFamily="34" charset="0"/>
            </a:rPr>
            <a:t>ACTION PANEL</a:t>
          </a:r>
        </a:p>
      </xdr:txBody>
    </xdr:sp>
    <xdr:clientData/>
  </xdr:twoCellAnchor>
  <xdr:twoCellAnchor>
    <xdr:from>
      <xdr:col>0</xdr:col>
      <xdr:colOff>228600</xdr:colOff>
      <xdr:row>4</xdr:row>
      <xdr:rowOff>227620</xdr:rowOff>
    </xdr:from>
    <xdr:to>
      <xdr:col>4</xdr:col>
      <xdr:colOff>298450</xdr:colOff>
      <xdr:row>6</xdr:row>
      <xdr:rowOff>100620</xdr:rowOff>
    </xdr:to>
    <xdr:sp macro="[0]!Start_Button_Create_Folders" textlink="">
      <xdr:nvSpPr>
        <xdr:cNvPr id="20" name="Rectangle: Rounded Corners 19" descr="NGORIG|5|-1|16777215|180|-1|15127752|100|-1|Calibri|110|-1|0|6299648">
          <a:extLst>
            <a:ext uri="{FF2B5EF4-FFF2-40B4-BE49-F238E27FC236}">
              <a16:creationId xmlns:a16="http://schemas.microsoft.com/office/drawing/2014/main" id="{4C205278-5C20-4A0D-A76A-A9AF4CA1BFB2}"/>
            </a:ext>
          </a:extLst>
        </xdr:cNvPr>
        <xdr:cNvSpPr/>
      </xdr:nvSpPr>
      <xdr:spPr>
        <a:xfrm>
          <a:off x="228600" y="1205520"/>
          <a:ext cx="2133600" cy="330200"/>
        </a:xfrm>
        <a:prstGeom prst="roundRect">
          <a:avLst>
            <a:gd name="adj" fmla="val 28000"/>
          </a:avLst>
        </a:prstGeom>
        <a:solidFill>
          <a:srgbClr val="D9A441">
            <a:alpha val="82000"/>
          </a:srgbClr>
        </a:solidFill>
        <a:ln w="15875" cap="flat" cmpd="sng" algn="ctr">
          <a:solidFill>
            <a:srgbClr val="E5C27A"/>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18243E"/>
              </a:solidFill>
              <a:latin typeface="Segoe UI" panose="020B0502040204020203" pitchFamily="34" charset="0"/>
            </a:rPr>
            <a:t>Start</a:t>
          </a:r>
        </a:p>
      </xdr:txBody>
    </xdr:sp>
    <xdr:clientData/>
  </xdr:twoCellAnchor>
  <xdr:twoCellAnchor>
    <xdr:from>
      <xdr:col>0</xdr:col>
      <xdr:colOff>228600</xdr:colOff>
      <xdr:row>15</xdr:row>
      <xdr:rowOff>17930</xdr:rowOff>
    </xdr:from>
    <xdr:to>
      <xdr:col>4</xdr:col>
      <xdr:colOff>298450</xdr:colOff>
      <xdr:row>15</xdr:row>
      <xdr:rowOff>331695</xdr:rowOff>
    </xdr:to>
    <xdr:sp macro="" textlink="">
      <xdr:nvSpPr>
        <xdr:cNvPr id="22" name="Rectangle: Rounded Corners 21" descr="NGORIG|5|-1|16777215|500|-1|15457490|75|-1|Calibri|115|-1|0|0">
          <a:extLst>
            <a:ext uri="{FF2B5EF4-FFF2-40B4-BE49-F238E27FC236}">
              <a16:creationId xmlns:a16="http://schemas.microsoft.com/office/drawing/2014/main" id="{AB7B1A9E-F5D5-423F-AD1B-C2DFAA0612AA}"/>
            </a:ext>
          </a:extLst>
        </xdr:cNvPr>
        <xdr:cNvSpPr/>
      </xdr:nvSpPr>
      <xdr:spPr>
        <a:xfrm>
          <a:off x="228600" y="3732680"/>
          <a:ext cx="2133600" cy="313765"/>
        </a:xfrm>
        <a:prstGeom prst="roundRect">
          <a:avLst>
            <a:gd name="adj" fmla="val 30000"/>
          </a:avLst>
        </a:prstGeom>
        <a:solidFill>
          <a:srgbClr val="223456">
            <a:alpha val="50000"/>
          </a:srgbClr>
        </a:solidFill>
        <a:ln w="12700" cap="flat" cmpd="sng" algn="ctr">
          <a:solidFill>
            <a:srgbClr val="D9A441">
              <a:alpha val="85000"/>
            </a:srgbClr>
          </a:solidFill>
          <a:prstDash val="solid"/>
          <a:miter lim="800000"/>
          <a:headEnd type="none" w="med" len="med"/>
          <a:tailEnd type="none" w="med" len="med"/>
        </a:ln>
        <a:effectLst>
          <a:glow rad="63500">
            <a:schemeClr val="accent3">
              <a:satMod val="175000"/>
              <a:alpha val="40000"/>
            </a:schemeClr>
          </a:glow>
        </a:effectLst>
      </xdr:spPr>
      <xdr:style>
        <a:lnRef idx="2">
          <a:schemeClr val="dk1">
            <a:shade val="15000"/>
          </a:schemeClr>
        </a:lnRef>
        <a:fillRef idx="1">
          <a:schemeClr val="dk1"/>
        </a:fillRef>
        <a:effectRef idx="0">
          <a:schemeClr val="dk1"/>
        </a:effectRef>
        <a:fontRef idx="minor">
          <a:schemeClr val="lt1"/>
        </a:fontRef>
      </xdr:style>
      <xdr:txBody>
        <a:bodyPr vertOverflow="clip" horzOverflow="clip" rtlCol="0" anchor="ctr"/>
        <a:lstStyle/>
        <a:p>
          <a:pPr algn="ctr"/>
          <a:r>
            <a:rPr lang="en-US" sz="950" b="1" i="0">
              <a:solidFill>
                <a:srgbClr val="D9A441"/>
              </a:solidFill>
              <a:latin typeface="Segoe UI" panose="020B0502040204020203" pitchFamily="34" charset="0"/>
            </a:rPr>
            <a:t>UTILITY PANEL</a:t>
          </a:r>
        </a:p>
      </xdr:txBody>
    </xdr:sp>
    <xdr:clientData/>
  </xdr:twoCellAnchor>
  <xdr:twoCellAnchor>
    <xdr:from>
      <xdr:col>0</xdr:col>
      <xdr:colOff>228600</xdr:colOff>
      <xdr:row>7</xdr:row>
      <xdr:rowOff>111977</xdr:rowOff>
    </xdr:from>
    <xdr:to>
      <xdr:col>4</xdr:col>
      <xdr:colOff>298450</xdr:colOff>
      <xdr:row>8</xdr:row>
      <xdr:rowOff>175477</xdr:rowOff>
    </xdr:to>
    <xdr:sp macro="[0]!Consolidated_AML_Workflow" textlink="">
      <xdr:nvSpPr>
        <xdr:cNvPr id="25" name="Rectangle: Rounded Corners 24" descr="NGORIG|5|-1|16777215|180|-1|15127752|100|-1|Calibri|110|-1|0|6299648">
          <a:extLst>
            <a:ext uri="{FF2B5EF4-FFF2-40B4-BE49-F238E27FC236}">
              <a16:creationId xmlns:a16="http://schemas.microsoft.com/office/drawing/2014/main" id="{6F269840-D253-4F96-94A4-6145EC1ADBF2}"/>
            </a:ext>
          </a:extLst>
        </xdr:cNvPr>
        <xdr:cNvSpPr/>
      </xdr:nvSpPr>
      <xdr:spPr>
        <a:xfrm>
          <a:off x="228600" y="1775677"/>
          <a:ext cx="2133600" cy="330200"/>
        </a:xfrm>
        <a:prstGeom prst="roundRect">
          <a:avLst>
            <a:gd name="adj" fmla="val 28000"/>
          </a:avLst>
        </a:prstGeom>
        <a:solidFill>
          <a:srgbClr val="223456">
            <a:alpha val="82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Export Trx File</a:t>
          </a:r>
        </a:p>
      </xdr:txBody>
    </xdr:sp>
    <xdr:clientData/>
  </xdr:twoCellAnchor>
  <xdr:twoCellAnchor>
    <xdr:from>
      <xdr:col>0</xdr:col>
      <xdr:colOff>228600</xdr:colOff>
      <xdr:row>9</xdr:row>
      <xdr:rowOff>186835</xdr:rowOff>
    </xdr:from>
    <xdr:to>
      <xdr:col>4</xdr:col>
      <xdr:colOff>298450</xdr:colOff>
      <xdr:row>11</xdr:row>
      <xdr:rowOff>59835</xdr:rowOff>
    </xdr:to>
    <xdr:sp macro="[0]!SearchAndSavePDF_Direct" textlink="">
      <xdr:nvSpPr>
        <xdr:cNvPr id="26" name="Rectangle: Rounded Corners 25" descr="NGORIG|1|-1|16777215|300|-1|16777215|100|-1|Segoe UI|110|-1|0|5125672">
          <a:extLst>
            <a:ext uri="{FF2B5EF4-FFF2-40B4-BE49-F238E27FC236}">
              <a16:creationId xmlns:a16="http://schemas.microsoft.com/office/drawing/2014/main" id="{875465EF-B18A-4979-8820-88D9ECE858C9}"/>
            </a:ext>
          </a:extLst>
        </xdr:cNvPr>
        <xdr:cNvSpPr/>
      </xdr:nvSpPr>
      <xdr:spPr>
        <a:xfrm>
          <a:off x="228600" y="2345835"/>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OSDD Search</a:t>
          </a:r>
        </a:p>
        <a:p>
          <a:pPr algn="ctr"/>
          <a:endParaRPr lang="en-US" sz="950" b="1" i="0">
            <a:solidFill>
              <a:srgbClr val="FBEDEA"/>
            </a:solidFill>
            <a:latin typeface="Segoe UI" panose="020B0502040204020203" pitchFamily="34" charset="0"/>
          </a:endParaRPr>
        </a:p>
      </xdr:txBody>
    </xdr:sp>
    <xdr:clientData/>
  </xdr:twoCellAnchor>
  <xdr:twoCellAnchor>
    <xdr:from>
      <xdr:col>0</xdr:col>
      <xdr:colOff>228600</xdr:colOff>
      <xdr:row>11</xdr:row>
      <xdr:rowOff>299792</xdr:rowOff>
    </xdr:from>
    <xdr:to>
      <xdr:col>4</xdr:col>
      <xdr:colOff>298450</xdr:colOff>
      <xdr:row>12</xdr:row>
      <xdr:rowOff>217242</xdr:rowOff>
    </xdr:to>
    <xdr:sp macro="[0]!ExportToWord" textlink="">
      <xdr:nvSpPr>
        <xdr:cNvPr id="27" name="Rectangle: Rounded Corners 26" descr="NGORIG|1|-1|16777215|300|-1|16777215|100|-1|Segoe UI|110|-1|0|5125672">
          <a:extLst>
            <a:ext uri="{FF2B5EF4-FFF2-40B4-BE49-F238E27FC236}">
              <a16:creationId xmlns:a16="http://schemas.microsoft.com/office/drawing/2014/main" id="{978ACF2F-AD23-49E0-A512-CD5A8DFABE14}"/>
            </a:ext>
          </a:extLst>
        </xdr:cNvPr>
        <xdr:cNvSpPr/>
      </xdr:nvSpPr>
      <xdr:spPr>
        <a:xfrm>
          <a:off x="228600" y="2915992"/>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Generate Narrative</a:t>
          </a:r>
        </a:p>
        <a:p>
          <a:pPr algn="ctr"/>
          <a:endParaRPr lang="en-US" sz="950" b="1" i="0">
            <a:solidFill>
              <a:srgbClr val="FBEDEA"/>
            </a:solidFill>
            <a:latin typeface="Segoe UI" panose="020B0502040204020203" pitchFamily="34" charset="0"/>
          </a:endParaRPr>
        </a:p>
      </xdr:txBody>
    </xdr:sp>
    <xdr:clientData/>
  </xdr:twoCellAnchor>
  <xdr:twoCellAnchor>
    <xdr:from>
      <xdr:col>0</xdr:col>
      <xdr:colOff>228600</xdr:colOff>
      <xdr:row>17</xdr:row>
      <xdr:rowOff>64696</xdr:rowOff>
    </xdr:from>
    <xdr:to>
      <xdr:col>4</xdr:col>
      <xdr:colOff>298450</xdr:colOff>
      <xdr:row>18</xdr:row>
      <xdr:rowOff>172646</xdr:rowOff>
    </xdr:to>
    <xdr:sp macro="[0]!Run_Mass_Rename_v4" textlink="">
      <xdr:nvSpPr>
        <xdr:cNvPr id="28" name="Rectangle: Rounded Corners 27" descr="NGORIG|1|-1|16777215|300|-1|16777215|100|-1|Segoe UI|110|-1|0|5125672">
          <a:extLst>
            <a:ext uri="{FF2B5EF4-FFF2-40B4-BE49-F238E27FC236}">
              <a16:creationId xmlns:a16="http://schemas.microsoft.com/office/drawing/2014/main" id="{714C8204-1104-4EA3-8A47-DB86311CAE92}"/>
            </a:ext>
          </a:extLst>
        </xdr:cNvPr>
        <xdr:cNvSpPr/>
      </xdr:nvSpPr>
      <xdr:spPr>
        <a:xfrm>
          <a:off x="228600" y="4395396"/>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Rename</a:t>
          </a:r>
          <a:endParaRPr lang="en-US" sz="950" b="1" i="0" baseline="0">
            <a:solidFill>
              <a:srgbClr val="FBEDEA"/>
            </a:solidFill>
            <a:latin typeface="Segoe UI" panose="020B0502040204020203" pitchFamily="34" charset="0"/>
          </a:endParaRPr>
        </a:p>
      </xdr:txBody>
    </xdr:sp>
    <xdr:clientData/>
  </xdr:twoCellAnchor>
  <xdr:twoCellAnchor>
    <xdr:from>
      <xdr:col>0</xdr:col>
      <xdr:colOff>228600</xdr:colOff>
      <xdr:row>20</xdr:row>
      <xdr:rowOff>897</xdr:rowOff>
    </xdr:from>
    <xdr:to>
      <xdr:col>4</xdr:col>
      <xdr:colOff>298450</xdr:colOff>
      <xdr:row>21</xdr:row>
      <xdr:rowOff>102497</xdr:rowOff>
    </xdr:to>
    <xdr:sp macro="[0]!Trigger_PAD_Merge_Flow" textlink="">
      <xdr:nvSpPr>
        <xdr:cNvPr id="29" name="Rectangle: Rounded Corners 28" descr="NGORIG|1|-1|16777215|300|-1|16777215|100|-1|Segoe UI|110|-1|0|5125672">
          <a:extLst>
            <a:ext uri="{FF2B5EF4-FFF2-40B4-BE49-F238E27FC236}">
              <a16:creationId xmlns:a16="http://schemas.microsoft.com/office/drawing/2014/main" id="{D2D7AD51-C028-4101-A134-26E053E08BCB}"/>
            </a:ext>
          </a:extLst>
        </xdr:cNvPr>
        <xdr:cNvSpPr/>
      </xdr:nvSpPr>
      <xdr:spPr>
        <a:xfrm>
          <a:off x="228600" y="5011047"/>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PDF Merge</a:t>
          </a:r>
        </a:p>
      </xdr:txBody>
    </xdr:sp>
    <xdr:clientData/>
  </xdr:twoCellAnchor>
  <xdr:twoCellAnchor>
    <xdr:from>
      <xdr:col>0</xdr:col>
      <xdr:colOff>228600</xdr:colOff>
      <xdr:row>24</xdr:row>
      <xdr:rowOff>317799</xdr:rowOff>
    </xdr:from>
    <xdr:to>
      <xdr:col>4</xdr:col>
      <xdr:colOff>298450</xdr:colOff>
      <xdr:row>25</xdr:row>
      <xdr:rowOff>171749</xdr:rowOff>
    </xdr:to>
    <xdr:sp macro="[0]!ClearForm" textlink="">
      <xdr:nvSpPr>
        <xdr:cNvPr id="30" name="Rectangle: Rounded Corners 29" descr="NGORIG|1|-1|16777215|300|-1|16777215|100|-1|Segoe UI|110|-1|0|2763440">
          <a:extLst>
            <a:ext uri="{FF2B5EF4-FFF2-40B4-BE49-F238E27FC236}">
              <a16:creationId xmlns:a16="http://schemas.microsoft.com/office/drawing/2014/main" id="{054896DD-56D2-4AE5-B7A7-94D4FAD813F1}"/>
            </a:ext>
          </a:extLst>
        </xdr:cNvPr>
        <xdr:cNvSpPr/>
      </xdr:nvSpPr>
      <xdr:spPr>
        <a:xfrm>
          <a:off x="228600" y="6242349"/>
          <a:ext cx="2133600" cy="330200"/>
        </a:xfrm>
        <a:prstGeom prst="roundRect">
          <a:avLst>
            <a:gd name="adj" fmla="val 28000"/>
          </a:avLst>
        </a:prstGeom>
        <a:solidFill>
          <a:srgbClr val="9E453C">
            <a:alpha val="70000"/>
          </a:srgbClr>
        </a:solidFill>
        <a:ln w="12700" cap="flat" cmpd="sng" algn="ctr">
          <a:solidFill>
            <a:srgbClr val="C46A60">
              <a:alpha val="8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Reset</a:t>
          </a:r>
        </a:p>
      </xdr:txBody>
    </xdr:sp>
    <xdr:clientData/>
  </xdr:twoCellAnchor>
  <xdr:twoCellAnchor>
    <xdr:from>
      <xdr:col>0</xdr:col>
      <xdr:colOff>228600</xdr:colOff>
      <xdr:row>22</xdr:row>
      <xdr:rowOff>159348</xdr:rowOff>
    </xdr:from>
    <xdr:to>
      <xdr:col>4</xdr:col>
      <xdr:colOff>298450</xdr:colOff>
      <xdr:row>24</xdr:row>
      <xdr:rowOff>32348</xdr:rowOff>
    </xdr:to>
    <xdr:sp macro="WarmUpWorkerProfiles" textlink="">
      <xdr:nvSpPr>
        <xdr:cNvPr id="31" name="btnWarmUp" descr="NGORIG|1|-1|16777215|300|-1|16777215|100|-1|Segoe UI|110|-1|0|5125672">
          <a:extLst>
            <a:ext uri="{FF2B5EF4-FFF2-40B4-BE49-F238E27FC236}">
              <a16:creationId xmlns:a16="http://schemas.microsoft.com/office/drawing/2014/main" id="{837A27E3-F8BE-4346-BF32-7E167DFF7F61}"/>
            </a:ext>
          </a:extLst>
        </xdr:cNvPr>
        <xdr:cNvSpPr/>
      </xdr:nvSpPr>
      <xdr:spPr>
        <a:xfrm>
          <a:off x="228600" y="5626698"/>
          <a:ext cx="2133600" cy="330200"/>
        </a:xfrm>
        <a:prstGeom prst="roundRect">
          <a:avLst>
            <a:gd name="adj" fmla="val 28000"/>
          </a:avLst>
        </a:prstGeom>
        <a:solidFill>
          <a:srgbClr val="223456">
            <a:alpha val="70000"/>
          </a:srgbClr>
        </a:solidFill>
        <a:ln w="12700" cap="flat" cmpd="sng" algn="ctr">
          <a:solidFill>
            <a:srgbClr val="D9A441">
              <a:alpha val="70000"/>
            </a:srgbClr>
          </a:solidFill>
          <a:prstDash val="solid"/>
          <a:miter lim="800000"/>
          <a:headEnd type="none" w="med" len="med"/>
          <a:tailEnd type="none" w="med" len="med"/>
        </a:ln>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50" b="1" i="0">
              <a:solidFill>
                <a:srgbClr val="FBEDEA"/>
              </a:solidFill>
              <a:latin typeface="Segoe UI" panose="020B0502040204020203" pitchFamily="34" charset="0"/>
            </a:rPr>
            <a:t>Profile Warm-Up</a:t>
          </a:r>
        </a:p>
      </xdr:txBody>
    </xdr:sp>
    <xdr:clientData/>
  </xdr:twoCellAnchor>
  <xdr:twoCellAnchor>
    <xdr:from>
      <xdr:col>1</xdr:col>
      <xdr:colOff>281940</xdr:colOff>
      <xdr:row>0</xdr:row>
      <xdr:rowOff>53340</xdr:rowOff>
    </xdr:from>
    <xdr:to>
      <xdr:col>2</xdr:col>
      <xdr:colOff>238761</xdr:colOff>
      <xdr:row>1</xdr:row>
      <xdr:rowOff>89155</xdr:rowOff>
    </xdr:to>
    <xdr:sp macro="" textlink="">
      <xdr:nvSpPr>
        <xdr:cNvPr id="34" name="NGADD_SHIELD_OUTER">
          <a:extLst>
            <a:ext uri="{FF2B5EF4-FFF2-40B4-BE49-F238E27FC236}">
              <a16:creationId xmlns:a16="http://schemas.microsoft.com/office/drawing/2014/main" id="{946D1156-2125-1529-2D4F-27F900259316}"/>
            </a:ext>
          </a:extLst>
        </xdr:cNvPr>
        <xdr:cNvSpPr/>
      </xdr:nvSpPr>
      <xdr:spPr>
        <a:xfrm>
          <a:off x="662940" y="53340"/>
          <a:ext cx="274321" cy="283465"/>
        </a:xfrm>
        <a:custGeom>
          <a:avLst/>
          <a:gdLst/>
          <a:ahLst/>
          <a:cxnLst/>
          <a:rect l="0" t="0" r="0" b="0"/>
          <a:pathLst>
            <a:path w="274321" h="283465">
              <a:moveTo>
                <a:pt x="137160" y="0"/>
              </a:moveTo>
              <a:cubicBezTo>
                <a:pt x="0" y="39624"/>
                <a:pt x="0" y="39624"/>
                <a:pt x="0" y="39624"/>
              </a:cubicBezTo>
              <a:cubicBezTo>
                <a:pt x="0" y="152400"/>
                <a:pt x="0" y="152400"/>
                <a:pt x="0" y="152400"/>
              </a:cubicBezTo>
              <a:cubicBezTo>
                <a:pt x="137160" y="283464"/>
                <a:pt x="137160" y="283464"/>
                <a:pt x="137160" y="283464"/>
              </a:cubicBezTo>
              <a:cubicBezTo>
                <a:pt x="274320" y="152400"/>
                <a:pt x="274320" y="152400"/>
                <a:pt x="274320" y="152400"/>
              </a:cubicBezTo>
              <a:cubicBezTo>
                <a:pt x="274320" y="39624"/>
                <a:pt x="274320" y="39624"/>
                <a:pt x="274320" y="39624"/>
              </a:cubicBezTo>
              <a:cubicBezTo>
                <a:pt x="137160" y="0"/>
                <a:pt x="137160" y="0"/>
                <a:pt x="137160" y="0"/>
              </a:cubicBezTo>
              <a:close/>
            </a:path>
          </a:pathLst>
        </a:custGeom>
        <a:noFill/>
        <a:ln w="19050" cap="flat" cmpd="sng" algn="ctr">
          <a:solidFill>
            <a:srgbClr val="D9A441"/>
          </a:solidFill>
          <a:prstDash val="solid"/>
          <a:miter lim="800000"/>
        </a:ln>
        <a:effectLst/>
        <a:extLst>
          <a:ext uri="{909E8E84-426E-40DD-AFC4-6F175D3DCCD1}">
            <a14:hiddenFill xmlns:a14="http://schemas.microsoft.com/office/drawing/2010/main">
              <a:solidFill>
                <a:schemeClr val="accent1"/>
              </a:solidFill>
            </a14:hiddenFill>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34544</xdr:colOff>
      <xdr:row>0</xdr:row>
      <xdr:rowOff>147828</xdr:rowOff>
    </xdr:from>
    <xdr:to>
      <xdr:col>2</xdr:col>
      <xdr:colOff>174753</xdr:colOff>
      <xdr:row>0</xdr:row>
      <xdr:rowOff>245365</xdr:rowOff>
    </xdr:to>
    <xdr:sp macro="" textlink="">
      <xdr:nvSpPr>
        <xdr:cNvPr id="35" name="NGADD_SHIELD_CHK">
          <a:extLst>
            <a:ext uri="{FF2B5EF4-FFF2-40B4-BE49-F238E27FC236}">
              <a16:creationId xmlns:a16="http://schemas.microsoft.com/office/drawing/2014/main" id="{18313BAC-24D3-451C-49A3-E6D3FC538742}"/>
            </a:ext>
          </a:extLst>
        </xdr:cNvPr>
        <xdr:cNvSpPr/>
      </xdr:nvSpPr>
      <xdr:spPr>
        <a:xfrm>
          <a:off x="733044" y="147828"/>
          <a:ext cx="140209" cy="97537"/>
        </a:xfrm>
        <a:custGeom>
          <a:avLst/>
          <a:gdLst/>
          <a:ahLst/>
          <a:cxnLst/>
          <a:rect l="0" t="0" r="0" b="0"/>
          <a:pathLst>
            <a:path w="140209" h="97537">
              <a:moveTo>
                <a:pt x="0" y="36576"/>
              </a:moveTo>
              <a:lnTo>
                <a:pt x="54864" y="97536"/>
              </a:lnTo>
              <a:lnTo>
                <a:pt x="140208" y="0"/>
              </a:lnTo>
            </a:path>
          </a:pathLst>
        </a:custGeom>
        <a:ln w="22225">
          <a:solidFill>
            <a:srgbClr val="D9A44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xdr:col>
      <xdr:colOff>355600</xdr:colOff>
      <xdr:row>0</xdr:row>
      <xdr:rowOff>25400</xdr:rowOff>
    </xdr:from>
    <xdr:to>
      <xdr:col>4</xdr:col>
      <xdr:colOff>298450</xdr:colOff>
      <xdr:row>1</xdr:row>
      <xdr:rowOff>107950</xdr:rowOff>
    </xdr:to>
    <xdr:sp macro="" textlink="">
      <xdr:nvSpPr>
        <xdr:cNvPr id="36" name="NGADD_TITLE_TXT">
          <a:extLst>
            <a:ext uri="{FF2B5EF4-FFF2-40B4-BE49-F238E27FC236}">
              <a16:creationId xmlns:a16="http://schemas.microsoft.com/office/drawing/2014/main" id="{A9022800-C7FC-F8AB-7892-0BD5E8BAC9F9}"/>
            </a:ext>
          </a:extLst>
        </xdr:cNvPr>
        <xdr:cNvSpPr txBox="1"/>
      </xdr:nvSpPr>
      <xdr:spPr>
        <a:xfrm>
          <a:off x="1054100" y="25400"/>
          <a:ext cx="1308100" cy="3302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l"/>
          <a:r>
            <a:rPr lang="en-US" sz="1500" b="1">
              <a:solidFill>
                <a:srgbClr val="D9A441"/>
              </a:solidFill>
              <a:latin typeface="Segoe UI" panose="020B0502040204020203" pitchFamily="34" charset="0"/>
            </a:rPr>
            <a:t>Beta 3.5</a:t>
          </a:r>
        </a:p>
      </xdr:txBody>
    </xdr:sp>
    <xdr:clientData/>
  </xdr:twoCellAnchor>
  <xdr:twoCellAnchor>
    <xdr:from>
      <xdr:col>19</xdr:col>
      <xdr:colOff>3659392</xdr:colOff>
      <xdr:row>11</xdr:row>
      <xdr:rowOff>29582</xdr:rowOff>
    </xdr:from>
    <xdr:to>
      <xdr:col>20</xdr:col>
      <xdr:colOff>39892</xdr:colOff>
      <xdr:row>11</xdr:row>
      <xdr:rowOff>334382</xdr:rowOff>
    </xdr:to>
    <xdr:sp macro="" textlink="">
      <xdr:nvSpPr>
        <xdr:cNvPr id="39" name="NGADD_FOLD_1">
          <a:extLst>
            <a:ext uri="{FF2B5EF4-FFF2-40B4-BE49-F238E27FC236}">
              <a16:creationId xmlns:a16="http://schemas.microsoft.com/office/drawing/2014/main" id="{4BA0DD28-BC2E-C67C-24AE-2ADC11FA2F2B}"/>
            </a:ext>
          </a:extLst>
        </xdr:cNvPr>
        <xdr:cNvSpPr/>
      </xdr:nvSpPr>
      <xdr:spPr>
        <a:xfrm rot="5400000">
          <a:off x="12238242" y="2645782"/>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3637430</xdr:colOff>
      <xdr:row>15</xdr:row>
      <xdr:rowOff>17930</xdr:rowOff>
    </xdr:from>
    <xdr:to>
      <xdr:col>20</xdr:col>
      <xdr:colOff>17930</xdr:colOff>
      <xdr:row>15</xdr:row>
      <xdr:rowOff>322730</xdr:rowOff>
    </xdr:to>
    <xdr:sp macro="" textlink="">
      <xdr:nvSpPr>
        <xdr:cNvPr id="40" name="NGADD_FOLD_2">
          <a:extLst>
            <a:ext uri="{FF2B5EF4-FFF2-40B4-BE49-F238E27FC236}">
              <a16:creationId xmlns:a16="http://schemas.microsoft.com/office/drawing/2014/main" id="{8160B92C-D198-207F-5E90-42EED4E49C8A}"/>
            </a:ext>
          </a:extLst>
        </xdr:cNvPr>
        <xdr:cNvSpPr/>
      </xdr:nvSpPr>
      <xdr:spPr>
        <a:xfrm rot="5400000">
          <a:off x="12216280" y="3732680"/>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3637429</xdr:colOff>
      <xdr:row>24</xdr:row>
      <xdr:rowOff>43543</xdr:rowOff>
    </xdr:from>
    <xdr:to>
      <xdr:col>20</xdr:col>
      <xdr:colOff>17929</xdr:colOff>
      <xdr:row>24</xdr:row>
      <xdr:rowOff>348343</xdr:rowOff>
    </xdr:to>
    <xdr:sp macro="" textlink="">
      <xdr:nvSpPr>
        <xdr:cNvPr id="41" name="NGADD_FOLD_3">
          <a:extLst>
            <a:ext uri="{FF2B5EF4-FFF2-40B4-BE49-F238E27FC236}">
              <a16:creationId xmlns:a16="http://schemas.microsoft.com/office/drawing/2014/main" id="{8D939221-5B64-F4E7-A2AD-300421C3A1DA}"/>
            </a:ext>
          </a:extLst>
        </xdr:cNvPr>
        <xdr:cNvSpPr/>
      </xdr:nvSpPr>
      <xdr:spPr>
        <a:xfrm rot="5400000">
          <a:off x="12216279" y="5968093"/>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19</xdr:col>
      <xdr:colOff>3631537</xdr:colOff>
      <xdr:row>2</xdr:row>
      <xdr:rowOff>160979</xdr:rowOff>
    </xdr:from>
    <xdr:to>
      <xdr:col>20</xdr:col>
      <xdr:colOff>12037</xdr:colOff>
      <xdr:row>3</xdr:row>
      <xdr:rowOff>237179</xdr:rowOff>
    </xdr:to>
    <xdr:sp macro="" textlink="">
      <xdr:nvSpPr>
        <xdr:cNvPr id="42" name="NGADD_FOLD_4">
          <a:extLst>
            <a:ext uri="{FF2B5EF4-FFF2-40B4-BE49-F238E27FC236}">
              <a16:creationId xmlns:a16="http://schemas.microsoft.com/office/drawing/2014/main" id="{40087811-A4D4-FD9B-348C-0DD950CD022E}"/>
            </a:ext>
          </a:extLst>
        </xdr:cNvPr>
        <xdr:cNvSpPr/>
      </xdr:nvSpPr>
      <xdr:spPr>
        <a:xfrm rot="5400000">
          <a:off x="12210387" y="592779"/>
          <a:ext cx="304800" cy="304800"/>
        </a:xfrm>
        <a:prstGeom prst="rtTriangle">
          <a:avLst/>
        </a:prstGeom>
        <a:solidFill>
          <a:srgbClr val="D9A441"/>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ssaha\Downloads\Beta_3_2_UPDATED.xlsm" TargetMode="External"/><Relationship Id="rId1" Type="http://schemas.openxmlformats.org/officeDocument/2006/relationships/externalLinkPath" Target="file:///C:\Users\ssaha\Downloads\Beta_3_2_UPDAT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Backend_Settings"/>
      <sheetName val="ConsolidatedData"/>
      <sheetName val="Audit_Log"/>
      <sheetName val="Sheet7"/>
      <sheetName val="Rule_DB"/>
      <sheetName val="Program_Library"/>
      <sheetName val="Template_DB"/>
      <sheetName val="Language_Bits"/>
      <sheetName val="Search Matrix"/>
    </sheetNames>
    <sheetDataSet>
      <sheetData sheetId="0"/>
      <sheetData sheetId="1"/>
      <sheetData sheetId="2"/>
      <sheetData sheetId="3"/>
      <sheetData sheetId="4">
        <row r="8">
          <cell r="D8" t="str">
            <v>Wise</v>
          </cell>
          <cell r="E8" t="str">
            <v>Wise</v>
          </cell>
        </row>
        <row r="9">
          <cell r="D9" t="str">
            <v>Fluz</v>
          </cell>
          <cell r="E9" t="str">
            <v>Airwallex</v>
          </cell>
        </row>
        <row r="10">
          <cell r="D10" t="str">
            <v>Crypto</v>
          </cell>
          <cell r="E10" t="str">
            <v>Common</v>
          </cell>
        </row>
      </sheetData>
      <sheetData sheetId="5"/>
      <sheetData sheetId="6"/>
      <sheetData sheetId="7"/>
      <sheetData sheetId="8"/>
      <sheetData sheetId="9"/>
    </sheetDataSet>
  </externalBook>
</externalLink>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oogle.com/search?q=%22Flipkart%22+AND+%28arrest+OR+corruption+OR+sentencing+OR+money+laundering+OR+AML+OR+launder+OR+embezzle+OR+evas+OR+evad+OR+crime+OR+corrupt+OR+bribe+OR+theft+OR+extort+OR+drug+OR+traffic+OR+trafficking+OR+felony+OR+sanction+OR+counterfeit+OR+terror%29&amp;num=100&amp;hl=en" TargetMode="External"/><Relationship Id="rId3" Type="http://schemas.openxmlformats.org/officeDocument/2006/relationships/hyperlink" Target="https://www.google.com/search?q=%22Steeve+Tremblay%22+AND+%28arrest+OR+corruption+OR+sentencing+OR+money+laundering+OR+AML+OR+launder+OR+embezzle+OR+evas+OR+evad+OR+crime+OR+corrupt+OR+bribe+OR+theft+OR+extort+OR+drug+OR+traffic+OR+trafficking+OR+felony+OR+sanction+OR+counterfeit+OR+terror%29&amp;num=100&amp;hl=en&amp;start=100" TargetMode="External"/><Relationship Id="rId7" Type="http://schemas.openxmlformats.org/officeDocument/2006/relationships/hyperlink" Target="https://www.google.com/search?q=Flipkart&amp;num=100&amp;hl=en" TargetMode="External"/><Relationship Id="rId2" Type="http://schemas.openxmlformats.org/officeDocument/2006/relationships/hyperlink" Target="https://www.google.com/search?q=%22Steeve+Tremblay%22+AND+%28arrest+OR+corruption+OR+sentencing+OR+money+laundering+OR+AML+OR+launder+OR+embezzle+OR+evas+OR+evad+OR+crime+OR+corrupt+OR+bribe+OR+theft+OR+extort+OR+drug+OR+traffic+OR+trafficking+OR+felony+OR+sanction+OR+counterfeit+OR+terror%29&amp;num=100&amp;hl=en" TargetMode="External"/><Relationship Id="rId1" Type="http://schemas.openxmlformats.org/officeDocument/2006/relationships/hyperlink" Target="https://www.google.com/search?q=Steeve+Tremblay&amp;num=100&amp;hl=en" TargetMode="External"/><Relationship Id="rId6" Type="http://schemas.openxmlformats.org/officeDocument/2006/relationships/hyperlink" Target="https://www.google.com/search?q=%22Amazon%22+AND+%28arrest+OR+corruption+OR+sentencing+OR+money+laundering+OR+AML+OR+launder+OR+embezzle+OR+evas+OR+evad+OR+crime+OR+corrupt+OR+bribe+OR+theft+OR+extort+OR+drug+OR+traffic+OR+trafficking+OR+felony+OR+sanction+OR+counterfeit+OR+terror%29&amp;num=100&amp;hl=en&amp;start=100" TargetMode="External"/><Relationship Id="rId5" Type="http://schemas.openxmlformats.org/officeDocument/2006/relationships/hyperlink" Target="https://www.google.com/search?q=%22Amazon%22+AND+%28arrest+OR+corruption+OR+sentencing+OR+money+laundering+OR+AML+OR+launder+OR+embezzle+OR+evas+OR+evad+OR+crime+OR+corrupt+OR+bribe+OR+theft+OR+extort+OR+drug+OR+traffic+OR+trafficking+OR+felony+OR+sanction+OR+counterfeit+OR+terror%29&amp;num=100&amp;hl=en" TargetMode="External"/><Relationship Id="rId4" Type="http://schemas.openxmlformats.org/officeDocument/2006/relationships/hyperlink" Target="https://www.google.com/search?q=Amazon&amp;num=100&amp;hl=en" TargetMode="External"/><Relationship Id="rId9" Type="http://schemas.openxmlformats.org/officeDocument/2006/relationships/hyperlink" Target="https://www.google.com/search?q=%22Flipkart%22+AND+%28arrest+OR+corruption+OR+sentencing+OR+money+laundering+OR+AML+OR+launder+OR+embezzle+OR+evas+OR+evad+OR+crime+OR+corrupt+OR+bribe+OR+theft+OR+extort+OR+drug+OR+traffic+OR+trafficking+OR+felony+OR+sanction+OR+counterfeit+OR+terror%29&amp;num=100&amp;hl=en&amp;start=100"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leatherback.co/" TargetMode="External"/><Relationship Id="rId2" Type="http://schemas.openxmlformats.org/officeDocument/2006/relationships/hyperlink" Target="https://www.ipaylinks.com/" TargetMode="External"/><Relationship Id="rId1" Type="http://schemas.openxmlformats.org/officeDocument/2006/relationships/hyperlink" Target="https://euroexchange.uk/" TargetMode="External"/><Relationship Id="rId5" Type="http://schemas.openxmlformats.org/officeDocument/2006/relationships/hyperlink" Target="http://www.skrill.com/" TargetMode="External"/><Relationship Id="rId4" Type="http://schemas.openxmlformats.org/officeDocument/2006/relationships/hyperlink" Target="https://www.pandaremit.com/en/usa/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F21D3-325A-4069-81FC-EA8FCC9AA5CE}">
  <sheetPr codeName="Sheet12"/>
  <dimension ref="A1"/>
  <sheetViews>
    <sheetView workbookViewId="0"/>
  </sheetViews>
  <sheetFormatPr defaultRowHeight="14.5" x14ac:dyDescent="0.3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91073-6FE8-425D-95B0-5F875E1008E1}">
  <sheetPr codeName="Sheet13"/>
  <dimension ref="A1:K870"/>
  <sheetViews>
    <sheetView workbookViewId="0"/>
  </sheetViews>
  <sheetFormatPr defaultRowHeight="14.5" x14ac:dyDescent="0.35"/>
  <sheetData>
    <row r="1" spans="1:11" x14ac:dyDescent="0.35">
      <c r="A1" t="s">
        <v>1927</v>
      </c>
      <c r="B1">
        <v>-4142</v>
      </c>
      <c r="C1">
        <v>16777215</v>
      </c>
      <c r="D1">
        <v>0</v>
      </c>
      <c r="G1" t="s">
        <v>2797</v>
      </c>
      <c r="H1">
        <v>23.65716552734375</v>
      </c>
      <c r="I1">
        <v>535.65234375</v>
      </c>
      <c r="J1">
        <v>29.117244720458984</v>
      </c>
      <c r="K1">
        <v>28.347637176513672</v>
      </c>
    </row>
    <row r="2" spans="1:11" x14ac:dyDescent="0.35">
      <c r="A2" t="s">
        <v>1928</v>
      </c>
      <c r="B2">
        <v>-4142</v>
      </c>
      <c r="C2">
        <v>16777215</v>
      </c>
      <c r="D2">
        <v>0</v>
      </c>
      <c r="G2" t="s">
        <v>2797</v>
      </c>
      <c r="H2">
        <v>23.65716552734375</v>
      </c>
      <c r="I2">
        <v>535.65234375</v>
      </c>
      <c r="J2">
        <v>29.117244720458984</v>
      </c>
      <c r="K2">
        <v>28.347637176513672</v>
      </c>
    </row>
    <row r="3" spans="1:11" x14ac:dyDescent="0.35">
      <c r="A3" t="s">
        <v>1929</v>
      </c>
      <c r="B3">
        <v>-4142</v>
      </c>
      <c r="C3">
        <v>16777215</v>
      </c>
      <c r="D3">
        <v>0</v>
      </c>
      <c r="G3" t="s">
        <v>2797</v>
      </c>
      <c r="H3">
        <v>23.65716552734375</v>
      </c>
      <c r="I3">
        <v>535.65234375</v>
      </c>
      <c r="J3">
        <v>29.117244720458984</v>
      </c>
      <c r="K3">
        <v>28.347637176513672</v>
      </c>
    </row>
    <row r="4" spans="1:11" x14ac:dyDescent="0.35">
      <c r="A4" t="s">
        <v>1930</v>
      </c>
      <c r="B4">
        <v>-4142</v>
      </c>
      <c r="C4">
        <v>16777215</v>
      </c>
      <c r="D4">
        <v>0</v>
      </c>
      <c r="G4" t="s">
        <v>2797</v>
      </c>
      <c r="H4">
        <v>23.65716552734375</v>
      </c>
      <c r="I4">
        <v>535.65234375</v>
      </c>
      <c r="J4">
        <v>29.117244720458984</v>
      </c>
      <c r="K4">
        <v>28.347637176513672</v>
      </c>
    </row>
    <row r="5" spans="1:11" x14ac:dyDescent="0.35">
      <c r="A5" t="s">
        <v>1931</v>
      </c>
      <c r="B5">
        <v>-4142</v>
      </c>
      <c r="C5">
        <v>16777215</v>
      </c>
      <c r="D5">
        <v>0</v>
      </c>
      <c r="G5" t="s">
        <v>2797</v>
      </c>
      <c r="H5">
        <v>23.65716552734375</v>
      </c>
      <c r="I5">
        <v>535.65234375</v>
      </c>
      <c r="J5">
        <v>29.117244720458984</v>
      </c>
      <c r="K5">
        <v>28.347637176513672</v>
      </c>
    </row>
    <row r="6" spans="1:11" x14ac:dyDescent="0.35">
      <c r="A6" t="s">
        <v>1932</v>
      </c>
      <c r="B6">
        <v>-4142</v>
      </c>
      <c r="C6">
        <v>16777215</v>
      </c>
      <c r="D6">
        <v>0</v>
      </c>
      <c r="G6" t="s">
        <v>2798</v>
      </c>
      <c r="H6">
        <v>18.85700798034668</v>
      </c>
      <c r="I6">
        <v>3.4287402629852295</v>
      </c>
      <c r="J6">
        <v>958.80682373046875</v>
      </c>
      <c r="K6">
        <v>30.119291305541992</v>
      </c>
    </row>
    <row r="7" spans="1:11" x14ac:dyDescent="0.35">
      <c r="A7" t="s">
        <v>1933</v>
      </c>
      <c r="B7">
        <v>-4142</v>
      </c>
      <c r="C7">
        <v>16777215</v>
      </c>
      <c r="D7">
        <v>0</v>
      </c>
      <c r="G7" t="s">
        <v>2799</v>
      </c>
      <c r="H7">
        <v>18.857166290283203</v>
      </c>
      <c r="I7">
        <v>47.714332580566406</v>
      </c>
      <c r="J7">
        <v>161.64283752441406</v>
      </c>
      <c r="K7">
        <v>24.857086181640625</v>
      </c>
    </row>
    <row r="8" spans="1:11" x14ac:dyDescent="0.35">
      <c r="A8" t="s">
        <v>1934</v>
      </c>
      <c r="B8">
        <v>-4142</v>
      </c>
      <c r="C8">
        <v>16777215</v>
      </c>
      <c r="D8">
        <v>0</v>
      </c>
      <c r="G8" t="s">
        <v>2800</v>
      </c>
      <c r="H8">
        <v>33.917636871337891</v>
      </c>
      <c r="I8">
        <v>97.282676696777344</v>
      </c>
      <c r="J8">
        <v>135.5</v>
      </c>
      <c r="K8">
        <v>28.799999237060547</v>
      </c>
    </row>
    <row r="9" spans="1:11" x14ac:dyDescent="0.35">
      <c r="A9" t="s">
        <v>1935</v>
      </c>
      <c r="B9">
        <v>-4142</v>
      </c>
      <c r="C9">
        <v>16777215</v>
      </c>
      <c r="D9">
        <v>0</v>
      </c>
      <c r="G9" t="s">
        <v>2801</v>
      </c>
      <c r="H9">
        <v>33.771415710449219</v>
      </c>
      <c r="I9">
        <v>140.85110473632813</v>
      </c>
      <c r="J9">
        <v>135.5</v>
      </c>
      <c r="K9">
        <v>28.799999237060547</v>
      </c>
    </row>
    <row r="10" spans="1:11" x14ac:dyDescent="0.35">
      <c r="A10" t="s">
        <v>1936</v>
      </c>
      <c r="B10">
        <v>-4142</v>
      </c>
      <c r="C10">
        <v>16777215</v>
      </c>
      <c r="D10">
        <v>0</v>
      </c>
      <c r="G10" t="s">
        <v>2802</v>
      </c>
      <c r="H10">
        <v>32.571418762207031</v>
      </c>
      <c r="I10">
        <v>186.53652954101563</v>
      </c>
      <c r="J10">
        <v>135.5</v>
      </c>
      <c r="K10">
        <v>28.799999237060547</v>
      </c>
    </row>
    <row r="11" spans="1:11" x14ac:dyDescent="0.35">
      <c r="A11" t="s">
        <v>1937</v>
      </c>
      <c r="B11">
        <v>-4142</v>
      </c>
      <c r="C11">
        <v>16777215</v>
      </c>
      <c r="D11">
        <v>0</v>
      </c>
      <c r="G11" t="s">
        <v>2803</v>
      </c>
      <c r="H11">
        <v>32.400077819824219</v>
      </c>
      <c r="I11">
        <v>230.42228698730469</v>
      </c>
      <c r="J11">
        <v>135.5</v>
      </c>
      <c r="K11">
        <v>28.899999618530273</v>
      </c>
    </row>
    <row r="12" spans="1:11" x14ac:dyDescent="0.35">
      <c r="A12" t="s">
        <v>1938</v>
      </c>
      <c r="B12">
        <v>-4142</v>
      </c>
      <c r="C12">
        <v>16777215</v>
      </c>
      <c r="D12">
        <v>0</v>
      </c>
      <c r="G12" t="s">
        <v>2804</v>
      </c>
      <c r="H12">
        <v>18.311574935913086</v>
      </c>
      <c r="I12">
        <v>305.5909423828125</v>
      </c>
      <c r="J12">
        <v>161.64283752441406</v>
      </c>
      <c r="K12">
        <v>25.357086181640625</v>
      </c>
    </row>
    <row r="13" spans="1:11" x14ac:dyDescent="0.35">
      <c r="A13" t="s">
        <v>1939</v>
      </c>
      <c r="B13">
        <v>-4142</v>
      </c>
      <c r="C13">
        <v>16777215</v>
      </c>
      <c r="D13">
        <v>0</v>
      </c>
      <c r="G13" t="s">
        <v>2805</v>
      </c>
      <c r="H13">
        <v>32.025905609130859</v>
      </c>
      <c r="I13">
        <v>356.02615356445313</v>
      </c>
      <c r="J13">
        <v>135.41424560546875</v>
      </c>
      <c r="K13">
        <v>29.15716552734375</v>
      </c>
    </row>
    <row r="14" spans="1:11" x14ac:dyDescent="0.35">
      <c r="A14" t="s">
        <v>1940</v>
      </c>
      <c r="B14">
        <v>-4142</v>
      </c>
      <c r="C14">
        <v>16777215</v>
      </c>
      <c r="D14">
        <v>0</v>
      </c>
      <c r="G14" t="s">
        <v>2806</v>
      </c>
      <c r="H14">
        <v>32.025905609130859</v>
      </c>
      <c r="I14">
        <v>401.21188354492188</v>
      </c>
      <c r="J14">
        <v>135.41424560546875</v>
      </c>
      <c r="K14">
        <v>28.799999237060547</v>
      </c>
    </row>
    <row r="15" spans="1:11" x14ac:dyDescent="0.35">
      <c r="A15" t="s">
        <v>1941</v>
      </c>
      <c r="B15">
        <v>-4142</v>
      </c>
      <c r="C15">
        <v>16777215</v>
      </c>
      <c r="D15">
        <v>0</v>
      </c>
      <c r="G15" t="s">
        <v>2807</v>
      </c>
      <c r="H15">
        <v>32.025905609130859</v>
      </c>
      <c r="I15">
        <v>445.44046020507813</v>
      </c>
      <c r="J15">
        <v>135.41424560546875</v>
      </c>
      <c r="K15">
        <v>28.799999237060547</v>
      </c>
    </row>
    <row r="16" spans="1:11" x14ac:dyDescent="0.35">
      <c r="A16" t="s">
        <v>1942</v>
      </c>
      <c r="B16">
        <v>-4142</v>
      </c>
      <c r="C16">
        <v>16777215</v>
      </c>
      <c r="D16">
        <v>0</v>
      </c>
      <c r="G16" t="s">
        <v>2808</v>
      </c>
      <c r="H16">
        <v>32.711654663085938</v>
      </c>
      <c r="I16">
        <v>488.38330078125</v>
      </c>
      <c r="J16">
        <v>135.41424560546875</v>
      </c>
      <c r="K16">
        <v>28.585748672485352</v>
      </c>
    </row>
    <row r="17" spans="1:11" x14ac:dyDescent="0.35">
      <c r="A17" t="s">
        <v>1943</v>
      </c>
      <c r="B17">
        <v>-4142</v>
      </c>
      <c r="C17">
        <v>16777215</v>
      </c>
      <c r="D17">
        <v>0</v>
      </c>
      <c r="G17" t="s">
        <v>2809</v>
      </c>
      <c r="H17">
        <v>50.833305358886719</v>
      </c>
      <c r="I17">
        <v>0</v>
      </c>
      <c r="J17">
        <v>29.166614532470703</v>
      </c>
      <c r="K17">
        <v>29.499921798706055</v>
      </c>
    </row>
    <row r="18" spans="1:11" x14ac:dyDescent="0.35">
      <c r="A18" t="s">
        <v>1944</v>
      </c>
      <c r="B18">
        <v>-4142</v>
      </c>
      <c r="C18">
        <v>16777215</v>
      </c>
      <c r="D18">
        <v>0</v>
      </c>
      <c r="G18" t="s">
        <v>2810</v>
      </c>
      <c r="H18">
        <v>980.16668701171875</v>
      </c>
      <c r="I18">
        <v>91.166610717773438</v>
      </c>
      <c r="J18">
        <v>71.833305358886719</v>
      </c>
      <c r="K18">
        <v>71.166694641113281</v>
      </c>
    </row>
    <row r="19" spans="1:11" x14ac:dyDescent="0.35">
      <c r="A19" t="s">
        <v>1945</v>
      </c>
      <c r="B19">
        <v>-4142</v>
      </c>
      <c r="C19">
        <v>16777215</v>
      </c>
      <c r="D19">
        <v>0</v>
      </c>
    </row>
    <row r="20" spans="1:11" x14ac:dyDescent="0.35">
      <c r="A20" t="s">
        <v>1946</v>
      </c>
      <c r="B20">
        <v>-4142</v>
      </c>
      <c r="C20">
        <v>16777215</v>
      </c>
      <c r="D20">
        <v>0</v>
      </c>
    </row>
    <row r="21" spans="1:11" x14ac:dyDescent="0.35">
      <c r="A21" t="s">
        <v>1947</v>
      </c>
      <c r="B21">
        <v>-4142</v>
      </c>
      <c r="C21">
        <v>16777215</v>
      </c>
      <c r="D21">
        <v>0</v>
      </c>
    </row>
    <row r="22" spans="1:11" x14ac:dyDescent="0.35">
      <c r="A22" t="s">
        <v>2536</v>
      </c>
      <c r="B22">
        <v>-4142</v>
      </c>
      <c r="C22">
        <v>16777215</v>
      </c>
      <c r="D22">
        <v>0</v>
      </c>
    </row>
    <row r="23" spans="1:11" x14ac:dyDescent="0.35">
      <c r="A23" t="s">
        <v>2537</v>
      </c>
      <c r="B23">
        <v>-4142</v>
      </c>
      <c r="C23">
        <v>16777215</v>
      </c>
      <c r="D23">
        <v>0</v>
      </c>
    </row>
    <row r="24" spans="1:11" x14ac:dyDescent="0.35">
      <c r="A24" t="s">
        <v>2538</v>
      </c>
      <c r="B24">
        <v>-4142</v>
      </c>
      <c r="C24">
        <v>16777215</v>
      </c>
      <c r="D24">
        <v>0</v>
      </c>
    </row>
    <row r="25" spans="1:11" x14ac:dyDescent="0.35">
      <c r="A25" t="s">
        <v>2539</v>
      </c>
      <c r="B25">
        <v>-4142</v>
      </c>
      <c r="C25">
        <v>16777215</v>
      </c>
      <c r="D25">
        <v>0</v>
      </c>
    </row>
    <row r="26" spans="1:11" x14ac:dyDescent="0.35">
      <c r="A26" t="s">
        <v>2540</v>
      </c>
      <c r="B26">
        <v>-4142</v>
      </c>
      <c r="C26">
        <v>16777215</v>
      </c>
      <c r="D26">
        <v>0</v>
      </c>
    </row>
    <row r="27" spans="1:11" x14ac:dyDescent="0.35">
      <c r="A27" t="s">
        <v>2541</v>
      </c>
      <c r="B27">
        <v>-4142</v>
      </c>
      <c r="C27">
        <v>16777215</v>
      </c>
      <c r="D27">
        <v>0</v>
      </c>
    </row>
    <row r="28" spans="1:11" x14ac:dyDescent="0.35">
      <c r="A28" t="s">
        <v>2542</v>
      </c>
      <c r="B28">
        <v>-4142</v>
      </c>
      <c r="C28">
        <v>16777215</v>
      </c>
      <c r="D28">
        <v>0</v>
      </c>
    </row>
    <row r="29" spans="1:11" x14ac:dyDescent="0.35">
      <c r="A29" t="s">
        <v>2543</v>
      </c>
      <c r="B29">
        <v>-4142</v>
      </c>
      <c r="C29">
        <v>16777215</v>
      </c>
      <c r="D29">
        <v>0</v>
      </c>
    </row>
    <row r="30" spans="1:11" x14ac:dyDescent="0.35">
      <c r="A30" t="s">
        <v>1948</v>
      </c>
      <c r="B30">
        <v>-4142</v>
      </c>
      <c r="C30">
        <v>16777215</v>
      </c>
      <c r="D30">
        <v>0</v>
      </c>
    </row>
    <row r="31" spans="1:11" x14ac:dyDescent="0.35">
      <c r="A31" t="s">
        <v>1949</v>
      </c>
      <c r="B31">
        <v>-4142</v>
      </c>
      <c r="C31">
        <v>16777215</v>
      </c>
      <c r="D31">
        <v>0</v>
      </c>
    </row>
    <row r="32" spans="1:11" x14ac:dyDescent="0.35">
      <c r="A32" t="s">
        <v>1950</v>
      </c>
      <c r="B32">
        <v>-4142</v>
      </c>
      <c r="C32">
        <v>16777215</v>
      </c>
      <c r="D32">
        <v>0</v>
      </c>
    </row>
    <row r="33" spans="1:4" x14ac:dyDescent="0.35">
      <c r="A33" t="s">
        <v>1951</v>
      </c>
      <c r="B33">
        <v>-4142</v>
      </c>
      <c r="C33">
        <v>16777215</v>
      </c>
      <c r="D33">
        <v>0</v>
      </c>
    </row>
    <row r="34" spans="1:4" x14ac:dyDescent="0.35">
      <c r="A34" t="s">
        <v>1952</v>
      </c>
      <c r="B34">
        <v>-4142</v>
      </c>
      <c r="C34">
        <v>16777215</v>
      </c>
      <c r="D34">
        <v>0</v>
      </c>
    </row>
    <row r="35" spans="1:4" x14ac:dyDescent="0.35">
      <c r="A35" t="s">
        <v>1953</v>
      </c>
      <c r="B35">
        <v>-4142</v>
      </c>
      <c r="C35">
        <v>16777215</v>
      </c>
      <c r="D35">
        <v>0</v>
      </c>
    </row>
    <row r="36" spans="1:4" x14ac:dyDescent="0.35">
      <c r="A36" t="s">
        <v>1954</v>
      </c>
      <c r="B36">
        <v>-4142</v>
      </c>
      <c r="C36">
        <v>16777215</v>
      </c>
      <c r="D36">
        <v>0</v>
      </c>
    </row>
    <row r="37" spans="1:4" x14ac:dyDescent="0.35">
      <c r="A37" t="s">
        <v>1955</v>
      </c>
      <c r="B37">
        <v>-4142</v>
      </c>
      <c r="C37">
        <v>16777215</v>
      </c>
      <c r="D37">
        <v>0</v>
      </c>
    </row>
    <row r="38" spans="1:4" x14ac:dyDescent="0.35">
      <c r="A38" t="s">
        <v>1956</v>
      </c>
      <c r="B38">
        <v>-4142</v>
      </c>
      <c r="C38">
        <v>16777215</v>
      </c>
      <c r="D38">
        <v>0</v>
      </c>
    </row>
    <row r="39" spans="1:4" x14ac:dyDescent="0.35">
      <c r="A39" t="s">
        <v>1957</v>
      </c>
      <c r="B39">
        <v>-4142</v>
      </c>
      <c r="C39">
        <v>16777215</v>
      </c>
      <c r="D39">
        <v>0</v>
      </c>
    </row>
    <row r="40" spans="1:4" x14ac:dyDescent="0.35">
      <c r="A40" t="s">
        <v>1958</v>
      </c>
      <c r="B40">
        <v>-4142</v>
      </c>
      <c r="C40">
        <v>16777215</v>
      </c>
      <c r="D40">
        <v>0</v>
      </c>
    </row>
    <row r="41" spans="1:4" x14ac:dyDescent="0.35">
      <c r="A41" t="s">
        <v>1959</v>
      </c>
      <c r="B41">
        <v>-4142</v>
      </c>
      <c r="C41">
        <v>16777215</v>
      </c>
      <c r="D41">
        <v>0</v>
      </c>
    </row>
    <row r="42" spans="1:4" x14ac:dyDescent="0.35">
      <c r="A42" t="s">
        <v>1960</v>
      </c>
      <c r="B42">
        <v>-4142</v>
      </c>
      <c r="C42">
        <v>16777215</v>
      </c>
      <c r="D42">
        <v>0</v>
      </c>
    </row>
    <row r="43" spans="1:4" x14ac:dyDescent="0.35">
      <c r="A43" t="s">
        <v>1961</v>
      </c>
      <c r="B43">
        <v>-4142</v>
      </c>
      <c r="C43">
        <v>16777215</v>
      </c>
      <c r="D43">
        <v>0</v>
      </c>
    </row>
    <row r="44" spans="1:4" x14ac:dyDescent="0.35">
      <c r="A44" t="s">
        <v>1962</v>
      </c>
      <c r="B44">
        <v>-4142</v>
      </c>
      <c r="C44">
        <v>16777215</v>
      </c>
      <c r="D44">
        <v>0</v>
      </c>
    </row>
    <row r="45" spans="1:4" x14ac:dyDescent="0.35">
      <c r="A45" t="s">
        <v>1963</v>
      </c>
      <c r="B45">
        <v>-4142</v>
      </c>
      <c r="C45">
        <v>16777215</v>
      </c>
      <c r="D45">
        <v>0</v>
      </c>
    </row>
    <row r="46" spans="1:4" x14ac:dyDescent="0.35">
      <c r="A46" t="s">
        <v>1964</v>
      </c>
      <c r="B46">
        <v>-4142</v>
      </c>
      <c r="C46">
        <v>16777215</v>
      </c>
      <c r="D46">
        <v>0</v>
      </c>
    </row>
    <row r="47" spans="1:4" x14ac:dyDescent="0.35">
      <c r="A47" t="s">
        <v>1965</v>
      </c>
      <c r="B47">
        <v>-4142</v>
      </c>
      <c r="C47">
        <v>16777215</v>
      </c>
      <c r="D47">
        <v>0</v>
      </c>
    </row>
    <row r="48" spans="1:4" x14ac:dyDescent="0.35">
      <c r="A48" t="s">
        <v>1966</v>
      </c>
      <c r="B48">
        <v>-4142</v>
      </c>
      <c r="C48">
        <v>16777215</v>
      </c>
      <c r="D48">
        <v>0</v>
      </c>
    </row>
    <row r="49" spans="1:4" x14ac:dyDescent="0.35">
      <c r="A49" t="s">
        <v>1967</v>
      </c>
      <c r="B49">
        <v>-4142</v>
      </c>
      <c r="C49">
        <v>16777215</v>
      </c>
      <c r="D49">
        <v>0</v>
      </c>
    </row>
    <row r="50" spans="1:4" x14ac:dyDescent="0.35">
      <c r="A50" t="s">
        <v>1968</v>
      </c>
      <c r="B50">
        <v>-4142</v>
      </c>
      <c r="C50">
        <v>16777215</v>
      </c>
      <c r="D50">
        <v>0</v>
      </c>
    </row>
    <row r="51" spans="1:4" x14ac:dyDescent="0.35">
      <c r="A51" t="s">
        <v>2544</v>
      </c>
      <c r="B51">
        <v>-4142</v>
      </c>
      <c r="C51">
        <v>16777215</v>
      </c>
      <c r="D51">
        <v>0</v>
      </c>
    </row>
    <row r="52" spans="1:4" x14ac:dyDescent="0.35">
      <c r="A52" t="s">
        <v>2545</v>
      </c>
      <c r="B52">
        <v>-4142</v>
      </c>
      <c r="C52">
        <v>16777215</v>
      </c>
      <c r="D52">
        <v>0</v>
      </c>
    </row>
    <row r="53" spans="1:4" x14ac:dyDescent="0.35">
      <c r="A53" t="s">
        <v>2546</v>
      </c>
      <c r="B53">
        <v>-4142</v>
      </c>
      <c r="C53">
        <v>16777215</v>
      </c>
      <c r="D53">
        <v>0</v>
      </c>
    </row>
    <row r="54" spans="1:4" x14ac:dyDescent="0.35">
      <c r="A54" t="s">
        <v>2547</v>
      </c>
      <c r="B54">
        <v>-4142</v>
      </c>
      <c r="C54">
        <v>16777215</v>
      </c>
      <c r="D54">
        <v>0</v>
      </c>
    </row>
    <row r="55" spans="1:4" x14ac:dyDescent="0.35">
      <c r="A55" t="s">
        <v>2548</v>
      </c>
      <c r="B55">
        <v>-4142</v>
      </c>
      <c r="C55">
        <v>16777215</v>
      </c>
      <c r="D55">
        <v>0</v>
      </c>
    </row>
    <row r="56" spans="1:4" x14ac:dyDescent="0.35">
      <c r="A56" t="s">
        <v>2549</v>
      </c>
      <c r="B56">
        <v>-4142</v>
      </c>
      <c r="C56">
        <v>16777215</v>
      </c>
      <c r="D56">
        <v>0</v>
      </c>
    </row>
    <row r="57" spans="1:4" x14ac:dyDescent="0.35">
      <c r="A57" t="s">
        <v>2550</v>
      </c>
      <c r="B57">
        <v>-4142</v>
      </c>
      <c r="C57">
        <v>16777215</v>
      </c>
      <c r="D57">
        <v>0</v>
      </c>
    </row>
    <row r="58" spans="1:4" x14ac:dyDescent="0.35">
      <c r="A58" t="s">
        <v>2551</v>
      </c>
      <c r="B58">
        <v>-4142</v>
      </c>
      <c r="C58">
        <v>16777215</v>
      </c>
      <c r="D58">
        <v>0</v>
      </c>
    </row>
    <row r="59" spans="1:4" x14ac:dyDescent="0.35">
      <c r="A59" t="s">
        <v>1969</v>
      </c>
      <c r="B59">
        <v>-4142</v>
      </c>
      <c r="C59">
        <v>16777215</v>
      </c>
      <c r="D59">
        <v>0</v>
      </c>
    </row>
    <row r="60" spans="1:4" x14ac:dyDescent="0.35">
      <c r="A60" t="s">
        <v>1970</v>
      </c>
      <c r="B60">
        <v>-4142</v>
      </c>
      <c r="C60">
        <v>16777215</v>
      </c>
      <c r="D60">
        <v>0</v>
      </c>
    </row>
    <row r="61" spans="1:4" x14ac:dyDescent="0.35">
      <c r="A61" t="s">
        <v>1971</v>
      </c>
      <c r="B61">
        <v>-4142</v>
      </c>
      <c r="C61">
        <v>16777215</v>
      </c>
      <c r="D61">
        <v>0</v>
      </c>
    </row>
    <row r="62" spans="1:4" x14ac:dyDescent="0.35">
      <c r="A62" t="s">
        <v>1972</v>
      </c>
      <c r="B62">
        <v>-4142</v>
      </c>
      <c r="C62">
        <v>16777215</v>
      </c>
      <c r="D62">
        <v>0</v>
      </c>
    </row>
    <row r="63" spans="1:4" x14ac:dyDescent="0.35">
      <c r="A63" t="s">
        <v>1973</v>
      </c>
      <c r="B63">
        <v>-4142</v>
      </c>
      <c r="C63">
        <v>16777215</v>
      </c>
      <c r="D63">
        <v>0</v>
      </c>
    </row>
    <row r="64" spans="1:4" x14ac:dyDescent="0.35">
      <c r="A64" t="s">
        <v>1974</v>
      </c>
      <c r="B64">
        <v>-4142</v>
      </c>
      <c r="C64">
        <v>16777215</v>
      </c>
      <c r="D64">
        <v>0</v>
      </c>
    </row>
    <row r="65" spans="1:4" x14ac:dyDescent="0.35">
      <c r="A65" t="s">
        <v>1975</v>
      </c>
      <c r="B65">
        <v>-4142</v>
      </c>
      <c r="C65">
        <v>16777215</v>
      </c>
      <c r="D65">
        <v>0</v>
      </c>
    </row>
    <row r="66" spans="1:4" x14ac:dyDescent="0.35">
      <c r="A66" t="s">
        <v>1976</v>
      </c>
      <c r="B66">
        <v>-4142</v>
      </c>
      <c r="C66">
        <v>16777215</v>
      </c>
      <c r="D66">
        <v>0</v>
      </c>
    </row>
    <row r="67" spans="1:4" x14ac:dyDescent="0.35">
      <c r="A67" t="s">
        <v>1977</v>
      </c>
      <c r="B67">
        <v>-4142</v>
      </c>
      <c r="C67">
        <v>16777215</v>
      </c>
      <c r="D67">
        <v>0</v>
      </c>
    </row>
    <row r="68" spans="1:4" x14ac:dyDescent="0.35">
      <c r="A68" t="s">
        <v>1978</v>
      </c>
      <c r="B68">
        <v>-4142</v>
      </c>
      <c r="C68">
        <v>16777215</v>
      </c>
      <c r="D68">
        <v>0</v>
      </c>
    </row>
    <row r="69" spans="1:4" x14ac:dyDescent="0.35">
      <c r="A69" t="s">
        <v>1979</v>
      </c>
      <c r="B69">
        <v>-4142</v>
      </c>
      <c r="C69">
        <v>16777215</v>
      </c>
      <c r="D69">
        <v>0</v>
      </c>
    </row>
    <row r="70" spans="1:4" x14ac:dyDescent="0.35">
      <c r="A70" t="s">
        <v>1980</v>
      </c>
      <c r="B70">
        <v>-4142</v>
      </c>
      <c r="C70">
        <v>16777215</v>
      </c>
      <c r="D70">
        <v>0</v>
      </c>
    </row>
    <row r="71" spans="1:4" x14ac:dyDescent="0.35">
      <c r="A71" t="s">
        <v>1981</v>
      </c>
      <c r="B71">
        <v>-4142</v>
      </c>
      <c r="C71">
        <v>16777215</v>
      </c>
      <c r="D71">
        <v>0</v>
      </c>
    </row>
    <row r="72" spans="1:4" x14ac:dyDescent="0.35">
      <c r="A72" t="s">
        <v>1982</v>
      </c>
      <c r="B72">
        <v>-4142</v>
      </c>
      <c r="C72">
        <v>16777215</v>
      </c>
      <c r="D72">
        <v>0</v>
      </c>
    </row>
    <row r="73" spans="1:4" x14ac:dyDescent="0.35">
      <c r="A73" t="s">
        <v>1983</v>
      </c>
      <c r="B73">
        <v>-4142</v>
      </c>
      <c r="C73">
        <v>16777215</v>
      </c>
      <c r="D73">
        <v>0</v>
      </c>
    </row>
    <row r="74" spans="1:4" x14ac:dyDescent="0.35">
      <c r="A74" t="s">
        <v>1984</v>
      </c>
      <c r="B74">
        <v>-4142</v>
      </c>
      <c r="C74">
        <v>16777215</v>
      </c>
      <c r="D74">
        <v>0</v>
      </c>
    </row>
    <row r="75" spans="1:4" x14ac:dyDescent="0.35">
      <c r="A75" t="s">
        <v>1985</v>
      </c>
      <c r="B75">
        <v>-4142</v>
      </c>
      <c r="C75">
        <v>16777215</v>
      </c>
      <c r="D75">
        <v>0</v>
      </c>
    </row>
    <row r="76" spans="1:4" x14ac:dyDescent="0.35">
      <c r="A76" t="s">
        <v>1986</v>
      </c>
      <c r="B76">
        <v>-4142</v>
      </c>
      <c r="C76">
        <v>16777215</v>
      </c>
      <c r="D76">
        <v>0</v>
      </c>
    </row>
    <row r="77" spans="1:4" x14ac:dyDescent="0.35">
      <c r="A77" t="s">
        <v>1987</v>
      </c>
      <c r="B77">
        <v>-4142</v>
      </c>
      <c r="C77">
        <v>16777215</v>
      </c>
      <c r="D77">
        <v>0</v>
      </c>
    </row>
    <row r="78" spans="1:4" x14ac:dyDescent="0.35">
      <c r="A78" t="s">
        <v>1988</v>
      </c>
      <c r="B78">
        <v>-4142</v>
      </c>
      <c r="C78">
        <v>16777215</v>
      </c>
      <c r="D78">
        <v>0</v>
      </c>
    </row>
    <row r="79" spans="1:4" x14ac:dyDescent="0.35">
      <c r="A79" t="s">
        <v>1989</v>
      </c>
      <c r="B79">
        <v>-4142</v>
      </c>
      <c r="C79">
        <v>16777215</v>
      </c>
      <c r="D79">
        <v>0</v>
      </c>
    </row>
    <row r="80" spans="1:4" x14ac:dyDescent="0.35">
      <c r="A80" t="s">
        <v>2552</v>
      </c>
      <c r="B80">
        <v>-4142</v>
      </c>
      <c r="C80">
        <v>16777215</v>
      </c>
      <c r="D80">
        <v>0</v>
      </c>
    </row>
    <row r="81" spans="1:4" x14ac:dyDescent="0.35">
      <c r="A81" t="s">
        <v>2553</v>
      </c>
      <c r="B81">
        <v>-4142</v>
      </c>
      <c r="C81">
        <v>16777215</v>
      </c>
      <c r="D81">
        <v>0</v>
      </c>
    </row>
    <row r="82" spans="1:4" x14ac:dyDescent="0.35">
      <c r="A82" t="s">
        <v>2554</v>
      </c>
      <c r="B82">
        <v>-4142</v>
      </c>
      <c r="C82">
        <v>16777215</v>
      </c>
      <c r="D82">
        <v>0</v>
      </c>
    </row>
    <row r="83" spans="1:4" x14ac:dyDescent="0.35">
      <c r="A83" t="s">
        <v>2555</v>
      </c>
      <c r="B83">
        <v>-4142</v>
      </c>
      <c r="C83">
        <v>16777215</v>
      </c>
      <c r="D83">
        <v>0</v>
      </c>
    </row>
    <row r="84" spans="1:4" x14ac:dyDescent="0.35">
      <c r="A84" t="s">
        <v>2556</v>
      </c>
      <c r="B84">
        <v>-4142</v>
      </c>
      <c r="C84">
        <v>16777215</v>
      </c>
      <c r="D84">
        <v>0</v>
      </c>
    </row>
    <row r="85" spans="1:4" x14ac:dyDescent="0.35">
      <c r="A85" t="s">
        <v>2557</v>
      </c>
      <c r="B85">
        <v>-4142</v>
      </c>
      <c r="C85">
        <v>16777215</v>
      </c>
      <c r="D85">
        <v>0</v>
      </c>
    </row>
    <row r="86" spans="1:4" x14ac:dyDescent="0.35">
      <c r="A86" t="s">
        <v>2558</v>
      </c>
      <c r="B86">
        <v>-4142</v>
      </c>
      <c r="C86">
        <v>16777215</v>
      </c>
      <c r="D86">
        <v>0</v>
      </c>
    </row>
    <row r="87" spans="1:4" x14ac:dyDescent="0.35">
      <c r="A87" t="s">
        <v>2559</v>
      </c>
      <c r="B87">
        <v>-4142</v>
      </c>
      <c r="C87">
        <v>16777215</v>
      </c>
      <c r="D87">
        <v>0</v>
      </c>
    </row>
    <row r="88" spans="1:4" x14ac:dyDescent="0.35">
      <c r="A88" t="s">
        <v>1990</v>
      </c>
      <c r="B88">
        <v>-4142</v>
      </c>
      <c r="C88">
        <v>16777215</v>
      </c>
      <c r="D88">
        <v>0</v>
      </c>
    </row>
    <row r="89" spans="1:4" x14ac:dyDescent="0.35">
      <c r="A89" t="s">
        <v>1991</v>
      </c>
      <c r="B89">
        <v>-4142</v>
      </c>
      <c r="C89">
        <v>16777215</v>
      </c>
      <c r="D89">
        <v>16777215</v>
      </c>
    </row>
    <row r="90" spans="1:4" x14ac:dyDescent="0.35">
      <c r="A90" t="s">
        <v>1992</v>
      </c>
      <c r="B90">
        <v>-4142</v>
      </c>
      <c r="C90">
        <v>16777215</v>
      </c>
      <c r="D90">
        <v>16777215</v>
      </c>
    </row>
    <row r="91" spans="1:4" x14ac:dyDescent="0.35">
      <c r="A91" t="s">
        <v>1993</v>
      </c>
      <c r="B91">
        <v>-4142</v>
      </c>
      <c r="C91">
        <v>16777215</v>
      </c>
      <c r="D91">
        <v>16777215</v>
      </c>
    </row>
    <row r="92" spans="1:4" x14ac:dyDescent="0.35">
      <c r="A92" t="s">
        <v>1994</v>
      </c>
      <c r="B92">
        <v>-4142</v>
      </c>
      <c r="C92">
        <v>16777215</v>
      </c>
      <c r="D92">
        <v>16777215</v>
      </c>
    </row>
    <row r="93" spans="1:4" x14ac:dyDescent="0.35">
      <c r="A93" t="s">
        <v>1995</v>
      </c>
      <c r="B93">
        <v>-4142</v>
      </c>
      <c r="C93">
        <v>16777215</v>
      </c>
      <c r="D93">
        <v>0</v>
      </c>
    </row>
    <row r="94" spans="1:4" x14ac:dyDescent="0.35">
      <c r="A94" t="s">
        <v>1996</v>
      </c>
      <c r="B94">
        <v>-4142</v>
      </c>
      <c r="C94">
        <v>16777215</v>
      </c>
      <c r="D94">
        <v>16777215</v>
      </c>
    </row>
    <row r="95" spans="1:4" x14ac:dyDescent="0.35">
      <c r="A95" t="s">
        <v>1997</v>
      </c>
      <c r="B95">
        <v>-4142</v>
      </c>
      <c r="C95">
        <v>16777215</v>
      </c>
      <c r="D95">
        <v>16777215</v>
      </c>
    </row>
    <row r="96" spans="1:4" x14ac:dyDescent="0.35">
      <c r="A96" t="s">
        <v>1998</v>
      </c>
      <c r="B96">
        <v>-4142</v>
      </c>
      <c r="C96">
        <v>16777215</v>
      </c>
      <c r="D96">
        <v>16777215</v>
      </c>
    </row>
    <row r="97" spans="1:4" x14ac:dyDescent="0.35">
      <c r="A97" t="s">
        <v>1999</v>
      </c>
      <c r="B97">
        <v>-4142</v>
      </c>
      <c r="C97">
        <v>16777215</v>
      </c>
      <c r="D97">
        <v>16777215</v>
      </c>
    </row>
    <row r="98" spans="1:4" x14ac:dyDescent="0.35">
      <c r="A98" t="s">
        <v>2000</v>
      </c>
      <c r="B98">
        <v>-4142</v>
      </c>
      <c r="C98">
        <v>16777215</v>
      </c>
      <c r="D98">
        <v>16777215</v>
      </c>
    </row>
    <row r="99" spans="1:4" x14ac:dyDescent="0.35">
      <c r="A99" t="s">
        <v>2001</v>
      </c>
      <c r="B99">
        <v>-4142</v>
      </c>
      <c r="C99">
        <v>16777215</v>
      </c>
      <c r="D99">
        <v>16777215</v>
      </c>
    </row>
    <row r="100" spans="1:4" x14ac:dyDescent="0.35">
      <c r="A100" t="s">
        <v>2002</v>
      </c>
      <c r="B100">
        <v>-4142</v>
      </c>
      <c r="C100">
        <v>16777215</v>
      </c>
      <c r="D100">
        <v>16777215</v>
      </c>
    </row>
    <row r="101" spans="1:4" x14ac:dyDescent="0.35">
      <c r="A101" t="s">
        <v>2003</v>
      </c>
      <c r="B101">
        <v>-4142</v>
      </c>
      <c r="C101">
        <v>16777215</v>
      </c>
      <c r="D101">
        <v>16777215</v>
      </c>
    </row>
    <row r="102" spans="1:4" x14ac:dyDescent="0.35">
      <c r="A102" t="s">
        <v>2004</v>
      </c>
      <c r="B102">
        <v>-4142</v>
      </c>
      <c r="C102">
        <v>16777215</v>
      </c>
      <c r="D102">
        <v>16777215</v>
      </c>
    </row>
    <row r="103" spans="1:4" x14ac:dyDescent="0.35">
      <c r="A103" t="s">
        <v>2005</v>
      </c>
      <c r="B103">
        <v>-4142</v>
      </c>
      <c r="C103">
        <v>16777215</v>
      </c>
      <c r="D103">
        <v>16777215</v>
      </c>
    </row>
    <row r="104" spans="1:4" x14ac:dyDescent="0.35">
      <c r="A104" t="s">
        <v>2006</v>
      </c>
      <c r="B104">
        <v>-4142</v>
      </c>
      <c r="C104">
        <v>16777215</v>
      </c>
      <c r="D104">
        <v>16777215</v>
      </c>
    </row>
    <row r="105" spans="1:4" x14ac:dyDescent="0.35">
      <c r="A105" t="s">
        <v>2007</v>
      </c>
      <c r="B105">
        <v>-4142</v>
      </c>
      <c r="C105">
        <v>16777215</v>
      </c>
      <c r="D105">
        <v>16777215</v>
      </c>
    </row>
    <row r="106" spans="1:4" x14ac:dyDescent="0.35">
      <c r="A106" t="s">
        <v>2008</v>
      </c>
      <c r="B106">
        <v>-4142</v>
      </c>
      <c r="C106">
        <v>16777215</v>
      </c>
      <c r="D106">
        <v>16777215</v>
      </c>
    </row>
    <row r="107" spans="1:4" x14ac:dyDescent="0.35">
      <c r="A107" t="s">
        <v>2009</v>
      </c>
      <c r="B107">
        <v>-4142</v>
      </c>
      <c r="C107">
        <v>16777215</v>
      </c>
      <c r="D107">
        <v>16777215</v>
      </c>
    </row>
    <row r="108" spans="1:4" x14ac:dyDescent="0.35">
      <c r="A108" t="s">
        <v>2010</v>
      </c>
      <c r="B108">
        <v>-4142</v>
      </c>
      <c r="C108">
        <v>16777215</v>
      </c>
      <c r="D108">
        <v>0</v>
      </c>
    </row>
    <row r="109" spans="1:4" x14ac:dyDescent="0.35">
      <c r="A109" t="s">
        <v>2560</v>
      </c>
      <c r="B109">
        <v>-4142</v>
      </c>
      <c r="C109">
        <v>16777215</v>
      </c>
      <c r="D109">
        <v>0</v>
      </c>
    </row>
    <row r="110" spans="1:4" x14ac:dyDescent="0.35">
      <c r="A110" t="s">
        <v>2561</v>
      </c>
      <c r="B110">
        <v>-4142</v>
      </c>
      <c r="C110">
        <v>16777215</v>
      </c>
      <c r="D110">
        <v>0</v>
      </c>
    </row>
    <row r="111" spans="1:4" x14ac:dyDescent="0.35">
      <c r="A111" t="s">
        <v>2562</v>
      </c>
      <c r="B111">
        <v>-4142</v>
      </c>
      <c r="C111">
        <v>16777215</v>
      </c>
      <c r="D111">
        <v>0</v>
      </c>
    </row>
    <row r="112" spans="1:4" x14ac:dyDescent="0.35">
      <c r="A112" t="s">
        <v>2563</v>
      </c>
      <c r="B112">
        <v>-4142</v>
      </c>
      <c r="C112">
        <v>16777215</v>
      </c>
      <c r="D112">
        <v>0</v>
      </c>
    </row>
    <row r="113" spans="1:4" x14ac:dyDescent="0.35">
      <c r="A113" t="s">
        <v>2564</v>
      </c>
      <c r="B113">
        <v>-4142</v>
      </c>
      <c r="C113">
        <v>16777215</v>
      </c>
      <c r="D113">
        <v>0</v>
      </c>
    </row>
    <row r="114" spans="1:4" x14ac:dyDescent="0.35">
      <c r="A114" t="s">
        <v>2565</v>
      </c>
      <c r="B114">
        <v>-4142</v>
      </c>
      <c r="C114">
        <v>16777215</v>
      </c>
      <c r="D114">
        <v>0</v>
      </c>
    </row>
    <row r="115" spans="1:4" x14ac:dyDescent="0.35">
      <c r="A115" t="s">
        <v>2566</v>
      </c>
      <c r="B115">
        <v>-4142</v>
      </c>
      <c r="C115">
        <v>16777215</v>
      </c>
      <c r="D115">
        <v>0</v>
      </c>
    </row>
    <row r="116" spans="1:4" x14ac:dyDescent="0.35">
      <c r="A116" t="s">
        <v>2567</v>
      </c>
      <c r="B116">
        <v>-4142</v>
      </c>
      <c r="C116">
        <v>16777215</v>
      </c>
      <c r="D116">
        <v>0</v>
      </c>
    </row>
    <row r="117" spans="1:4" x14ac:dyDescent="0.35">
      <c r="A117" t="s">
        <v>2011</v>
      </c>
      <c r="B117">
        <v>-4142</v>
      </c>
      <c r="C117">
        <v>16777215</v>
      </c>
      <c r="D117">
        <v>0</v>
      </c>
    </row>
    <row r="118" spans="1:4" x14ac:dyDescent="0.35">
      <c r="A118" t="s">
        <v>2012</v>
      </c>
      <c r="B118">
        <v>-4142</v>
      </c>
      <c r="C118">
        <v>16777215</v>
      </c>
      <c r="D118">
        <v>10053222</v>
      </c>
    </row>
    <row r="119" spans="1:4" x14ac:dyDescent="0.35">
      <c r="A119" t="s">
        <v>2013</v>
      </c>
      <c r="B119">
        <v>-4142</v>
      </c>
      <c r="C119">
        <v>16777215</v>
      </c>
      <c r="D119">
        <v>10053222</v>
      </c>
    </row>
    <row r="120" spans="1:4" x14ac:dyDescent="0.35">
      <c r="A120" t="s">
        <v>2014</v>
      </c>
      <c r="B120">
        <v>-4142</v>
      </c>
      <c r="C120">
        <v>16777215</v>
      </c>
      <c r="D120">
        <v>10053222</v>
      </c>
    </row>
    <row r="121" spans="1:4" x14ac:dyDescent="0.35">
      <c r="A121" t="s">
        <v>2015</v>
      </c>
      <c r="B121">
        <v>-4142</v>
      </c>
      <c r="C121">
        <v>16777215</v>
      </c>
      <c r="D121">
        <v>10053222</v>
      </c>
    </row>
    <row r="122" spans="1:4" x14ac:dyDescent="0.35">
      <c r="A122" t="s">
        <v>2016</v>
      </c>
      <c r="B122">
        <v>-4142</v>
      </c>
      <c r="C122">
        <v>16777215</v>
      </c>
      <c r="D122">
        <v>0</v>
      </c>
    </row>
    <row r="123" spans="1:4" x14ac:dyDescent="0.35">
      <c r="A123" t="s">
        <v>2017</v>
      </c>
      <c r="B123">
        <v>-4142</v>
      </c>
      <c r="C123">
        <v>16777215</v>
      </c>
      <c r="D123">
        <v>6299648</v>
      </c>
    </row>
    <row r="124" spans="1:4" x14ac:dyDescent="0.35">
      <c r="A124" t="s">
        <v>2018</v>
      </c>
      <c r="B124">
        <v>-4142</v>
      </c>
      <c r="C124">
        <v>16777215</v>
      </c>
      <c r="D124">
        <v>6299648</v>
      </c>
    </row>
    <row r="125" spans="1:4" x14ac:dyDescent="0.35">
      <c r="A125" t="s">
        <v>2019</v>
      </c>
      <c r="B125">
        <v>-4142</v>
      </c>
      <c r="C125">
        <v>16777215</v>
      </c>
      <c r="D125">
        <v>6299648</v>
      </c>
    </row>
    <row r="126" spans="1:4" x14ac:dyDescent="0.35">
      <c r="A126" t="s">
        <v>2020</v>
      </c>
      <c r="B126">
        <v>-4142</v>
      </c>
      <c r="C126">
        <v>16777215</v>
      </c>
      <c r="D126">
        <v>0</v>
      </c>
    </row>
    <row r="127" spans="1:4" x14ac:dyDescent="0.35">
      <c r="A127" t="s">
        <v>2021</v>
      </c>
      <c r="B127">
        <v>-4142</v>
      </c>
      <c r="C127">
        <v>16777215</v>
      </c>
      <c r="D127">
        <v>0</v>
      </c>
    </row>
    <row r="128" spans="1:4" x14ac:dyDescent="0.35">
      <c r="A128" t="s">
        <v>2022</v>
      </c>
      <c r="B128">
        <v>-4142</v>
      </c>
      <c r="C128">
        <v>16777215</v>
      </c>
      <c r="D128">
        <v>0</v>
      </c>
    </row>
    <row r="129" spans="1:4" x14ac:dyDescent="0.35">
      <c r="A129" t="s">
        <v>2023</v>
      </c>
      <c r="B129">
        <v>-4142</v>
      </c>
      <c r="C129">
        <v>16777215</v>
      </c>
      <c r="D129">
        <v>0</v>
      </c>
    </row>
    <row r="130" spans="1:4" x14ac:dyDescent="0.35">
      <c r="A130" t="s">
        <v>2024</v>
      </c>
      <c r="B130">
        <v>-4142</v>
      </c>
      <c r="C130">
        <v>16777215</v>
      </c>
      <c r="D130">
        <v>0</v>
      </c>
    </row>
    <row r="131" spans="1:4" x14ac:dyDescent="0.35">
      <c r="A131" t="s">
        <v>2025</v>
      </c>
      <c r="B131">
        <v>-4142</v>
      </c>
      <c r="C131">
        <v>16777215</v>
      </c>
      <c r="D131">
        <v>0</v>
      </c>
    </row>
    <row r="132" spans="1:4" x14ac:dyDescent="0.35">
      <c r="A132" t="s">
        <v>2026</v>
      </c>
      <c r="B132">
        <v>-4142</v>
      </c>
      <c r="C132">
        <v>16777215</v>
      </c>
      <c r="D132">
        <v>0</v>
      </c>
    </row>
    <row r="133" spans="1:4" x14ac:dyDescent="0.35">
      <c r="A133" t="s">
        <v>2027</v>
      </c>
      <c r="B133">
        <v>-4142</v>
      </c>
      <c r="C133">
        <v>16777215</v>
      </c>
      <c r="D133">
        <v>0</v>
      </c>
    </row>
    <row r="134" spans="1:4" x14ac:dyDescent="0.35">
      <c r="A134" t="s">
        <v>2028</v>
      </c>
      <c r="B134">
        <v>-4142</v>
      </c>
      <c r="C134">
        <v>16777215</v>
      </c>
      <c r="D134">
        <v>0</v>
      </c>
    </row>
    <row r="135" spans="1:4" x14ac:dyDescent="0.35">
      <c r="A135" t="s">
        <v>2029</v>
      </c>
      <c r="B135">
        <v>-4142</v>
      </c>
      <c r="C135">
        <v>16777215</v>
      </c>
      <c r="D135">
        <v>0</v>
      </c>
    </row>
    <row r="136" spans="1:4" x14ac:dyDescent="0.35">
      <c r="A136" t="s">
        <v>2030</v>
      </c>
      <c r="B136">
        <v>-4142</v>
      </c>
      <c r="C136">
        <v>16777215</v>
      </c>
      <c r="D136">
        <v>0</v>
      </c>
    </row>
    <row r="137" spans="1:4" x14ac:dyDescent="0.35">
      <c r="A137" t="s">
        <v>2031</v>
      </c>
      <c r="B137">
        <v>-4142</v>
      </c>
      <c r="C137">
        <v>16777215</v>
      </c>
      <c r="D137">
        <v>0</v>
      </c>
    </row>
    <row r="138" spans="1:4" x14ac:dyDescent="0.35">
      <c r="A138" t="s">
        <v>2568</v>
      </c>
      <c r="B138">
        <v>-4142</v>
      </c>
      <c r="C138">
        <v>16777215</v>
      </c>
      <c r="D138">
        <v>0</v>
      </c>
    </row>
    <row r="139" spans="1:4" x14ac:dyDescent="0.35">
      <c r="A139" t="s">
        <v>2569</v>
      </c>
      <c r="B139">
        <v>-4142</v>
      </c>
      <c r="C139">
        <v>16777215</v>
      </c>
      <c r="D139">
        <v>0</v>
      </c>
    </row>
    <row r="140" spans="1:4" x14ac:dyDescent="0.35">
      <c r="A140" t="s">
        <v>2570</v>
      </c>
      <c r="B140">
        <v>-4142</v>
      </c>
      <c r="C140">
        <v>16777215</v>
      </c>
      <c r="D140">
        <v>0</v>
      </c>
    </row>
    <row r="141" spans="1:4" x14ac:dyDescent="0.35">
      <c r="A141" t="s">
        <v>2571</v>
      </c>
      <c r="B141">
        <v>-4142</v>
      </c>
      <c r="C141">
        <v>16777215</v>
      </c>
      <c r="D141">
        <v>0</v>
      </c>
    </row>
    <row r="142" spans="1:4" x14ac:dyDescent="0.35">
      <c r="A142" t="s">
        <v>2572</v>
      </c>
      <c r="B142">
        <v>-4142</v>
      </c>
      <c r="C142">
        <v>16777215</v>
      </c>
      <c r="D142">
        <v>0</v>
      </c>
    </row>
    <row r="143" spans="1:4" x14ac:dyDescent="0.35">
      <c r="A143" t="s">
        <v>2573</v>
      </c>
      <c r="B143">
        <v>-4142</v>
      </c>
      <c r="C143">
        <v>16777215</v>
      </c>
      <c r="D143">
        <v>0</v>
      </c>
    </row>
    <row r="144" spans="1:4" x14ac:dyDescent="0.35">
      <c r="A144" t="s">
        <v>2574</v>
      </c>
      <c r="B144">
        <v>-4142</v>
      </c>
      <c r="C144">
        <v>16777215</v>
      </c>
      <c r="D144">
        <v>0</v>
      </c>
    </row>
    <row r="145" spans="1:4" x14ac:dyDescent="0.35">
      <c r="A145" t="s">
        <v>2575</v>
      </c>
      <c r="B145">
        <v>-4142</v>
      </c>
      <c r="C145">
        <v>16777215</v>
      </c>
      <c r="D145">
        <v>0</v>
      </c>
    </row>
    <row r="146" spans="1:4" x14ac:dyDescent="0.35">
      <c r="A146" t="s">
        <v>2032</v>
      </c>
      <c r="B146">
        <v>-4142</v>
      </c>
      <c r="C146">
        <v>16777215</v>
      </c>
      <c r="D146">
        <v>0</v>
      </c>
    </row>
    <row r="147" spans="1:4" x14ac:dyDescent="0.35">
      <c r="A147" t="s">
        <v>2033</v>
      </c>
      <c r="B147">
        <v>-4142</v>
      </c>
      <c r="C147">
        <v>16777215</v>
      </c>
      <c r="D147">
        <v>10053222</v>
      </c>
    </row>
    <row r="148" spans="1:4" x14ac:dyDescent="0.35">
      <c r="A148" t="s">
        <v>2034</v>
      </c>
      <c r="B148">
        <v>-4142</v>
      </c>
      <c r="C148">
        <v>16777215</v>
      </c>
      <c r="D148">
        <v>10053222</v>
      </c>
    </row>
    <row r="149" spans="1:4" x14ac:dyDescent="0.35">
      <c r="A149" t="s">
        <v>2035</v>
      </c>
      <c r="B149">
        <v>-4142</v>
      </c>
      <c r="C149">
        <v>16777215</v>
      </c>
      <c r="D149">
        <v>10053222</v>
      </c>
    </row>
    <row r="150" spans="1:4" x14ac:dyDescent="0.35">
      <c r="A150" t="s">
        <v>2036</v>
      </c>
      <c r="B150">
        <v>-4142</v>
      </c>
      <c r="C150">
        <v>16777215</v>
      </c>
      <c r="D150">
        <v>10053222</v>
      </c>
    </row>
    <row r="151" spans="1:4" x14ac:dyDescent="0.35">
      <c r="A151" t="s">
        <v>2037</v>
      </c>
      <c r="B151">
        <v>-4142</v>
      </c>
      <c r="C151">
        <v>16777215</v>
      </c>
      <c r="D151">
        <v>0</v>
      </c>
    </row>
    <row r="152" spans="1:4" x14ac:dyDescent="0.35">
      <c r="A152" t="s">
        <v>2038</v>
      </c>
      <c r="B152">
        <v>-4142</v>
      </c>
      <c r="C152">
        <v>16777215</v>
      </c>
      <c r="D152">
        <v>6299648</v>
      </c>
    </row>
    <row r="153" spans="1:4" x14ac:dyDescent="0.35">
      <c r="A153" t="s">
        <v>2039</v>
      </c>
      <c r="B153">
        <v>-4142</v>
      </c>
      <c r="C153">
        <v>16777215</v>
      </c>
      <c r="D153">
        <v>6299648</v>
      </c>
    </row>
    <row r="154" spans="1:4" x14ac:dyDescent="0.35">
      <c r="A154" t="s">
        <v>2040</v>
      </c>
      <c r="B154">
        <v>2</v>
      </c>
      <c r="C154">
        <v>16777215</v>
      </c>
      <c r="D154">
        <v>6299648</v>
      </c>
    </row>
    <row r="155" spans="1:4" x14ac:dyDescent="0.35">
      <c r="A155" t="s">
        <v>2041</v>
      </c>
      <c r="B155">
        <v>-4142</v>
      </c>
      <c r="C155">
        <v>16777215</v>
      </c>
      <c r="D155">
        <v>0</v>
      </c>
    </row>
    <row r="156" spans="1:4" x14ac:dyDescent="0.35">
      <c r="A156" t="s">
        <v>2042</v>
      </c>
      <c r="B156">
        <v>-4142</v>
      </c>
      <c r="C156">
        <v>16777215</v>
      </c>
      <c r="D156">
        <v>0</v>
      </c>
    </row>
    <row r="157" spans="1:4" x14ac:dyDescent="0.35">
      <c r="A157" t="s">
        <v>2043</v>
      </c>
      <c r="B157">
        <v>-4142</v>
      </c>
      <c r="C157">
        <v>16777215</v>
      </c>
      <c r="D157">
        <v>0</v>
      </c>
    </row>
    <row r="158" spans="1:4" x14ac:dyDescent="0.35">
      <c r="A158" t="s">
        <v>2044</v>
      </c>
      <c r="B158">
        <v>-4142</v>
      </c>
      <c r="C158">
        <v>16777215</v>
      </c>
      <c r="D158">
        <v>0</v>
      </c>
    </row>
    <row r="159" spans="1:4" x14ac:dyDescent="0.35">
      <c r="A159" t="s">
        <v>2045</v>
      </c>
      <c r="B159">
        <v>-4142</v>
      </c>
      <c r="C159">
        <v>16777215</v>
      </c>
      <c r="D159">
        <v>0</v>
      </c>
    </row>
    <row r="160" spans="1:4" x14ac:dyDescent="0.35">
      <c r="A160" t="s">
        <v>2046</v>
      </c>
      <c r="B160">
        <v>-4142</v>
      </c>
      <c r="C160">
        <v>16777215</v>
      </c>
      <c r="D160">
        <v>0</v>
      </c>
    </row>
    <row r="161" spans="1:4" x14ac:dyDescent="0.35">
      <c r="A161" t="s">
        <v>2047</v>
      </c>
      <c r="B161">
        <v>-4142</v>
      </c>
      <c r="C161">
        <v>16777215</v>
      </c>
      <c r="D161">
        <v>0</v>
      </c>
    </row>
    <row r="162" spans="1:4" x14ac:dyDescent="0.35">
      <c r="A162" t="s">
        <v>2048</v>
      </c>
      <c r="B162">
        <v>-4142</v>
      </c>
      <c r="C162">
        <v>16777215</v>
      </c>
      <c r="D162">
        <v>0</v>
      </c>
    </row>
    <row r="163" spans="1:4" x14ac:dyDescent="0.35">
      <c r="A163" t="s">
        <v>2049</v>
      </c>
      <c r="B163">
        <v>-4142</v>
      </c>
      <c r="C163">
        <v>16777215</v>
      </c>
      <c r="D163">
        <v>0</v>
      </c>
    </row>
    <row r="164" spans="1:4" x14ac:dyDescent="0.35">
      <c r="A164" t="s">
        <v>2050</v>
      </c>
      <c r="B164">
        <v>-4142</v>
      </c>
      <c r="C164">
        <v>16777215</v>
      </c>
      <c r="D164">
        <v>0</v>
      </c>
    </row>
    <row r="165" spans="1:4" x14ac:dyDescent="0.35">
      <c r="A165" t="s">
        <v>2051</v>
      </c>
      <c r="B165">
        <v>-4142</v>
      </c>
      <c r="C165">
        <v>16777215</v>
      </c>
      <c r="D165">
        <v>0</v>
      </c>
    </row>
    <row r="166" spans="1:4" x14ac:dyDescent="0.35">
      <c r="A166" t="s">
        <v>2052</v>
      </c>
      <c r="B166">
        <v>-4142</v>
      </c>
      <c r="C166">
        <v>16777215</v>
      </c>
      <c r="D166">
        <v>0</v>
      </c>
    </row>
    <row r="167" spans="1:4" x14ac:dyDescent="0.35">
      <c r="A167" t="s">
        <v>2576</v>
      </c>
      <c r="B167">
        <v>-4142</v>
      </c>
      <c r="C167">
        <v>16777215</v>
      </c>
      <c r="D167">
        <v>0</v>
      </c>
    </row>
    <row r="168" spans="1:4" x14ac:dyDescent="0.35">
      <c r="A168" t="s">
        <v>2577</v>
      </c>
      <c r="B168">
        <v>-4142</v>
      </c>
      <c r="C168">
        <v>16777215</v>
      </c>
      <c r="D168">
        <v>0</v>
      </c>
    </row>
    <row r="169" spans="1:4" x14ac:dyDescent="0.35">
      <c r="A169" t="s">
        <v>2578</v>
      </c>
      <c r="B169">
        <v>-4142</v>
      </c>
      <c r="C169">
        <v>16777215</v>
      </c>
      <c r="D169">
        <v>0</v>
      </c>
    </row>
    <row r="170" spans="1:4" x14ac:dyDescent="0.35">
      <c r="A170" t="s">
        <v>2579</v>
      </c>
      <c r="B170">
        <v>-4142</v>
      </c>
      <c r="C170">
        <v>16777215</v>
      </c>
      <c r="D170">
        <v>0</v>
      </c>
    </row>
    <row r="171" spans="1:4" x14ac:dyDescent="0.35">
      <c r="A171" t="s">
        <v>2580</v>
      </c>
      <c r="B171">
        <v>-4142</v>
      </c>
      <c r="C171">
        <v>16777215</v>
      </c>
      <c r="D171">
        <v>0</v>
      </c>
    </row>
    <row r="172" spans="1:4" x14ac:dyDescent="0.35">
      <c r="A172" t="s">
        <v>2581</v>
      </c>
      <c r="B172">
        <v>-4142</v>
      </c>
      <c r="C172">
        <v>16777215</v>
      </c>
      <c r="D172">
        <v>0</v>
      </c>
    </row>
    <row r="173" spans="1:4" x14ac:dyDescent="0.35">
      <c r="A173" t="s">
        <v>2582</v>
      </c>
      <c r="B173">
        <v>-4142</v>
      </c>
      <c r="C173">
        <v>16777215</v>
      </c>
      <c r="D173">
        <v>0</v>
      </c>
    </row>
    <row r="174" spans="1:4" x14ac:dyDescent="0.35">
      <c r="A174" t="s">
        <v>2583</v>
      </c>
      <c r="B174">
        <v>-4142</v>
      </c>
      <c r="C174">
        <v>16777215</v>
      </c>
      <c r="D174">
        <v>0</v>
      </c>
    </row>
    <row r="175" spans="1:4" x14ac:dyDescent="0.35">
      <c r="A175" t="s">
        <v>2053</v>
      </c>
      <c r="B175">
        <v>-4142</v>
      </c>
      <c r="C175">
        <v>16777215</v>
      </c>
      <c r="D175">
        <v>0</v>
      </c>
    </row>
    <row r="176" spans="1:4" x14ac:dyDescent="0.35">
      <c r="A176" t="s">
        <v>2054</v>
      </c>
      <c r="B176">
        <v>-4142</v>
      </c>
      <c r="C176">
        <v>16777215</v>
      </c>
      <c r="D176">
        <v>10053222</v>
      </c>
    </row>
    <row r="177" spans="1:4" x14ac:dyDescent="0.35">
      <c r="A177" t="s">
        <v>2055</v>
      </c>
      <c r="B177">
        <v>-4142</v>
      </c>
      <c r="C177">
        <v>16777215</v>
      </c>
      <c r="D177">
        <v>10053222</v>
      </c>
    </row>
    <row r="178" spans="1:4" x14ac:dyDescent="0.35">
      <c r="A178" t="s">
        <v>2056</v>
      </c>
      <c r="B178">
        <v>-4142</v>
      </c>
      <c r="C178">
        <v>16777215</v>
      </c>
      <c r="D178">
        <v>10053222</v>
      </c>
    </row>
    <row r="179" spans="1:4" x14ac:dyDescent="0.35">
      <c r="A179" t="s">
        <v>2057</v>
      </c>
      <c r="B179">
        <v>-4142</v>
      </c>
      <c r="C179">
        <v>16777215</v>
      </c>
      <c r="D179">
        <v>10053222</v>
      </c>
    </row>
    <row r="180" spans="1:4" x14ac:dyDescent="0.35">
      <c r="A180" t="s">
        <v>2058</v>
      </c>
      <c r="B180">
        <v>-4142</v>
      </c>
      <c r="C180">
        <v>16777215</v>
      </c>
      <c r="D180">
        <v>0</v>
      </c>
    </row>
    <row r="181" spans="1:4" x14ac:dyDescent="0.35">
      <c r="A181" t="s">
        <v>2059</v>
      </c>
      <c r="B181">
        <v>-4142</v>
      </c>
      <c r="C181">
        <v>16777215</v>
      </c>
      <c r="D181">
        <v>6299648</v>
      </c>
    </row>
    <row r="182" spans="1:4" x14ac:dyDescent="0.35">
      <c r="A182" t="s">
        <v>2060</v>
      </c>
      <c r="B182">
        <v>-4142</v>
      </c>
      <c r="C182">
        <v>16777215</v>
      </c>
      <c r="D182">
        <v>6299648</v>
      </c>
    </row>
    <row r="183" spans="1:4" x14ac:dyDescent="0.35">
      <c r="A183" t="s">
        <v>2061</v>
      </c>
      <c r="B183">
        <v>-4142</v>
      </c>
      <c r="C183">
        <v>16777215</v>
      </c>
      <c r="D183">
        <v>6299648</v>
      </c>
    </row>
    <row r="184" spans="1:4" x14ac:dyDescent="0.35">
      <c r="A184" t="s">
        <v>2062</v>
      </c>
      <c r="B184">
        <v>-4142</v>
      </c>
      <c r="C184">
        <v>16777215</v>
      </c>
      <c r="D184">
        <v>0</v>
      </c>
    </row>
    <row r="185" spans="1:4" x14ac:dyDescent="0.35">
      <c r="A185" t="s">
        <v>2063</v>
      </c>
      <c r="B185">
        <v>-4142</v>
      </c>
      <c r="C185">
        <v>16777215</v>
      </c>
      <c r="D185">
        <v>0</v>
      </c>
    </row>
    <row r="186" spans="1:4" x14ac:dyDescent="0.35">
      <c r="A186" t="s">
        <v>2064</v>
      </c>
      <c r="B186">
        <v>-4142</v>
      </c>
      <c r="C186">
        <v>16777215</v>
      </c>
      <c r="D186">
        <v>0</v>
      </c>
    </row>
    <row r="187" spans="1:4" x14ac:dyDescent="0.35">
      <c r="A187" t="s">
        <v>2065</v>
      </c>
      <c r="B187">
        <v>-4142</v>
      </c>
      <c r="C187">
        <v>16777215</v>
      </c>
      <c r="D187">
        <v>0</v>
      </c>
    </row>
    <row r="188" spans="1:4" x14ac:dyDescent="0.35">
      <c r="A188" t="s">
        <v>2066</v>
      </c>
      <c r="B188">
        <v>-4142</v>
      </c>
      <c r="C188">
        <v>16777215</v>
      </c>
      <c r="D188">
        <v>0</v>
      </c>
    </row>
    <row r="189" spans="1:4" x14ac:dyDescent="0.35">
      <c r="A189" t="s">
        <v>2067</v>
      </c>
      <c r="B189">
        <v>-4142</v>
      </c>
      <c r="C189">
        <v>16777215</v>
      </c>
      <c r="D189">
        <v>0</v>
      </c>
    </row>
    <row r="190" spans="1:4" x14ac:dyDescent="0.35">
      <c r="A190" t="s">
        <v>2068</v>
      </c>
      <c r="B190">
        <v>-4142</v>
      </c>
      <c r="C190">
        <v>16777215</v>
      </c>
      <c r="D190">
        <v>0</v>
      </c>
    </row>
    <row r="191" spans="1:4" x14ac:dyDescent="0.35">
      <c r="A191" t="s">
        <v>2069</v>
      </c>
      <c r="B191">
        <v>-4142</v>
      </c>
      <c r="C191">
        <v>16777215</v>
      </c>
      <c r="D191">
        <v>0</v>
      </c>
    </row>
    <row r="192" spans="1:4" x14ac:dyDescent="0.35">
      <c r="A192" t="s">
        <v>2070</v>
      </c>
      <c r="B192">
        <v>-4142</v>
      </c>
      <c r="C192">
        <v>16777215</v>
      </c>
      <c r="D192">
        <v>0</v>
      </c>
    </row>
    <row r="193" spans="1:4" x14ac:dyDescent="0.35">
      <c r="A193" t="s">
        <v>2071</v>
      </c>
      <c r="B193">
        <v>-4142</v>
      </c>
      <c r="C193">
        <v>16777215</v>
      </c>
      <c r="D193">
        <v>0</v>
      </c>
    </row>
    <row r="194" spans="1:4" x14ac:dyDescent="0.35">
      <c r="A194" t="s">
        <v>2072</v>
      </c>
      <c r="B194">
        <v>-4142</v>
      </c>
      <c r="C194">
        <v>16777215</v>
      </c>
      <c r="D194">
        <v>0</v>
      </c>
    </row>
    <row r="195" spans="1:4" x14ac:dyDescent="0.35">
      <c r="A195" t="s">
        <v>2073</v>
      </c>
      <c r="B195">
        <v>-4142</v>
      </c>
      <c r="C195">
        <v>16777215</v>
      </c>
      <c r="D195">
        <v>0</v>
      </c>
    </row>
    <row r="196" spans="1:4" x14ac:dyDescent="0.35">
      <c r="A196" t="s">
        <v>2584</v>
      </c>
      <c r="B196">
        <v>-4142</v>
      </c>
      <c r="C196">
        <v>16777215</v>
      </c>
      <c r="D196">
        <v>0</v>
      </c>
    </row>
    <row r="197" spans="1:4" x14ac:dyDescent="0.35">
      <c r="A197" t="s">
        <v>2585</v>
      </c>
      <c r="B197">
        <v>-4142</v>
      </c>
      <c r="C197">
        <v>16777215</v>
      </c>
      <c r="D197">
        <v>0</v>
      </c>
    </row>
    <row r="198" spans="1:4" x14ac:dyDescent="0.35">
      <c r="A198" t="s">
        <v>2586</v>
      </c>
      <c r="B198">
        <v>-4142</v>
      </c>
      <c r="C198">
        <v>16777215</v>
      </c>
      <c r="D198">
        <v>0</v>
      </c>
    </row>
    <row r="199" spans="1:4" x14ac:dyDescent="0.35">
      <c r="A199" t="s">
        <v>2587</v>
      </c>
      <c r="B199">
        <v>-4142</v>
      </c>
      <c r="C199">
        <v>16777215</v>
      </c>
      <c r="D199">
        <v>0</v>
      </c>
    </row>
    <row r="200" spans="1:4" x14ac:dyDescent="0.35">
      <c r="A200" t="s">
        <v>2588</v>
      </c>
      <c r="B200">
        <v>-4142</v>
      </c>
      <c r="C200">
        <v>16777215</v>
      </c>
      <c r="D200">
        <v>0</v>
      </c>
    </row>
    <row r="201" spans="1:4" x14ac:dyDescent="0.35">
      <c r="A201" t="s">
        <v>2589</v>
      </c>
      <c r="B201">
        <v>-4142</v>
      </c>
      <c r="C201">
        <v>16777215</v>
      </c>
      <c r="D201">
        <v>0</v>
      </c>
    </row>
    <row r="202" spans="1:4" x14ac:dyDescent="0.35">
      <c r="A202" t="s">
        <v>2590</v>
      </c>
      <c r="B202">
        <v>-4142</v>
      </c>
      <c r="C202">
        <v>16777215</v>
      </c>
      <c r="D202">
        <v>0</v>
      </c>
    </row>
    <row r="203" spans="1:4" x14ac:dyDescent="0.35">
      <c r="A203" t="s">
        <v>2591</v>
      </c>
      <c r="B203">
        <v>-4142</v>
      </c>
      <c r="C203">
        <v>16777215</v>
      </c>
      <c r="D203">
        <v>0</v>
      </c>
    </row>
    <row r="204" spans="1:4" x14ac:dyDescent="0.35">
      <c r="A204" t="s">
        <v>2074</v>
      </c>
      <c r="B204">
        <v>-4142</v>
      </c>
      <c r="C204">
        <v>16777215</v>
      </c>
      <c r="D204">
        <v>0</v>
      </c>
    </row>
    <row r="205" spans="1:4" x14ac:dyDescent="0.35">
      <c r="A205" t="s">
        <v>2075</v>
      </c>
      <c r="B205">
        <v>-4142</v>
      </c>
      <c r="C205">
        <v>16777215</v>
      </c>
      <c r="D205">
        <v>10053222</v>
      </c>
    </row>
    <row r="206" spans="1:4" x14ac:dyDescent="0.35">
      <c r="A206" t="s">
        <v>2076</v>
      </c>
      <c r="B206">
        <v>-4142</v>
      </c>
      <c r="C206">
        <v>16777215</v>
      </c>
      <c r="D206">
        <v>10053222</v>
      </c>
    </row>
    <row r="207" spans="1:4" x14ac:dyDescent="0.35">
      <c r="A207" t="s">
        <v>2077</v>
      </c>
      <c r="B207">
        <v>-4142</v>
      </c>
      <c r="C207">
        <v>16777215</v>
      </c>
      <c r="D207">
        <v>10053222</v>
      </c>
    </row>
    <row r="208" spans="1:4" x14ac:dyDescent="0.35">
      <c r="A208" t="s">
        <v>2078</v>
      </c>
      <c r="B208">
        <v>-4142</v>
      </c>
      <c r="C208">
        <v>16777215</v>
      </c>
      <c r="D208">
        <v>10053222</v>
      </c>
    </row>
    <row r="209" spans="1:4" x14ac:dyDescent="0.35">
      <c r="A209" t="s">
        <v>2079</v>
      </c>
      <c r="B209">
        <v>-4142</v>
      </c>
      <c r="C209">
        <v>16777215</v>
      </c>
      <c r="D209">
        <v>0</v>
      </c>
    </row>
    <row r="210" spans="1:4" x14ac:dyDescent="0.35">
      <c r="A210" t="s">
        <v>2080</v>
      </c>
      <c r="B210">
        <v>-4142</v>
      </c>
      <c r="C210">
        <v>16777215</v>
      </c>
      <c r="D210">
        <v>6299648</v>
      </c>
    </row>
    <row r="211" spans="1:4" x14ac:dyDescent="0.35">
      <c r="A211" t="s">
        <v>2081</v>
      </c>
      <c r="B211">
        <v>-4142</v>
      </c>
      <c r="C211">
        <v>16777215</v>
      </c>
      <c r="D211">
        <v>6299648</v>
      </c>
    </row>
    <row r="212" spans="1:4" x14ac:dyDescent="0.35">
      <c r="A212" t="s">
        <v>2082</v>
      </c>
      <c r="B212">
        <v>-4142</v>
      </c>
      <c r="C212">
        <v>16777215</v>
      </c>
      <c r="D212">
        <v>6299648</v>
      </c>
    </row>
    <row r="213" spans="1:4" x14ac:dyDescent="0.35">
      <c r="A213" t="s">
        <v>2083</v>
      </c>
      <c r="B213">
        <v>-4142</v>
      </c>
      <c r="C213">
        <v>16777215</v>
      </c>
      <c r="D213">
        <v>0</v>
      </c>
    </row>
    <row r="214" spans="1:4" x14ac:dyDescent="0.35">
      <c r="A214" t="s">
        <v>2084</v>
      </c>
      <c r="B214">
        <v>-4142</v>
      </c>
      <c r="C214">
        <v>16777215</v>
      </c>
      <c r="D214">
        <v>0</v>
      </c>
    </row>
    <row r="215" spans="1:4" x14ac:dyDescent="0.35">
      <c r="A215" t="s">
        <v>2085</v>
      </c>
      <c r="B215">
        <v>-4142</v>
      </c>
      <c r="C215">
        <v>16777215</v>
      </c>
      <c r="D215">
        <v>0</v>
      </c>
    </row>
    <row r="216" spans="1:4" x14ac:dyDescent="0.35">
      <c r="A216" t="s">
        <v>2086</v>
      </c>
      <c r="B216">
        <v>-4142</v>
      </c>
      <c r="C216">
        <v>16777215</v>
      </c>
      <c r="D216">
        <v>0</v>
      </c>
    </row>
    <row r="217" spans="1:4" x14ac:dyDescent="0.35">
      <c r="A217" t="s">
        <v>2087</v>
      </c>
      <c r="B217">
        <v>-4142</v>
      </c>
      <c r="C217">
        <v>16777215</v>
      </c>
      <c r="D217">
        <v>0</v>
      </c>
    </row>
    <row r="218" spans="1:4" x14ac:dyDescent="0.35">
      <c r="A218" t="s">
        <v>2088</v>
      </c>
      <c r="B218">
        <v>-4142</v>
      </c>
      <c r="C218">
        <v>16777215</v>
      </c>
      <c r="D218">
        <v>0</v>
      </c>
    </row>
    <row r="219" spans="1:4" x14ac:dyDescent="0.35">
      <c r="A219" t="s">
        <v>2089</v>
      </c>
      <c r="B219">
        <v>-4142</v>
      </c>
      <c r="C219">
        <v>16777215</v>
      </c>
      <c r="D219">
        <v>0</v>
      </c>
    </row>
    <row r="220" spans="1:4" x14ac:dyDescent="0.35">
      <c r="A220" t="s">
        <v>2090</v>
      </c>
      <c r="B220">
        <v>-4142</v>
      </c>
      <c r="C220">
        <v>16777215</v>
      </c>
      <c r="D220">
        <v>0</v>
      </c>
    </row>
    <row r="221" spans="1:4" x14ac:dyDescent="0.35">
      <c r="A221" t="s">
        <v>2091</v>
      </c>
      <c r="B221">
        <v>-4142</v>
      </c>
      <c r="C221">
        <v>16777215</v>
      </c>
      <c r="D221">
        <v>0</v>
      </c>
    </row>
    <row r="222" spans="1:4" x14ac:dyDescent="0.35">
      <c r="A222" t="s">
        <v>2092</v>
      </c>
      <c r="B222">
        <v>-4142</v>
      </c>
      <c r="C222">
        <v>16777215</v>
      </c>
      <c r="D222">
        <v>0</v>
      </c>
    </row>
    <row r="223" spans="1:4" x14ac:dyDescent="0.35">
      <c r="A223" t="s">
        <v>2093</v>
      </c>
      <c r="B223">
        <v>-4142</v>
      </c>
      <c r="C223">
        <v>16777215</v>
      </c>
      <c r="D223">
        <v>0</v>
      </c>
    </row>
    <row r="224" spans="1:4" x14ac:dyDescent="0.35">
      <c r="A224" t="s">
        <v>2094</v>
      </c>
      <c r="B224">
        <v>-4142</v>
      </c>
      <c r="C224">
        <v>16777215</v>
      </c>
      <c r="D224">
        <v>0</v>
      </c>
    </row>
    <row r="225" spans="1:4" x14ac:dyDescent="0.35">
      <c r="A225" t="s">
        <v>2592</v>
      </c>
      <c r="B225">
        <v>-4142</v>
      </c>
      <c r="C225">
        <v>16777215</v>
      </c>
      <c r="D225">
        <v>0</v>
      </c>
    </row>
    <row r="226" spans="1:4" x14ac:dyDescent="0.35">
      <c r="A226" t="s">
        <v>2593</v>
      </c>
      <c r="B226">
        <v>-4142</v>
      </c>
      <c r="C226">
        <v>16777215</v>
      </c>
      <c r="D226">
        <v>0</v>
      </c>
    </row>
    <row r="227" spans="1:4" x14ac:dyDescent="0.35">
      <c r="A227" t="s">
        <v>2594</v>
      </c>
      <c r="B227">
        <v>-4142</v>
      </c>
      <c r="C227">
        <v>16777215</v>
      </c>
      <c r="D227">
        <v>0</v>
      </c>
    </row>
    <row r="228" spans="1:4" x14ac:dyDescent="0.35">
      <c r="A228" t="s">
        <v>2595</v>
      </c>
      <c r="B228">
        <v>-4142</v>
      </c>
      <c r="C228">
        <v>16777215</v>
      </c>
      <c r="D228">
        <v>0</v>
      </c>
    </row>
    <row r="229" spans="1:4" x14ac:dyDescent="0.35">
      <c r="A229" t="s">
        <v>2596</v>
      </c>
      <c r="B229">
        <v>-4142</v>
      </c>
      <c r="C229">
        <v>16777215</v>
      </c>
      <c r="D229">
        <v>0</v>
      </c>
    </row>
    <row r="230" spans="1:4" x14ac:dyDescent="0.35">
      <c r="A230" t="s">
        <v>2597</v>
      </c>
      <c r="B230">
        <v>-4142</v>
      </c>
      <c r="C230">
        <v>16777215</v>
      </c>
      <c r="D230">
        <v>0</v>
      </c>
    </row>
    <row r="231" spans="1:4" x14ac:dyDescent="0.35">
      <c r="A231" t="s">
        <v>2598</v>
      </c>
      <c r="B231">
        <v>-4142</v>
      </c>
      <c r="C231">
        <v>16777215</v>
      </c>
      <c r="D231">
        <v>0</v>
      </c>
    </row>
    <row r="232" spans="1:4" x14ac:dyDescent="0.35">
      <c r="A232" t="s">
        <v>2599</v>
      </c>
      <c r="B232">
        <v>-4142</v>
      </c>
      <c r="C232">
        <v>16777215</v>
      </c>
      <c r="D232">
        <v>0</v>
      </c>
    </row>
    <row r="233" spans="1:4" x14ac:dyDescent="0.35">
      <c r="A233" t="s">
        <v>2095</v>
      </c>
      <c r="B233">
        <v>-4142</v>
      </c>
      <c r="C233">
        <v>16777215</v>
      </c>
      <c r="D233">
        <v>0</v>
      </c>
    </row>
    <row r="234" spans="1:4" x14ac:dyDescent="0.35">
      <c r="A234" t="s">
        <v>2096</v>
      </c>
      <c r="B234">
        <v>-4142</v>
      </c>
      <c r="C234">
        <v>16777215</v>
      </c>
      <c r="D234">
        <v>10053222</v>
      </c>
    </row>
    <row r="235" spans="1:4" x14ac:dyDescent="0.35">
      <c r="A235" t="s">
        <v>2097</v>
      </c>
      <c r="B235">
        <v>-4142</v>
      </c>
      <c r="C235">
        <v>16777215</v>
      </c>
      <c r="D235">
        <v>10053222</v>
      </c>
    </row>
    <row r="236" spans="1:4" x14ac:dyDescent="0.35">
      <c r="A236" t="s">
        <v>2098</v>
      </c>
      <c r="B236">
        <v>-4142</v>
      </c>
      <c r="C236">
        <v>16777215</v>
      </c>
      <c r="D236">
        <v>10053222</v>
      </c>
    </row>
    <row r="237" spans="1:4" x14ac:dyDescent="0.35">
      <c r="A237" t="s">
        <v>2099</v>
      </c>
      <c r="B237">
        <v>-4142</v>
      </c>
      <c r="C237">
        <v>16777215</v>
      </c>
      <c r="D237">
        <v>10053222</v>
      </c>
    </row>
    <row r="238" spans="1:4" x14ac:dyDescent="0.35">
      <c r="A238" t="s">
        <v>2100</v>
      </c>
      <c r="B238">
        <v>-4142</v>
      </c>
      <c r="C238">
        <v>16777215</v>
      </c>
      <c r="D238">
        <v>0</v>
      </c>
    </row>
    <row r="239" spans="1:4" x14ac:dyDescent="0.35">
      <c r="A239" t="s">
        <v>2101</v>
      </c>
      <c r="B239">
        <v>-4142</v>
      </c>
      <c r="C239">
        <v>16777215</v>
      </c>
      <c r="D239">
        <v>6299648</v>
      </c>
    </row>
    <row r="240" spans="1:4" x14ac:dyDescent="0.35">
      <c r="A240" t="s">
        <v>2102</v>
      </c>
      <c r="B240">
        <v>-4142</v>
      </c>
      <c r="C240">
        <v>16777215</v>
      </c>
      <c r="D240">
        <v>6299648</v>
      </c>
    </row>
    <row r="241" spans="1:4" x14ac:dyDescent="0.35">
      <c r="A241" t="s">
        <v>2103</v>
      </c>
      <c r="B241">
        <v>-4142</v>
      </c>
      <c r="C241">
        <v>16777215</v>
      </c>
      <c r="D241">
        <v>6299648</v>
      </c>
    </row>
    <row r="242" spans="1:4" x14ac:dyDescent="0.35">
      <c r="A242" t="s">
        <v>2104</v>
      </c>
      <c r="B242">
        <v>-4142</v>
      </c>
      <c r="C242">
        <v>16777215</v>
      </c>
      <c r="D242">
        <v>0</v>
      </c>
    </row>
    <row r="243" spans="1:4" x14ac:dyDescent="0.35">
      <c r="A243" t="s">
        <v>2105</v>
      </c>
      <c r="B243">
        <v>-4142</v>
      </c>
      <c r="C243">
        <v>16777215</v>
      </c>
      <c r="D243">
        <v>0</v>
      </c>
    </row>
    <row r="244" spans="1:4" x14ac:dyDescent="0.35">
      <c r="A244" t="s">
        <v>2106</v>
      </c>
      <c r="B244">
        <v>-4142</v>
      </c>
      <c r="C244">
        <v>16777215</v>
      </c>
      <c r="D244">
        <v>0</v>
      </c>
    </row>
    <row r="245" spans="1:4" x14ac:dyDescent="0.35">
      <c r="A245" t="s">
        <v>2107</v>
      </c>
      <c r="B245">
        <v>-4142</v>
      </c>
      <c r="C245">
        <v>16777215</v>
      </c>
      <c r="D245">
        <v>0</v>
      </c>
    </row>
    <row r="246" spans="1:4" x14ac:dyDescent="0.35">
      <c r="A246" t="s">
        <v>2108</v>
      </c>
      <c r="B246">
        <v>-4142</v>
      </c>
      <c r="C246">
        <v>16777215</v>
      </c>
      <c r="D246">
        <v>0</v>
      </c>
    </row>
    <row r="247" spans="1:4" x14ac:dyDescent="0.35">
      <c r="A247" t="s">
        <v>2109</v>
      </c>
      <c r="B247">
        <v>-4142</v>
      </c>
      <c r="C247">
        <v>16777215</v>
      </c>
      <c r="D247">
        <v>0</v>
      </c>
    </row>
    <row r="248" spans="1:4" x14ac:dyDescent="0.35">
      <c r="A248" t="s">
        <v>2110</v>
      </c>
      <c r="B248">
        <v>-4142</v>
      </c>
      <c r="C248">
        <v>16777215</v>
      </c>
      <c r="D248">
        <v>0</v>
      </c>
    </row>
    <row r="249" spans="1:4" x14ac:dyDescent="0.35">
      <c r="A249" t="s">
        <v>2111</v>
      </c>
      <c r="B249">
        <v>-4142</v>
      </c>
      <c r="C249">
        <v>16777215</v>
      </c>
      <c r="D249">
        <v>0</v>
      </c>
    </row>
    <row r="250" spans="1:4" x14ac:dyDescent="0.35">
      <c r="A250" t="s">
        <v>2112</v>
      </c>
      <c r="B250">
        <v>-4142</v>
      </c>
      <c r="C250">
        <v>16777215</v>
      </c>
      <c r="D250">
        <v>0</v>
      </c>
    </row>
    <row r="251" spans="1:4" x14ac:dyDescent="0.35">
      <c r="A251" t="s">
        <v>2113</v>
      </c>
      <c r="B251">
        <v>-4142</v>
      </c>
      <c r="C251">
        <v>16777215</v>
      </c>
      <c r="D251">
        <v>0</v>
      </c>
    </row>
    <row r="252" spans="1:4" x14ac:dyDescent="0.35">
      <c r="A252" t="s">
        <v>2114</v>
      </c>
      <c r="B252">
        <v>-4142</v>
      </c>
      <c r="C252">
        <v>16777215</v>
      </c>
      <c r="D252">
        <v>0</v>
      </c>
    </row>
    <row r="253" spans="1:4" x14ac:dyDescent="0.35">
      <c r="A253" t="s">
        <v>2115</v>
      </c>
      <c r="B253">
        <v>-4142</v>
      </c>
      <c r="C253">
        <v>16777215</v>
      </c>
      <c r="D253">
        <v>0</v>
      </c>
    </row>
    <row r="254" spans="1:4" x14ac:dyDescent="0.35">
      <c r="A254" t="s">
        <v>2600</v>
      </c>
      <c r="B254">
        <v>-4142</v>
      </c>
      <c r="C254">
        <v>16777215</v>
      </c>
      <c r="D254">
        <v>0</v>
      </c>
    </row>
    <row r="255" spans="1:4" x14ac:dyDescent="0.35">
      <c r="A255" t="s">
        <v>2601</v>
      </c>
      <c r="B255">
        <v>-4142</v>
      </c>
      <c r="C255">
        <v>16777215</v>
      </c>
      <c r="D255">
        <v>0</v>
      </c>
    </row>
    <row r="256" spans="1:4" x14ac:dyDescent="0.35">
      <c r="A256" t="s">
        <v>2602</v>
      </c>
      <c r="B256">
        <v>-4142</v>
      </c>
      <c r="C256">
        <v>16777215</v>
      </c>
      <c r="D256">
        <v>0</v>
      </c>
    </row>
    <row r="257" spans="1:4" x14ac:dyDescent="0.35">
      <c r="A257" t="s">
        <v>2603</v>
      </c>
      <c r="B257">
        <v>-4142</v>
      </c>
      <c r="C257">
        <v>16777215</v>
      </c>
      <c r="D257">
        <v>0</v>
      </c>
    </row>
    <row r="258" spans="1:4" x14ac:dyDescent="0.35">
      <c r="A258" t="s">
        <v>2604</v>
      </c>
      <c r="B258">
        <v>-4142</v>
      </c>
      <c r="C258">
        <v>16777215</v>
      </c>
      <c r="D258">
        <v>0</v>
      </c>
    </row>
    <row r="259" spans="1:4" x14ac:dyDescent="0.35">
      <c r="A259" t="s">
        <v>2605</v>
      </c>
      <c r="B259">
        <v>-4142</v>
      </c>
      <c r="C259">
        <v>16777215</v>
      </c>
      <c r="D259">
        <v>0</v>
      </c>
    </row>
    <row r="260" spans="1:4" x14ac:dyDescent="0.35">
      <c r="A260" t="s">
        <v>2606</v>
      </c>
      <c r="B260">
        <v>-4142</v>
      </c>
      <c r="C260">
        <v>16777215</v>
      </c>
      <c r="D260">
        <v>0</v>
      </c>
    </row>
    <row r="261" spans="1:4" x14ac:dyDescent="0.35">
      <c r="A261" t="s">
        <v>2607</v>
      </c>
      <c r="B261">
        <v>-4142</v>
      </c>
      <c r="C261">
        <v>16777215</v>
      </c>
      <c r="D261">
        <v>0</v>
      </c>
    </row>
    <row r="262" spans="1:4" x14ac:dyDescent="0.35">
      <c r="A262" t="s">
        <v>2116</v>
      </c>
      <c r="B262">
        <v>-4142</v>
      </c>
      <c r="C262">
        <v>16777215</v>
      </c>
      <c r="D262">
        <v>0</v>
      </c>
    </row>
    <row r="263" spans="1:4" x14ac:dyDescent="0.35">
      <c r="A263" t="s">
        <v>2117</v>
      </c>
      <c r="B263">
        <v>-4142</v>
      </c>
      <c r="C263">
        <v>16777215</v>
      </c>
      <c r="D263">
        <v>10053222</v>
      </c>
    </row>
    <row r="264" spans="1:4" x14ac:dyDescent="0.35">
      <c r="A264" t="s">
        <v>2118</v>
      </c>
      <c r="B264">
        <v>-4142</v>
      </c>
      <c r="C264">
        <v>16777215</v>
      </c>
      <c r="D264">
        <v>10053222</v>
      </c>
    </row>
    <row r="265" spans="1:4" x14ac:dyDescent="0.35">
      <c r="A265" t="s">
        <v>2119</v>
      </c>
      <c r="B265">
        <v>-4142</v>
      </c>
      <c r="C265">
        <v>16777215</v>
      </c>
      <c r="D265">
        <v>10053222</v>
      </c>
    </row>
    <row r="266" spans="1:4" x14ac:dyDescent="0.35">
      <c r="A266" t="s">
        <v>2120</v>
      </c>
      <c r="B266">
        <v>-4142</v>
      </c>
      <c r="C266">
        <v>16777215</v>
      </c>
      <c r="D266">
        <v>10053222</v>
      </c>
    </row>
    <row r="267" spans="1:4" x14ac:dyDescent="0.35">
      <c r="A267" t="s">
        <v>2121</v>
      </c>
      <c r="B267">
        <v>-4142</v>
      </c>
      <c r="C267">
        <v>16777215</v>
      </c>
      <c r="D267">
        <v>0</v>
      </c>
    </row>
    <row r="268" spans="1:4" x14ac:dyDescent="0.35">
      <c r="A268" t="s">
        <v>2122</v>
      </c>
      <c r="B268">
        <v>-4142</v>
      </c>
      <c r="C268">
        <v>16777215</v>
      </c>
      <c r="D268">
        <v>6299648</v>
      </c>
    </row>
    <row r="269" spans="1:4" x14ac:dyDescent="0.35">
      <c r="A269" t="s">
        <v>2123</v>
      </c>
      <c r="B269">
        <v>-4142</v>
      </c>
      <c r="C269">
        <v>16777215</v>
      </c>
      <c r="D269">
        <v>6299648</v>
      </c>
    </row>
    <row r="270" spans="1:4" x14ac:dyDescent="0.35">
      <c r="A270" t="s">
        <v>2124</v>
      </c>
      <c r="B270">
        <v>-4142</v>
      </c>
      <c r="C270">
        <v>16777215</v>
      </c>
      <c r="D270">
        <v>6299648</v>
      </c>
    </row>
    <row r="271" spans="1:4" x14ac:dyDescent="0.35">
      <c r="A271" t="s">
        <v>2125</v>
      </c>
      <c r="B271">
        <v>-4142</v>
      </c>
      <c r="C271">
        <v>16777215</v>
      </c>
      <c r="D271">
        <v>0</v>
      </c>
    </row>
    <row r="272" spans="1:4" x14ac:dyDescent="0.35">
      <c r="A272" t="s">
        <v>2126</v>
      </c>
      <c r="B272">
        <v>-4142</v>
      </c>
      <c r="C272">
        <v>16777215</v>
      </c>
      <c r="D272">
        <v>0</v>
      </c>
    </row>
    <row r="273" spans="1:4" x14ac:dyDescent="0.35">
      <c r="A273" t="s">
        <v>2127</v>
      </c>
      <c r="B273">
        <v>-4142</v>
      </c>
      <c r="C273">
        <v>16777215</v>
      </c>
      <c r="D273">
        <v>0</v>
      </c>
    </row>
    <row r="274" spans="1:4" x14ac:dyDescent="0.35">
      <c r="A274" t="s">
        <v>2128</v>
      </c>
      <c r="B274">
        <v>-4142</v>
      </c>
      <c r="C274">
        <v>16777215</v>
      </c>
      <c r="D274">
        <v>0</v>
      </c>
    </row>
    <row r="275" spans="1:4" x14ac:dyDescent="0.35">
      <c r="A275" t="s">
        <v>2129</v>
      </c>
      <c r="B275">
        <v>-4142</v>
      </c>
      <c r="C275">
        <v>16777215</v>
      </c>
      <c r="D275">
        <v>0</v>
      </c>
    </row>
    <row r="276" spans="1:4" x14ac:dyDescent="0.35">
      <c r="A276" t="s">
        <v>2130</v>
      </c>
      <c r="B276">
        <v>-4142</v>
      </c>
      <c r="C276">
        <v>16777215</v>
      </c>
      <c r="D276">
        <v>0</v>
      </c>
    </row>
    <row r="277" spans="1:4" x14ac:dyDescent="0.35">
      <c r="A277" t="s">
        <v>2131</v>
      </c>
      <c r="B277">
        <v>-4142</v>
      </c>
      <c r="C277">
        <v>16777215</v>
      </c>
      <c r="D277">
        <v>0</v>
      </c>
    </row>
    <row r="278" spans="1:4" x14ac:dyDescent="0.35">
      <c r="A278" t="s">
        <v>2132</v>
      </c>
      <c r="B278">
        <v>-4142</v>
      </c>
      <c r="C278">
        <v>16777215</v>
      </c>
      <c r="D278">
        <v>0</v>
      </c>
    </row>
    <row r="279" spans="1:4" x14ac:dyDescent="0.35">
      <c r="A279" t="s">
        <v>2133</v>
      </c>
      <c r="B279">
        <v>-4142</v>
      </c>
      <c r="C279">
        <v>16777215</v>
      </c>
      <c r="D279">
        <v>0</v>
      </c>
    </row>
    <row r="280" spans="1:4" x14ac:dyDescent="0.35">
      <c r="A280" t="s">
        <v>2134</v>
      </c>
      <c r="B280">
        <v>-4142</v>
      </c>
      <c r="C280">
        <v>16777215</v>
      </c>
      <c r="D280">
        <v>0</v>
      </c>
    </row>
    <row r="281" spans="1:4" x14ac:dyDescent="0.35">
      <c r="A281" t="s">
        <v>2135</v>
      </c>
      <c r="B281">
        <v>-4142</v>
      </c>
      <c r="C281">
        <v>16777215</v>
      </c>
      <c r="D281">
        <v>0</v>
      </c>
    </row>
    <row r="282" spans="1:4" x14ac:dyDescent="0.35">
      <c r="A282" t="s">
        <v>2136</v>
      </c>
      <c r="B282">
        <v>-4142</v>
      </c>
      <c r="C282">
        <v>16777215</v>
      </c>
      <c r="D282">
        <v>0</v>
      </c>
    </row>
    <row r="283" spans="1:4" x14ac:dyDescent="0.35">
      <c r="A283" t="s">
        <v>2608</v>
      </c>
      <c r="B283">
        <v>-4142</v>
      </c>
      <c r="C283">
        <v>16777215</v>
      </c>
      <c r="D283">
        <v>0</v>
      </c>
    </row>
    <row r="284" spans="1:4" x14ac:dyDescent="0.35">
      <c r="A284" t="s">
        <v>2609</v>
      </c>
      <c r="B284">
        <v>-4142</v>
      </c>
      <c r="C284">
        <v>16777215</v>
      </c>
      <c r="D284">
        <v>0</v>
      </c>
    </row>
    <row r="285" spans="1:4" x14ac:dyDescent="0.35">
      <c r="A285" t="s">
        <v>2610</v>
      </c>
      <c r="B285">
        <v>-4142</v>
      </c>
      <c r="C285">
        <v>16777215</v>
      </c>
      <c r="D285">
        <v>0</v>
      </c>
    </row>
    <row r="286" spans="1:4" x14ac:dyDescent="0.35">
      <c r="A286" t="s">
        <v>2611</v>
      </c>
      <c r="B286">
        <v>-4142</v>
      </c>
      <c r="C286">
        <v>16777215</v>
      </c>
      <c r="D286">
        <v>0</v>
      </c>
    </row>
    <row r="287" spans="1:4" x14ac:dyDescent="0.35">
      <c r="A287" t="s">
        <v>2612</v>
      </c>
      <c r="B287">
        <v>-4142</v>
      </c>
      <c r="C287">
        <v>16777215</v>
      </c>
      <c r="D287">
        <v>0</v>
      </c>
    </row>
    <row r="288" spans="1:4" x14ac:dyDescent="0.35">
      <c r="A288" t="s">
        <v>2613</v>
      </c>
      <c r="B288">
        <v>-4142</v>
      </c>
      <c r="C288">
        <v>16777215</v>
      </c>
      <c r="D288">
        <v>0</v>
      </c>
    </row>
    <row r="289" spans="1:4" x14ac:dyDescent="0.35">
      <c r="A289" t="s">
        <v>2614</v>
      </c>
      <c r="B289">
        <v>-4142</v>
      </c>
      <c r="C289">
        <v>16777215</v>
      </c>
      <c r="D289">
        <v>0</v>
      </c>
    </row>
    <row r="290" spans="1:4" x14ac:dyDescent="0.35">
      <c r="A290" t="s">
        <v>2615</v>
      </c>
      <c r="B290">
        <v>-4142</v>
      </c>
      <c r="C290">
        <v>16777215</v>
      </c>
      <c r="D290">
        <v>0</v>
      </c>
    </row>
    <row r="291" spans="1:4" x14ac:dyDescent="0.35">
      <c r="A291" t="s">
        <v>2137</v>
      </c>
      <c r="B291">
        <v>-4142</v>
      </c>
      <c r="C291">
        <v>16777215</v>
      </c>
      <c r="D291">
        <v>0</v>
      </c>
    </row>
    <row r="292" spans="1:4" x14ac:dyDescent="0.35">
      <c r="A292" t="s">
        <v>2138</v>
      </c>
      <c r="B292">
        <v>-4142</v>
      </c>
      <c r="C292">
        <v>16777215</v>
      </c>
      <c r="D292">
        <v>10053222</v>
      </c>
    </row>
    <row r="293" spans="1:4" x14ac:dyDescent="0.35">
      <c r="A293" t="s">
        <v>2139</v>
      </c>
      <c r="B293">
        <v>-4142</v>
      </c>
      <c r="C293">
        <v>16777215</v>
      </c>
      <c r="D293">
        <v>10053222</v>
      </c>
    </row>
    <row r="294" spans="1:4" x14ac:dyDescent="0.35">
      <c r="A294" t="s">
        <v>2140</v>
      </c>
      <c r="B294">
        <v>-4142</v>
      </c>
      <c r="C294">
        <v>16777215</v>
      </c>
      <c r="D294">
        <v>10053222</v>
      </c>
    </row>
    <row r="295" spans="1:4" x14ac:dyDescent="0.35">
      <c r="A295" t="s">
        <v>2141</v>
      </c>
      <c r="B295">
        <v>-4142</v>
      </c>
      <c r="C295">
        <v>16777215</v>
      </c>
      <c r="D295">
        <v>10053222</v>
      </c>
    </row>
    <row r="296" spans="1:4" x14ac:dyDescent="0.35">
      <c r="A296" t="s">
        <v>2142</v>
      </c>
      <c r="B296">
        <v>-4142</v>
      </c>
      <c r="C296">
        <v>16777215</v>
      </c>
      <c r="D296">
        <v>0</v>
      </c>
    </row>
    <row r="297" spans="1:4" x14ac:dyDescent="0.35">
      <c r="A297" t="s">
        <v>2143</v>
      </c>
      <c r="B297">
        <v>-4142</v>
      </c>
      <c r="C297">
        <v>16777215</v>
      </c>
      <c r="D297">
        <v>0</v>
      </c>
    </row>
    <row r="298" spans="1:4" x14ac:dyDescent="0.35">
      <c r="A298" t="s">
        <v>2144</v>
      </c>
      <c r="B298">
        <v>-4142</v>
      </c>
      <c r="C298">
        <v>16777215</v>
      </c>
      <c r="D298">
        <v>0</v>
      </c>
    </row>
    <row r="299" spans="1:4" x14ac:dyDescent="0.35">
      <c r="A299" t="s">
        <v>2145</v>
      </c>
      <c r="B299">
        <v>-4142</v>
      </c>
      <c r="C299">
        <v>16777215</v>
      </c>
      <c r="D299">
        <v>0</v>
      </c>
    </row>
    <row r="300" spans="1:4" x14ac:dyDescent="0.35">
      <c r="A300" t="s">
        <v>2146</v>
      </c>
      <c r="B300">
        <v>-4142</v>
      </c>
      <c r="C300">
        <v>16777215</v>
      </c>
      <c r="D300">
        <v>0</v>
      </c>
    </row>
    <row r="301" spans="1:4" x14ac:dyDescent="0.35">
      <c r="A301" t="s">
        <v>2147</v>
      </c>
      <c r="B301">
        <v>-4142</v>
      </c>
      <c r="C301">
        <v>16777215</v>
      </c>
      <c r="D301">
        <v>0</v>
      </c>
    </row>
    <row r="302" spans="1:4" x14ac:dyDescent="0.35">
      <c r="A302" t="s">
        <v>2148</v>
      </c>
      <c r="B302">
        <v>-4142</v>
      </c>
      <c r="C302">
        <v>16777215</v>
      </c>
      <c r="D302">
        <v>0</v>
      </c>
    </row>
    <row r="303" spans="1:4" x14ac:dyDescent="0.35">
      <c r="A303" t="s">
        <v>2149</v>
      </c>
      <c r="B303">
        <v>-4142</v>
      </c>
      <c r="C303">
        <v>16777215</v>
      </c>
      <c r="D303">
        <v>0</v>
      </c>
    </row>
    <row r="304" spans="1:4" x14ac:dyDescent="0.35">
      <c r="A304" t="s">
        <v>2150</v>
      </c>
      <c r="B304">
        <v>-4142</v>
      </c>
      <c r="C304">
        <v>16777215</v>
      </c>
      <c r="D304">
        <v>0</v>
      </c>
    </row>
    <row r="305" spans="1:4" x14ac:dyDescent="0.35">
      <c r="A305" t="s">
        <v>2151</v>
      </c>
      <c r="B305">
        <v>-4142</v>
      </c>
      <c r="C305">
        <v>16777215</v>
      </c>
      <c r="D305">
        <v>0</v>
      </c>
    </row>
    <row r="306" spans="1:4" x14ac:dyDescent="0.35">
      <c r="A306" t="s">
        <v>2152</v>
      </c>
      <c r="B306">
        <v>-4142</v>
      </c>
      <c r="C306">
        <v>16777215</v>
      </c>
      <c r="D306">
        <v>0</v>
      </c>
    </row>
    <row r="307" spans="1:4" x14ac:dyDescent="0.35">
      <c r="A307" t="s">
        <v>2153</v>
      </c>
      <c r="B307">
        <v>-4142</v>
      </c>
      <c r="C307">
        <v>16777215</v>
      </c>
      <c r="D307">
        <v>0</v>
      </c>
    </row>
    <row r="308" spans="1:4" x14ac:dyDescent="0.35">
      <c r="A308" t="s">
        <v>2154</v>
      </c>
      <c r="B308">
        <v>-4142</v>
      </c>
      <c r="C308">
        <v>16777215</v>
      </c>
      <c r="D308">
        <v>0</v>
      </c>
    </row>
    <row r="309" spans="1:4" x14ac:dyDescent="0.35">
      <c r="A309" t="s">
        <v>2155</v>
      </c>
      <c r="B309">
        <v>-4142</v>
      </c>
      <c r="C309">
        <v>16777215</v>
      </c>
      <c r="D309">
        <v>0</v>
      </c>
    </row>
    <row r="310" spans="1:4" x14ac:dyDescent="0.35">
      <c r="A310" t="s">
        <v>2156</v>
      </c>
      <c r="B310">
        <v>-4142</v>
      </c>
      <c r="C310">
        <v>16777215</v>
      </c>
      <c r="D310">
        <v>0</v>
      </c>
    </row>
    <row r="311" spans="1:4" x14ac:dyDescent="0.35">
      <c r="A311" t="s">
        <v>2157</v>
      </c>
      <c r="B311">
        <v>-4142</v>
      </c>
      <c r="C311">
        <v>16777215</v>
      </c>
      <c r="D311">
        <v>0</v>
      </c>
    </row>
    <row r="312" spans="1:4" x14ac:dyDescent="0.35">
      <c r="A312" t="s">
        <v>2616</v>
      </c>
      <c r="B312">
        <v>-4142</v>
      </c>
      <c r="C312">
        <v>16777215</v>
      </c>
      <c r="D312">
        <v>0</v>
      </c>
    </row>
    <row r="313" spans="1:4" x14ac:dyDescent="0.35">
      <c r="A313" t="s">
        <v>2617</v>
      </c>
      <c r="B313">
        <v>-4142</v>
      </c>
      <c r="C313">
        <v>16777215</v>
      </c>
      <c r="D313">
        <v>0</v>
      </c>
    </row>
    <row r="314" spans="1:4" x14ac:dyDescent="0.35">
      <c r="A314" t="s">
        <v>2618</v>
      </c>
      <c r="B314">
        <v>-4142</v>
      </c>
      <c r="C314">
        <v>16777215</v>
      </c>
      <c r="D314">
        <v>0</v>
      </c>
    </row>
    <row r="315" spans="1:4" x14ac:dyDescent="0.35">
      <c r="A315" t="s">
        <v>2619</v>
      </c>
      <c r="B315">
        <v>-4142</v>
      </c>
      <c r="C315">
        <v>16777215</v>
      </c>
      <c r="D315">
        <v>0</v>
      </c>
    </row>
    <row r="316" spans="1:4" x14ac:dyDescent="0.35">
      <c r="A316" t="s">
        <v>2620</v>
      </c>
      <c r="B316">
        <v>-4142</v>
      </c>
      <c r="C316">
        <v>16777215</v>
      </c>
      <c r="D316">
        <v>0</v>
      </c>
    </row>
    <row r="317" spans="1:4" x14ac:dyDescent="0.35">
      <c r="A317" t="s">
        <v>2621</v>
      </c>
      <c r="B317">
        <v>-4142</v>
      </c>
      <c r="C317">
        <v>16777215</v>
      </c>
      <c r="D317">
        <v>0</v>
      </c>
    </row>
    <row r="318" spans="1:4" x14ac:dyDescent="0.35">
      <c r="A318" t="s">
        <v>2622</v>
      </c>
      <c r="B318">
        <v>-4142</v>
      </c>
      <c r="C318">
        <v>16777215</v>
      </c>
      <c r="D318">
        <v>0</v>
      </c>
    </row>
    <row r="319" spans="1:4" x14ac:dyDescent="0.35">
      <c r="A319" t="s">
        <v>2623</v>
      </c>
      <c r="B319">
        <v>-4142</v>
      </c>
      <c r="C319">
        <v>16777215</v>
      </c>
      <c r="D319">
        <v>0</v>
      </c>
    </row>
    <row r="320" spans="1:4" x14ac:dyDescent="0.35">
      <c r="A320" t="s">
        <v>2158</v>
      </c>
      <c r="B320">
        <v>-4142</v>
      </c>
      <c r="C320">
        <v>16777215</v>
      </c>
      <c r="D320">
        <v>0</v>
      </c>
    </row>
    <row r="321" spans="1:4" x14ac:dyDescent="0.35">
      <c r="A321" t="s">
        <v>2159</v>
      </c>
      <c r="B321">
        <v>-4142</v>
      </c>
      <c r="C321">
        <v>16777215</v>
      </c>
      <c r="D321">
        <v>10053222</v>
      </c>
    </row>
    <row r="322" spans="1:4" x14ac:dyDescent="0.35">
      <c r="A322" t="s">
        <v>2160</v>
      </c>
      <c r="B322">
        <v>-4142</v>
      </c>
      <c r="C322">
        <v>16777215</v>
      </c>
      <c r="D322">
        <v>10053222</v>
      </c>
    </row>
    <row r="323" spans="1:4" x14ac:dyDescent="0.35">
      <c r="A323" t="s">
        <v>2161</v>
      </c>
      <c r="B323">
        <v>-4142</v>
      </c>
      <c r="C323">
        <v>16777215</v>
      </c>
      <c r="D323">
        <v>10053222</v>
      </c>
    </row>
    <row r="324" spans="1:4" x14ac:dyDescent="0.35">
      <c r="A324" t="s">
        <v>2162</v>
      </c>
      <c r="B324">
        <v>-4142</v>
      </c>
      <c r="C324">
        <v>16777215</v>
      </c>
      <c r="D324">
        <v>10053222</v>
      </c>
    </row>
    <row r="325" spans="1:4" x14ac:dyDescent="0.35">
      <c r="A325" t="s">
        <v>2163</v>
      </c>
      <c r="B325">
        <v>-4142</v>
      </c>
      <c r="C325">
        <v>16777215</v>
      </c>
      <c r="D325">
        <v>0</v>
      </c>
    </row>
    <row r="326" spans="1:4" x14ac:dyDescent="0.35">
      <c r="A326" t="s">
        <v>2164</v>
      </c>
      <c r="B326">
        <v>-4142</v>
      </c>
      <c r="C326">
        <v>16777215</v>
      </c>
      <c r="D326">
        <v>16777215</v>
      </c>
    </row>
    <row r="327" spans="1:4" x14ac:dyDescent="0.35">
      <c r="A327" t="s">
        <v>2165</v>
      </c>
      <c r="B327">
        <v>-4142</v>
      </c>
      <c r="C327">
        <v>16777215</v>
      </c>
      <c r="D327">
        <v>16777215</v>
      </c>
    </row>
    <row r="328" spans="1:4" x14ac:dyDescent="0.35">
      <c r="A328" t="s">
        <v>2166</v>
      </c>
      <c r="B328">
        <v>-4142</v>
      </c>
      <c r="C328">
        <v>16777215</v>
      </c>
      <c r="D328">
        <v>16777215</v>
      </c>
    </row>
    <row r="329" spans="1:4" x14ac:dyDescent="0.35">
      <c r="A329" t="s">
        <v>2167</v>
      </c>
      <c r="B329">
        <v>-4142</v>
      </c>
      <c r="C329">
        <v>16777215</v>
      </c>
      <c r="D329">
        <v>16777215</v>
      </c>
    </row>
    <row r="330" spans="1:4" x14ac:dyDescent="0.35">
      <c r="A330" t="s">
        <v>2168</v>
      </c>
      <c r="B330">
        <v>-4142</v>
      </c>
      <c r="C330">
        <v>16777215</v>
      </c>
      <c r="D330">
        <v>16777215</v>
      </c>
    </row>
    <row r="331" spans="1:4" x14ac:dyDescent="0.35">
      <c r="A331" t="s">
        <v>2169</v>
      </c>
      <c r="B331">
        <v>-4142</v>
      </c>
      <c r="C331">
        <v>16777215</v>
      </c>
      <c r="D331">
        <v>16777215</v>
      </c>
    </row>
    <row r="332" spans="1:4" x14ac:dyDescent="0.35">
      <c r="A332" t="s">
        <v>2170</v>
      </c>
      <c r="B332">
        <v>-4142</v>
      </c>
      <c r="C332">
        <v>16777215</v>
      </c>
      <c r="D332">
        <v>16777215</v>
      </c>
    </row>
    <row r="333" spans="1:4" x14ac:dyDescent="0.35">
      <c r="A333" t="s">
        <v>2171</v>
      </c>
      <c r="B333">
        <v>-4142</v>
      </c>
      <c r="C333">
        <v>16777215</v>
      </c>
      <c r="D333">
        <v>16777215</v>
      </c>
    </row>
    <row r="334" spans="1:4" x14ac:dyDescent="0.35">
      <c r="A334" t="s">
        <v>2172</v>
      </c>
      <c r="B334">
        <v>-4142</v>
      </c>
      <c r="C334">
        <v>16777215</v>
      </c>
      <c r="D334">
        <v>16777215</v>
      </c>
    </row>
    <row r="335" spans="1:4" x14ac:dyDescent="0.35">
      <c r="A335" t="s">
        <v>2173</v>
      </c>
      <c r="B335">
        <v>-4142</v>
      </c>
      <c r="C335">
        <v>16777215</v>
      </c>
      <c r="D335">
        <v>16777215</v>
      </c>
    </row>
    <row r="336" spans="1:4" x14ac:dyDescent="0.35">
      <c r="A336" t="s">
        <v>2174</v>
      </c>
      <c r="B336">
        <v>-4142</v>
      </c>
      <c r="C336">
        <v>16777215</v>
      </c>
      <c r="D336">
        <v>16777215</v>
      </c>
    </row>
    <row r="337" spans="1:4" x14ac:dyDescent="0.35">
      <c r="A337" t="s">
        <v>2175</v>
      </c>
      <c r="B337">
        <v>-4142</v>
      </c>
      <c r="C337">
        <v>16777215</v>
      </c>
      <c r="D337">
        <v>16777215</v>
      </c>
    </row>
    <row r="338" spans="1:4" x14ac:dyDescent="0.35">
      <c r="A338" t="s">
        <v>2176</v>
      </c>
      <c r="B338">
        <v>-4142</v>
      </c>
      <c r="C338">
        <v>16777215</v>
      </c>
      <c r="D338">
        <v>16777215</v>
      </c>
    </row>
    <row r="339" spans="1:4" x14ac:dyDescent="0.35">
      <c r="A339" t="s">
        <v>2177</v>
      </c>
      <c r="B339">
        <v>-4142</v>
      </c>
      <c r="C339">
        <v>16777215</v>
      </c>
      <c r="D339">
        <v>16777215</v>
      </c>
    </row>
    <row r="340" spans="1:4" x14ac:dyDescent="0.35">
      <c r="A340" t="s">
        <v>2178</v>
      </c>
      <c r="B340">
        <v>-4142</v>
      </c>
      <c r="C340">
        <v>16777215</v>
      </c>
      <c r="D340">
        <v>0</v>
      </c>
    </row>
    <row r="341" spans="1:4" x14ac:dyDescent="0.35">
      <c r="A341" t="s">
        <v>2624</v>
      </c>
      <c r="B341">
        <v>-4142</v>
      </c>
      <c r="C341">
        <v>16777215</v>
      </c>
      <c r="D341">
        <v>0</v>
      </c>
    </row>
    <row r="342" spans="1:4" x14ac:dyDescent="0.35">
      <c r="A342" t="s">
        <v>2625</v>
      </c>
      <c r="B342">
        <v>-4142</v>
      </c>
      <c r="C342">
        <v>16777215</v>
      </c>
      <c r="D342">
        <v>0</v>
      </c>
    </row>
    <row r="343" spans="1:4" x14ac:dyDescent="0.35">
      <c r="A343" t="s">
        <v>2626</v>
      </c>
      <c r="B343">
        <v>-4142</v>
      </c>
      <c r="C343">
        <v>16777215</v>
      </c>
      <c r="D343">
        <v>0</v>
      </c>
    </row>
    <row r="344" spans="1:4" x14ac:dyDescent="0.35">
      <c r="A344" t="s">
        <v>2627</v>
      </c>
      <c r="B344">
        <v>-4142</v>
      </c>
      <c r="C344">
        <v>16777215</v>
      </c>
      <c r="D344">
        <v>0</v>
      </c>
    </row>
    <row r="345" spans="1:4" x14ac:dyDescent="0.35">
      <c r="A345" t="s">
        <v>2628</v>
      </c>
      <c r="B345">
        <v>-4142</v>
      </c>
      <c r="C345">
        <v>16777215</v>
      </c>
      <c r="D345">
        <v>0</v>
      </c>
    </row>
    <row r="346" spans="1:4" x14ac:dyDescent="0.35">
      <c r="A346" t="s">
        <v>2629</v>
      </c>
      <c r="B346">
        <v>-4142</v>
      </c>
      <c r="C346">
        <v>16777215</v>
      </c>
      <c r="D346">
        <v>0</v>
      </c>
    </row>
    <row r="347" spans="1:4" x14ac:dyDescent="0.35">
      <c r="A347" t="s">
        <v>2630</v>
      </c>
      <c r="B347">
        <v>-4142</v>
      </c>
      <c r="C347">
        <v>16777215</v>
      </c>
      <c r="D347">
        <v>0</v>
      </c>
    </row>
    <row r="348" spans="1:4" x14ac:dyDescent="0.35">
      <c r="A348" t="s">
        <v>2631</v>
      </c>
      <c r="B348">
        <v>-4142</v>
      </c>
      <c r="C348">
        <v>16777215</v>
      </c>
      <c r="D348">
        <v>0</v>
      </c>
    </row>
    <row r="349" spans="1:4" x14ac:dyDescent="0.35">
      <c r="A349" t="s">
        <v>2179</v>
      </c>
      <c r="B349">
        <v>-4142</v>
      </c>
      <c r="C349">
        <v>16777215</v>
      </c>
      <c r="D349">
        <v>0</v>
      </c>
    </row>
    <row r="350" spans="1:4" x14ac:dyDescent="0.35">
      <c r="A350" t="s">
        <v>2180</v>
      </c>
      <c r="B350">
        <v>-4142</v>
      </c>
      <c r="C350">
        <v>16777215</v>
      </c>
      <c r="D350">
        <v>10053222</v>
      </c>
    </row>
    <row r="351" spans="1:4" x14ac:dyDescent="0.35">
      <c r="A351" t="s">
        <v>2181</v>
      </c>
      <c r="B351">
        <v>-4142</v>
      </c>
      <c r="C351">
        <v>16777215</v>
      </c>
      <c r="D351">
        <v>10053222</v>
      </c>
    </row>
    <row r="352" spans="1:4" x14ac:dyDescent="0.35">
      <c r="A352" t="s">
        <v>2182</v>
      </c>
      <c r="B352">
        <v>-4142</v>
      </c>
      <c r="C352">
        <v>16777215</v>
      </c>
      <c r="D352">
        <v>10053222</v>
      </c>
    </row>
    <row r="353" spans="1:4" x14ac:dyDescent="0.35">
      <c r="A353" t="s">
        <v>2183</v>
      </c>
      <c r="B353">
        <v>-4142</v>
      </c>
      <c r="C353">
        <v>16777215</v>
      </c>
      <c r="D353">
        <v>10053222</v>
      </c>
    </row>
    <row r="354" spans="1:4" x14ac:dyDescent="0.35">
      <c r="A354" t="s">
        <v>2184</v>
      </c>
      <c r="B354">
        <v>-4142</v>
      </c>
      <c r="C354">
        <v>16777215</v>
      </c>
      <c r="D354">
        <v>0</v>
      </c>
    </row>
    <row r="355" spans="1:4" x14ac:dyDescent="0.35">
      <c r="A355" t="s">
        <v>2185</v>
      </c>
      <c r="B355">
        <v>-4142</v>
      </c>
      <c r="C355">
        <v>16777215</v>
      </c>
      <c r="D355">
        <v>6299648</v>
      </c>
    </row>
    <row r="356" spans="1:4" x14ac:dyDescent="0.35">
      <c r="A356" t="s">
        <v>2186</v>
      </c>
      <c r="B356">
        <v>-4142</v>
      </c>
      <c r="C356">
        <v>16777215</v>
      </c>
      <c r="D356">
        <v>6299648</v>
      </c>
    </row>
    <row r="357" spans="1:4" x14ac:dyDescent="0.35">
      <c r="A357" t="s">
        <v>2187</v>
      </c>
      <c r="B357">
        <v>-4142</v>
      </c>
      <c r="C357">
        <v>16777215</v>
      </c>
      <c r="D357">
        <v>6299648</v>
      </c>
    </row>
    <row r="358" spans="1:4" x14ac:dyDescent="0.35">
      <c r="A358" t="s">
        <v>2188</v>
      </c>
      <c r="B358">
        <v>-4142</v>
      </c>
      <c r="C358">
        <v>16777215</v>
      </c>
      <c r="D358">
        <v>0</v>
      </c>
    </row>
    <row r="359" spans="1:4" x14ac:dyDescent="0.35">
      <c r="A359" t="s">
        <v>2189</v>
      </c>
      <c r="B359">
        <v>-4142</v>
      </c>
      <c r="C359">
        <v>16777215</v>
      </c>
      <c r="D359">
        <v>0</v>
      </c>
    </row>
    <row r="360" spans="1:4" x14ac:dyDescent="0.35">
      <c r="A360" t="s">
        <v>2190</v>
      </c>
      <c r="B360">
        <v>-4142</v>
      </c>
      <c r="C360">
        <v>16777215</v>
      </c>
      <c r="D360">
        <v>0</v>
      </c>
    </row>
    <row r="361" spans="1:4" x14ac:dyDescent="0.35">
      <c r="A361" t="s">
        <v>2191</v>
      </c>
      <c r="B361">
        <v>-4142</v>
      </c>
      <c r="C361">
        <v>16777215</v>
      </c>
      <c r="D361">
        <v>0</v>
      </c>
    </row>
    <row r="362" spans="1:4" x14ac:dyDescent="0.35">
      <c r="A362" t="s">
        <v>2192</v>
      </c>
      <c r="B362">
        <v>-4142</v>
      </c>
      <c r="C362">
        <v>16777215</v>
      </c>
      <c r="D362">
        <v>0</v>
      </c>
    </row>
    <row r="363" spans="1:4" x14ac:dyDescent="0.35">
      <c r="A363" t="s">
        <v>2193</v>
      </c>
      <c r="B363">
        <v>-4142</v>
      </c>
      <c r="C363">
        <v>16777215</v>
      </c>
      <c r="D363">
        <v>0</v>
      </c>
    </row>
    <row r="364" spans="1:4" x14ac:dyDescent="0.35">
      <c r="A364" t="s">
        <v>2194</v>
      </c>
      <c r="B364">
        <v>-4142</v>
      </c>
      <c r="C364">
        <v>16777215</v>
      </c>
      <c r="D364">
        <v>0</v>
      </c>
    </row>
    <row r="365" spans="1:4" x14ac:dyDescent="0.35">
      <c r="A365" t="s">
        <v>2195</v>
      </c>
      <c r="B365">
        <v>-4142</v>
      </c>
      <c r="C365">
        <v>16777215</v>
      </c>
      <c r="D365">
        <v>0</v>
      </c>
    </row>
    <row r="366" spans="1:4" x14ac:dyDescent="0.35">
      <c r="A366" t="s">
        <v>2196</v>
      </c>
      <c r="B366">
        <v>-4142</v>
      </c>
      <c r="C366">
        <v>16777215</v>
      </c>
      <c r="D366">
        <v>0</v>
      </c>
    </row>
    <row r="367" spans="1:4" x14ac:dyDescent="0.35">
      <c r="A367" t="s">
        <v>2197</v>
      </c>
      <c r="B367">
        <v>-4142</v>
      </c>
      <c r="C367">
        <v>16777215</v>
      </c>
      <c r="D367">
        <v>0</v>
      </c>
    </row>
    <row r="368" spans="1:4" x14ac:dyDescent="0.35">
      <c r="A368" t="s">
        <v>2198</v>
      </c>
      <c r="B368">
        <v>-4142</v>
      </c>
      <c r="C368">
        <v>16777215</v>
      </c>
      <c r="D368">
        <v>0</v>
      </c>
    </row>
    <row r="369" spans="1:4" x14ac:dyDescent="0.35">
      <c r="A369" t="s">
        <v>2199</v>
      </c>
      <c r="B369">
        <v>-4142</v>
      </c>
      <c r="C369">
        <v>16777215</v>
      </c>
      <c r="D369">
        <v>0</v>
      </c>
    </row>
    <row r="370" spans="1:4" x14ac:dyDescent="0.35">
      <c r="A370" t="s">
        <v>2632</v>
      </c>
      <c r="B370">
        <v>-4142</v>
      </c>
      <c r="C370">
        <v>16777215</v>
      </c>
      <c r="D370">
        <v>0</v>
      </c>
    </row>
    <row r="371" spans="1:4" x14ac:dyDescent="0.35">
      <c r="A371" t="s">
        <v>2633</v>
      </c>
      <c r="B371">
        <v>-4142</v>
      </c>
      <c r="C371">
        <v>16777215</v>
      </c>
      <c r="D371">
        <v>0</v>
      </c>
    </row>
    <row r="372" spans="1:4" x14ac:dyDescent="0.35">
      <c r="A372" t="s">
        <v>2634</v>
      </c>
      <c r="B372">
        <v>-4142</v>
      </c>
      <c r="C372">
        <v>16777215</v>
      </c>
      <c r="D372">
        <v>0</v>
      </c>
    </row>
    <row r="373" spans="1:4" x14ac:dyDescent="0.35">
      <c r="A373" t="s">
        <v>2635</v>
      </c>
      <c r="B373">
        <v>-4142</v>
      </c>
      <c r="C373">
        <v>16777215</v>
      </c>
      <c r="D373">
        <v>0</v>
      </c>
    </row>
    <row r="374" spans="1:4" x14ac:dyDescent="0.35">
      <c r="A374" t="s">
        <v>2636</v>
      </c>
      <c r="B374">
        <v>-4142</v>
      </c>
      <c r="C374">
        <v>16777215</v>
      </c>
      <c r="D374">
        <v>0</v>
      </c>
    </row>
    <row r="375" spans="1:4" x14ac:dyDescent="0.35">
      <c r="A375" t="s">
        <v>2637</v>
      </c>
      <c r="B375">
        <v>-4142</v>
      </c>
      <c r="C375">
        <v>16777215</v>
      </c>
      <c r="D375">
        <v>0</v>
      </c>
    </row>
    <row r="376" spans="1:4" x14ac:dyDescent="0.35">
      <c r="A376" t="s">
        <v>2638</v>
      </c>
      <c r="B376">
        <v>-4142</v>
      </c>
      <c r="C376">
        <v>16777215</v>
      </c>
      <c r="D376">
        <v>0</v>
      </c>
    </row>
    <row r="377" spans="1:4" x14ac:dyDescent="0.35">
      <c r="A377" t="s">
        <v>2639</v>
      </c>
      <c r="B377">
        <v>-4142</v>
      </c>
      <c r="C377">
        <v>16777215</v>
      </c>
      <c r="D377">
        <v>0</v>
      </c>
    </row>
    <row r="378" spans="1:4" x14ac:dyDescent="0.35">
      <c r="A378" t="s">
        <v>2200</v>
      </c>
      <c r="B378">
        <v>-4142</v>
      </c>
      <c r="C378">
        <v>16777215</v>
      </c>
      <c r="D378">
        <v>0</v>
      </c>
    </row>
    <row r="379" spans="1:4" x14ac:dyDescent="0.35">
      <c r="A379" t="s">
        <v>2201</v>
      </c>
      <c r="B379">
        <v>-4142</v>
      </c>
      <c r="C379">
        <v>16777215</v>
      </c>
      <c r="D379">
        <v>10053222</v>
      </c>
    </row>
    <row r="380" spans="1:4" x14ac:dyDescent="0.35">
      <c r="A380" t="s">
        <v>2202</v>
      </c>
      <c r="B380">
        <v>-4142</v>
      </c>
      <c r="C380">
        <v>16777215</v>
      </c>
      <c r="D380">
        <v>10053222</v>
      </c>
    </row>
    <row r="381" spans="1:4" x14ac:dyDescent="0.35">
      <c r="A381" t="s">
        <v>2203</v>
      </c>
      <c r="B381">
        <v>-4142</v>
      </c>
      <c r="C381">
        <v>16777215</v>
      </c>
      <c r="D381">
        <v>10053222</v>
      </c>
    </row>
    <row r="382" spans="1:4" x14ac:dyDescent="0.35">
      <c r="A382" t="s">
        <v>2204</v>
      </c>
      <c r="B382">
        <v>-4142</v>
      </c>
      <c r="C382">
        <v>16777215</v>
      </c>
      <c r="D382">
        <v>10053222</v>
      </c>
    </row>
    <row r="383" spans="1:4" x14ac:dyDescent="0.35">
      <c r="A383" t="s">
        <v>2205</v>
      </c>
      <c r="B383">
        <v>-4142</v>
      </c>
      <c r="C383">
        <v>16777215</v>
      </c>
      <c r="D383">
        <v>0</v>
      </c>
    </row>
    <row r="384" spans="1:4" x14ac:dyDescent="0.35">
      <c r="A384" t="s">
        <v>2206</v>
      </c>
      <c r="B384">
        <v>-4142</v>
      </c>
      <c r="C384">
        <v>16777215</v>
      </c>
      <c r="D384">
        <v>6299648</v>
      </c>
    </row>
    <row r="385" spans="1:4" x14ac:dyDescent="0.35">
      <c r="A385" t="s">
        <v>2207</v>
      </c>
      <c r="B385">
        <v>-4142</v>
      </c>
      <c r="C385">
        <v>16777215</v>
      </c>
      <c r="D385">
        <v>6299648</v>
      </c>
    </row>
    <row r="386" spans="1:4" x14ac:dyDescent="0.35">
      <c r="A386" t="s">
        <v>2208</v>
      </c>
      <c r="B386">
        <v>-4142</v>
      </c>
      <c r="C386">
        <v>16777215</v>
      </c>
      <c r="D386">
        <v>6299648</v>
      </c>
    </row>
    <row r="387" spans="1:4" x14ac:dyDescent="0.35">
      <c r="A387" t="s">
        <v>2209</v>
      </c>
      <c r="B387">
        <v>-4142</v>
      </c>
      <c r="C387">
        <v>16777215</v>
      </c>
      <c r="D387">
        <v>0</v>
      </c>
    </row>
    <row r="388" spans="1:4" x14ac:dyDescent="0.35">
      <c r="A388" t="s">
        <v>2210</v>
      </c>
      <c r="B388">
        <v>-4142</v>
      </c>
      <c r="C388">
        <v>16777215</v>
      </c>
      <c r="D388">
        <v>0</v>
      </c>
    </row>
    <row r="389" spans="1:4" x14ac:dyDescent="0.35">
      <c r="A389" t="s">
        <v>2211</v>
      </c>
      <c r="B389">
        <v>-4142</v>
      </c>
      <c r="C389">
        <v>16777215</v>
      </c>
      <c r="D389">
        <v>0</v>
      </c>
    </row>
    <row r="390" spans="1:4" x14ac:dyDescent="0.35">
      <c r="A390" t="s">
        <v>2212</v>
      </c>
      <c r="B390">
        <v>-4142</v>
      </c>
      <c r="C390">
        <v>16777215</v>
      </c>
      <c r="D390">
        <v>0</v>
      </c>
    </row>
    <row r="391" spans="1:4" x14ac:dyDescent="0.35">
      <c r="A391" t="s">
        <v>2213</v>
      </c>
      <c r="B391">
        <v>-4142</v>
      </c>
      <c r="C391">
        <v>16777215</v>
      </c>
      <c r="D391">
        <v>0</v>
      </c>
    </row>
    <row r="392" spans="1:4" x14ac:dyDescent="0.35">
      <c r="A392" t="s">
        <v>2214</v>
      </c>
      <c r="B392">
        <v>-4142</v>
      </c>
      <c r="C392">
        <v>16777215</v>
      </c>
      <c r="D392">
        <v>0</v>
      </c>
    </row>
    <row r="393" spans="1:4" x14ac:dyDescent="0.35">
      <c r="A393" t="s">
        <v>2215</v>
      </c>
      <c r="B393">
        <v>-4142</v>
      </c>
      <c r="C393">
        <v>16777215</v>
      </c>
      <c r="D393">
        <v>0</v>
      </c>
    </row>
    <row r="394" spans="1:4" x14ac:dyDescent="0.35">
      <c r="A394" t="s">
        <v>2216</v>
      </c>
      <c r="B394">
        <v>-4142</v>
      </c>
      <c r="C394">
        <v>16777215</v>
      </c>
      <c r="D394">
        <v>0</v>
      </c>
    </row>
    <row r="395" spans="1:4" x14ac:dyDescent="0.35">
      <c r="A395" t="s">
        <v>2217</v>
      </c>
      <c r="B395">
        <v>-4142</v>
      </c>
      <c r="C395">
        <v>16777215</v>
      </c>
      <c r="D395">
        <v>0</v>
      </c>
    </row>
    <row r="396" spans="1:4" x14ac:dyDescent="0.35">
      <c r="A396" t="s">
        <v>2218</v>
      </c>
      <c r="B396">
        <v>-4142</v>
      </c>
      <c r="C396">
        <v>16777215</v>
      </c>
      <c r="D396">
        <v>0</v>
      </c>
    </row>
    <row r="397" spans="1:4" x14ac:dyDescent="0.35">
      <c r="A397" t="s">
        <v>2219</v>
      </c>
      <c r="B397">
        <v>-4142</v>
      </c>
      <c r="C397">
        <v>16777215</v>
      </c>
      <c r="D397">
        <v>0</v>
      </c>
    </row>
    <row r="398" spans="1:4" x14ac:dyDescent="0.35">
      <c r="A398" t="s">
        <v>2220</v>
      </c>
      <c r="B398">
        <v>-4142</v>
      </c>
      <c r="C398">
        <v>16777215</v>
      </c>
      <c r="D398">
        <v>0</v>
      </c>
    </row>
    <row r="399" spans="1:4" x14ac:dyDescent="0.35">
      <c r="A399" t="s">
        <v>2640</v>
      </c>
      <c r="B399">
        <v>-4142</v>
      </c>
      <c r="C399">
        <v>16777215</v>
      </c>
      <c r="D399">
        <v>0</v>
      </c>
    </row>
    <row r="400" spans="1:4" x14ac:dyDescent="0.35">
      <c r="A400" t="s">
        <v>2641</v>
      </c>
      <c r="B400">
        <v>-4142</v>
      </c>
      <c r="C400">
        <v>16777215</v>
      </c>
      <c r="D400">
        <v>0</v>
      </c>
    </row>
    <row r="401" spans="1:4" x14ac:dyDescent="0.35">
      <c r="A401" t="s">
        <v>2642</v>
      </c>
      <c r="B401">
        <v>-4142</v>
      </c>
      <c r="C401">
        <v>16777215</v>
      </c>
      <c r="D401">
        <v>0</v>
      </c>
    </row>
    <row r="402" spans="1:4" x14ac:dyDescent="0.35">
      <c r="A402" t="s">
        <v>2643</v>
      </c>
      <c r="B402">
        <v>-4142</v>
      </c>
      <c r="C402">
        <v>16777215</v>
      </c>
      <c r="D402">
        <v>0</v>
      </c>
    </row>
    <row r="403" spans="1:4" x14ac:dyDescent="0.35">
      <c r="A403" t="s">
        <v>2644</v>
      </c>
      <c r="B403">
        <v>-4142</v>
      </c>
      <c r="C403">
        <v>16777215</v>
      </c>
      <c r="D403">
        <v>0</v>
      </c>
    </row>
    <row r="404" spans="1:4" x14ac:dyDescent="0.35">
      <c r="A404" t="s">
        <v>2645</v>
      </c>
      <c r="B404">
        <v>-4142</v>
      </c>
      <c r="C404">
        <v>16777215</v>
      </c>
      <c r="D404">
        <v>0</v>
      </c>
    </row>
    <row r="405" spans="1:4" x14ac:dyDescent="0.35">
      <c r="A405" t="s">
        <v>2646</v>
      </c>
      <c r="B405">
        <v>-4142</v>
      </c>
      <c r="C405">
        <v>16777215</v>
      </c>
      <c r="D405">
        <v>0</v>
      </c>
    </row>
    <row r="406" spans="1:4" x14ac:dyDescent="0.35">
      <c r="A406" t="s">
        <v>2647</v>
      </c>
      <c r="B406">
        <v>-4142</v>
      </c>
      <c r="C406">
        <v>16777215</v>
      </c>
      <c r="D406">
        <v>0</v>
      </c>
    </row>
    <row r="407" spans="1:4" x14ac:dyDescent="0.35">
      <c r="A407" t="s">
        <v>2221</v>
      </c>
      <c r="B407">
        <v>-4142</v>
      </c>
      <c r="C407">
        <v>16777215</v>
      </c>
      <c r="D407">
        <v>0</v>
      </c>
    </row>
    <row r="408" spans="1:4" x14ac:dyDescent="0.35">
      <c r="A408" t="s">
        <v>2222</v>
      </c>
      <c r="B408">
        <v>-4142</v>
      </c>
      <c r="C408">
        <v>16777215</v>
      </c>
      <c r="D408">
        <v>0</v>
      </c>
    </row>
    <row r="409" spans="1:4" x14ac:dyDescent="0.35">
      <c r="A409" t="s">
        <v>2223</v>
      </c>
      <c r="B409">
        <v>-4142</v>
      </c>
      <c r="C409">
        <v>16777215</v>
      </c>
      <c r="D409">
        <v>0</v>
      </c>
    </row>
    <row r="410" spans="1:4" x14ac:dyDescent="0.35">
      <c r="A410" t="s">
        <v>2224</v>
      </c>
      <c r="B410">
        <v>-4142</v>
      </c>
      <c r="C410">
        <v>16777215</v>
      </c>
      <c r="D410">
        <v>0</v>
      </c>
    </row>
    <row r="411" spans="1:4" x14ac:dyDescent="0.35">
      <c r="A411" t="s">
        <v>2225</v>
      </c>
      <c r="B411">
        <v>-4142</v>
      </c>
      <c r="C411">
        <v>16777215</v>
      </c>
      <c r="D411">
        <v>0</v>
      </c>
    </row>
    <row r="412" spans="1:4" x14ac:dyDescent="0.35">
      <c r="A412" t="s">
        <v>2226</v>
      </c>
      <c r="B412">
        <v>-4142</v>
      </c>
      <c r="C412">
        <v>16777215</v>
      </c>
      <c r="D412">
        <v>0</v>
      </c>
    </row>
    <row r="413" spans="1:4" x14ac:dyDescent="0.35">
      <c r="A413" t="s">
        <v>2227</v>
      </c>
      <c r="B413">
        <v>-4142</v>
      </c>
      <c r="C413">
        <v>16777215</v>
      </c>
      <c r="D413">
        <v>0</v>
      </c>
    </row>
    <row r="414" spans="1:4" x14ac:dyDescent="0.35">
      <c r="A414" t="s">
        <v>2228</v>
      </c>
      <c r="B414">
        <v>-4142</v>
      </c>
      <c r="C414">
        <v>16777215</v>
      </c>
      <c r="D414">
        <v>0</v>
      </c>
    </row>
    <row r="415" spans="1:4" x14ac:dyDescent="0.35">
      <c r="A415" t="s">
        <v>2229</v>
      </c>
      <c r="B415">
        <v>-4142</v>
      </c>
      <c r="C415">
        <v>16777215</v>
      </c>
      <c r="D415">
        <v>0</v>
      </c>
    </row>
    <row r="416" spans="1:4" x14ac:dyDescent="0.35">
      <c r="A416" t="s">
        <v>2230</v>
      </c>
      <c r="B416">
        <v>-4142</v>
      </c>
      <c r="C416">
        <v>16777215</v>
      </c>
      <c r="D416">
        <v>0</v>
      </c>
    </row>
    <row r="417" spans="1:4" x14ac:dyDescent="0.35">
      <c r="A417" t="s">
        <v>2231</v>
      </c>
      <c r="B417">
        <v>-4142</v>
      </c>
      <c r="C417">
        <v>16777215</v>
      </c>
      <c r="D417">
        <v>0</v>
      </c>
    </row>
    <row r="418" spans="1:4" x14ac:dyDescent="0.35">
      <c r="A418" t="s">
        <v>2232</v>
      </c>
      <c r="B418">
        <v>-4142</v>
      </c>
      <c r="C418">
        <v>16777215</v>
      </c>
      <c r="D418">
        <v>0</v>
      </c>
    </row>
    <row r="419" spans="1:4" x14ac:dyDescent="0.35">
      <c r="A419" t="s">
        <v>2233</v>
      </c>
      <c r="B419">
        <v>-4142</v>
      </c>
      <c r="C419">
        <v>16777215</v>
      </c>
      <c r="D419">
        <v>0</v>
      </c>
    </row>
    <row r="420" spans="1:4" x14ac:dyDescent="0.35">
      <c r="A420" t="s">
        <v>2234</v>
      </c>
      <c r="B420">
        <v>-4142</v>
      </c>
      <c r="C420">
        <v>16777215</v>
      </c>
      <c r="D420">
        <v>0</v>
      </c>
    </row>
    <row r="421" spans="1:4" x14ac:dyDescent="0.35">
      <c r="A421" t="s">
        <v>2235</v>
      </c>
      <c r="B421">
        <v>-4142</v>
      </c>
      <c r="C421">
        <v>16777215</v>
      </c>
      <c r="D421">
        <v>0</v>
      </c>
    </row>
    <row r="422" spans="1:4" x14ac:dyDescent="0.35">
      <c r="A422" t="s">
        <v>2236</v>
      </c>
      <c r="B422">
        <v>-4142</v>
      </c>
      <c r="C422">
        <v>16777215</v>
      </c>
      <c r="D422">
        <v>0</v>
      </c>
    </row>
    <row r="423" spans="1:4" x14ac:dyDescent="0.35">
      <c r="A423" t="s">
        <v>2237</v>
      </c>
      <c r="B423">
        <v>-4142</v>
      </c>
      <c r="C423">
        <v>16777215</v>
      </c>
      <c r="D423">
        <v>0</v>
      </c>
    </row>
    <row r="424" spans="1:4" x14ac:dyDescent="0.35">
      <c r="A424" t="s">
        <v>2238</v>
      </c>
      <c r="B424">
        <v>-4142</v>
      </c>
      <c r="C424">
        <v>16777215</v>
      </c>
      <c r="D424">
        <v>0</v>
      </c>
    </row>
    <row r="425" spans="1:4" x14ac:dyDescent="0.35">
      <c r="A425" t="s">
        <v>2239</v>
      </c>
      <c r="B425">
        <v>-4142</v>
      </c>
      <c r="C425">
        <v>16777215</v>
      </c>
      <c r="D425">
        <v>0</v>
      </c>
    </row>
    <row r="426" spans="1:4" x14ac:dyDescent="0.35">
      <c r="A426" t="s">
        <v>2240</v>
      </c>
      <c r="B426">
        <v>-4142</v>
      </c>
      <c r="C426">
        <v>16777215</v>
      </c>
      <c r="D426">
        <v>0</v>
      </c>
    </row>
    <row r="427" spans="1:4" x14ac:dyDescent="0.35">
      <c r="A427" t="s">
        <v>2241</v>
      </c>
      <c r="B427">
        <v>-4142</v>
      </c>
      <c r="C427">
        <v>16777215</v>
      </c>
      <c r="D427">
        <v>0</v>
      </c>
    </row>
    <row r="428" spans="1:4" x14ac:dyDescent="0.35">
      <c r="A428" t="s">
        <v>2648</v>
      </c>
      <c r="B428">
        <v>-4142</v>
      </c>
      <c r="C428">
        <v>16777215</v>
      </c>
      <c r="D428">
        <v>0</v>
      </c>
    </row>
    <row r="429" spans="1:4" x14ac:dyDescent="0.35">
      <c r="A429" t="s">
        <v>2649</v>
      </c>
      <c r="B429">
        <v>-4142</v>
      </c>
      <c r="C429">
        <v>16777215</v>
      </c>
      <c r="D429">
        <v>0</v>
      </c>
    </row>
    <row r="430" spans="1:4" x14ac:dyDescent="0.35">
      <c r="A430" t="s">
        <v>2650</v>
      </c>
      <c r="B430">
        <v>-4142</v>
      </c>
      <c r="C430">
        <v>16777215</v>
      </c>
      <c r="D430">
        <v>0</v>
      </c>
    </row>
    <row r="431" spans="1:4" x14ac:dyDescent="0.35">
      <c r="A431" t="s">
        <v>2651</v>
      </c>
      <c r="B431">
        <v>-4142</v>
      </c>
      <c r="C431">
        <v>16777215</v>
      </c>
      <c r="D431">
        <v>0</v>
      </c>
    </row>
    <row r="432" spans="1:4" x14ac:dyDescent="0.35">
      <c r="A432" t="s">
        <v>2652</v>
      </c>
      <c r="B432">
        <v>-4142</v>
      </c>
      <c r="C432">
        <v>16777215</v>
      </c>
      <c r="D432">
        <v>0</v>
      </c>
    </row>
    <row r="433" spans="1:4" x14ac:dyDescent="0.35">
      <c r="A433" t="s">
        <v>2653</v>
      </c>
      <c r="B433">
        <v>-4142</v>
      </c>
      <c r="C433">
        <v>16777215</v>
      </c>
      <c r="D433">
        <v>0</v>
      </c>
    </row>
    <row r="434" spans="1:4" x14ac:dyDescent="0.35">
      <c r="A434" t="s">
        <v>2654</v>
      </c>
      <c r="B434">
        <v>-4142</v>
      </c>
      <c r="C434">
        <v>16777215</v>
      </c>
      <c r="D434">
        <v>0</v>
      </c>
    </row>
    <row r="435" spans="1:4" x14ac:dyDescent="0.35">
      <c r="A435" t="s">
        <v>2655</v>
      </c>
      <c r="B435">
        <v>-4142</v>
      </c>
      <c r="C435">
        <v>16777215</v>
      </c>
      <c r="D435">
        <v>0</v>
      </c>
    </row>
    <row r="436" spans="1:4" x14ac:dyDescent="0.35">
      <c r="A436" t="s">
        <v>2242</v>
      </c>
      <c r="B436">
        <v>-4142</v>
      </c>
      <c r="C436">
        <v>16777215</v>
      </c>
      <c r="D436">
        <v>0</v>
      </c>
    </row>
    <row r="437" spans="1:4" x14ac:dyDescent="0.35">
      <c r="A437" t="s">
        <v>2243</v>
      </c>
      <c r="B437">
        <v>-4142</v>
      </c>
      <c r="C437">
        <v>16777215</v>
      </c>
      <c r="D437">
        <v>16777215</v>
      </c>
    </row>
    <row r="438" spans="1:4" x14ac:dyDescent="0.35">
      <c r="A438" t="s">
        <v>2244</v>
      </c>
      <c r="B438">
        <v>-4142</v>
      </c>
      <c r="C438">
        <v>16777215</v>
      </c>
      <c r="D438">
        <v>16777215</v>
      </c>
    </row>
    <row r="439" spans="1:4" x14ac:dyDescent="0.35">
      <c r="A439" t="s">
        <v>2245</v>
      </c>
      <c r="B439">
        <v>-4142</v>
      </c>
      <c r="C439">
        <v>16777215</v>
      </c>
      <c r="D439">
        <v>16777215</v>
      </c>
    </row>
    <row r="440" spans="1:4" x14ac:dyDescent="0.35">
      <c r="A440" t="s">
        <v>2246</v>
      </c>
      <c r="B440">
        <v>-4142</v>
      </c>
      <c r="C440">
        <v>16777215</v>
      </c>
      <c r="D440">
        <v>16777215</v>
      </c>
    </row>
    <row r="441" spans="1:4" x14ac:dyDescent="0.35">
      <c r="A441" t="s">
        <v>2247</v>
      </c>
      <c r="B441">
        <v>-4142</v>
      </c>
      <c r="C441">
        <v>16777215</v>
      </c>
      <c r="D441">
        <v>0</v>
      </c>
    </row>
    <row r="442" spans="1:4" x14ac:dyDescent="0.35">
      <c r="A442" t="s">
        <v>2248</v>
      </c>
      <c r="B442">
        <v>-4142</v>
      </c>
      <c r="C442">
        <v>16777215</v>
      </c>
      <c r="D442">
        <v>16777215</v>
      </c>
    </row>
    <row r="443" spans="1:4" x14ac:dyDescent="0.35">
      <c r="A443" t="s">
        <v>2249</v>
      </c>
      <c r="B443">
        <v>-4142</v>
      </c>
      <c r="C443">
        <v>16777215</v>
      </c>
      <c r="D443">
        <v>16777215</v>
      </c>
    </row>
    <row r="444" spans="1:4" x14ac:dyDescent="0.35">
      <c r="A444" t="s">
        <v>2250</v>
      </c>
      <c r="B444">
        <v>-4142</v>
      </c>
      <c r="C444">
        <v>16777215</v>
      </c>
      <c r="D444">
        <v>16777215</v>
      </c>
    </row>
    <row r="445" spans="1:4" x14ac:dyDescent="0.35">
      <c r="A445" t="s">
        <v>2251</v>
      </c>
      <c r="B445">
        <v>-4142</v>
      </c>
      <c r="C445">
        <v>16777215</v>
      </c>
      <c r="D445">
        <v>16777215</v>
      </c>
    </row>
    <row r="446" spans="1:4" x14ac:dyDescent="0.35">
      <c r="A446" t="s">
        <v>2252</v>
      </c>
      <c r="B446">
        <v>-4142</v>
      </c>
      <c r="C446">
        <v>16777215</v>
      </c>
      <c r="D446">
        <v>16777215</v>
      </c>
    </row>
    <row r="447" spans="1:4" x14ac:dyDescent="0.35">
      <c r="A447" t="s">
        <v>2253</v>
      </c>
      <c r="B447">
        <v>-4142</v>
      </c>
      <c r="C447">
        <v>16777215</v>
      </c>
      <c r="D447">
        <v>16777215</v>
      </c>
    </row>
    <row r="448" spans="1:4" x14ac:dyDescent="0.35">
      <c r="A448" t="s">
        <v>2254</v>
      </c>
      <c r="B448">
        <v>-4142</v>
      </c>
      <c r="C448">
        <v>16777215</v>
      </c>
      <c r="D448">
        <v>16777215</v>
      </c>
    </row>
    <row r="449" spans="1:4" x14ac:dyDescent="0.35">
      <c r="A449" t="s">
        <v>2255</v>
      </c>
      <c r="B449">
        <v>-4142</v>
      </c>
      <c r="C449">
        <v>16777215</v>
      </c>
      <c r="D449">
        <v>16777215</v>
      </c>
    </row>
    <row r="450" spans="1:4" x14ac:dyDescent="0.35">
      <c r="A450" t="s">
        <v>2256</v>
      </c>
      <c r="B450">
        <v>-4142</v>
      </c>
      <c r="C450">
        <v>16777215</v>
      </c>
      <c r="D450">
        <v>16777215</v>
      </c>
    </row>
    <row r="451" spans="1:4" x14ac:dyDescent="0.35">
      <c r="A451" t="s">
        <v>2257</v>
      </c>
      <c r="B451">
        <v>-4142</v>
      </c>
      <c r="C451">
        <v>16777215</v>
      </c>
      <c r="D451">
        <v>16777215</v>
      </c>
    </row>
    <row r="452" spans="1:4" x14ac:dyDescent="0.35">
      <c r="A452" t="s">
        <v>2258</v>
      </c>
      <c r="B452">
        <v>-4142</v>
      </c>
      <c r="C452">
        <v>16777215</v>
      </c>
      <c r="D452">
        <v>16777215</v>
      </c>
    </row>
    <row r="453" spans="1:4" x14ac:dyDescent="0.35">
      <c r="A453" t="s">
        <v>2259</v>
      </c>
      <c r="B453">
        <v>-4142</v>
      </c>
      <c r="C453">
        <v>16777215</v>
      </c>
      <c r="D453">
        <v>16777215</v>
      </c>
    </row>
    <row r="454" spans="1:4" x14ac:dyDescent="0.35">
      <c r="A454" t="s">
        <v>2260</v>
      </c>
      <c r="B454">
        <v>-4142</v>
      </c>
      <c r="C454">
        <v>16777215</v>
      </c>
      <c r="D454">
        <v>16777215</v>
      </c>
    </row>
    <row r="455" spans="1:4" x14ac:dyDescent="0.35">
      <c r="A455" t="s">
        <v>2261</v>
      </c>
      <c r="B455">
        <v>-4142</v>
      </c>
      <c r="C455">
        <v>16777215</v>
      </c>
      <c r="D455">
        <v>16777215</v>
      </c>
    </row>
    <row r="456" spans="1:4" x14ac:dyDescent="0.35">
      <c r="A456" t="s">
        <v>2262</v>
      </c>
      <c r="B456">
        <v>-4142</v>
      </c>
      <c r="C456">
        <v>16777215</v>
      </c>
      <c r="D456">
        <v>0</v>
      </c>
    </row>
    <row r="457" spans="1:4" x14ac:dyDescent="0.35">
      <c r="A457" t="s">
        <v>2656</v>
      </c>
      <c r="B457">
        <v>-4142</v>
      </c>
      <c r="C457">
        <v>16777215</v>
      </c>
      <c r="D457">
        <v>0</v>
      </c>
    </row>
    <row r="458" spans="1:4" x14ac:dyDescent="0.35">
      <c r="A458" t="s">
        <v>2657</v>
      </c>
      <c r="B458">
        <v>-4142</v>
      </c>
      <c r="C458">
        <v>16777215</v>
      </c>
      <c r="D458">
        <v>0</v>
      </c>
    </row>
    <row r="459" spans="1:4" x14ac:dyDescent="0.35">
      <c r="A459" t="s">
        <v>2658</v>
      </c>
      <c r="B459">
        <v>-4142</v>
      </c>
      <c r="C459">
        <v>16777215</v>
      </c>
      <c r="D459">
        <v>0</v>
      </c>
    </row>
    <row r="460" spans="1:4" x14ac:dyDescent="0.35">
      <c r="A460" t="s">
        <v>2659</v>
      </c>
      <c r="B460">
        <v>-4142</v>
      </c>
      <c r="C460">
        <v>16777215</v>
      </c>
      <c r="D460">
        <v>0</v>
      </c>
    </row>
    <row r="461" spans="1:4" x14ac:dyDescent="0.35">
      <c r="A461" t="s">
        <v>2660</v>
      </c>
      <c r="B461">
        <v>-4142</v>
      </c>
      <c r="C461">
        <v>16777215</v>
      </c>
      <c r="D461">
        <v>0</v>
      </c>
    </row>
    <row r="462" spans="1:4" x14ac:dyDescent="0.35">
      <c r="A462" t="s">
        <v>2661</v>
      </c>
      <c r="B462">
        <v>-4142</v>
      </c>
      <c r="C462">
        <v>16777215</v>
      </c>
      <c r="D462">
        <v>0</v>
      </c>
    </row>
    <row r="463" spans="1:4" x14ac:dyDescent="0.35">
      <c r="A463" t="s">
        <v>2662</v>
      </c>
      <c r="B463">
        <v>-4142</v>
      </c>
      <c r="C463">
        <v>16777215</v>
      </c>
      <c r="D463">
        <v>0</v>
      </c>
    </row>
    <row r="464" spans="1:4" x14ac:dyDescent="0.35">
      <c r="A464" t="s">
        <v>2663</v>
      </c>
      <c r="B464">
        <v>-4142</v>
      </c>
      <c r="C464">
        <v>16777215</v>
      </c>
      <c r="D464">
        <v>0</v>
      </c>
    </row>
    <row r="465" spans="1:4" x14ac:dyDescent="0.35">
      <c r="A465" t="s">
        <v>2263</v>
      </c>
      <c r="B465">
        <v>-4142</v>
      </c>
      <c r="C465">
        <v>16777215</v>
      </c>
      <c r="D465">
        <v>0</v>
      </c>
    </row>
    <row r="466" spans="1:4" x14ac:dyDescent="0.35">
      <c r="A466" t="s">
        <v>2264</v>
      </c>
      <c r="B466">
        <v>-4142</v>
      </c>
      <c r="C466">
        <v>16777215</v>
      </c>
      <c r="D466">
        <v>0</v>
      </c>
    </row>
    <row r="467" spans="1:4" x14ac:dyDescent="0.35">
      <c r="A467" t="s">
        <v>2265</v>
      </c>
      <c r="B467">
        <v>-4142</v>
      </c>
      <c r="C467">
        <v>16777215</v>
      </c>
      <c r="D467">
        <v>0</v>
      </c>
    </row>
    <row r="468" spans="1:4" x14ac:dyDescent="0.35">
      <c r="A468" t="s">
        <v>2266</v>
      </c>
      <c r="B468">
        <v>-4142</v>
      </c>
      <c r="C468">
        <v>16777215</v>
      </c>
      <c r="D468">
        <v>0</v>
      </c>
    </row>
    <row r="469" spans="1:4" x14ac:dyDescent="0.35">
      <c r="A469" t="s">
        <v>2267</v>
      </c>
      <c r="B469">
        <v>-4142</v>
      </c>
      <c r="C469">
        <v>16777215</v>
      </c>
      <c r="D469">
        <v>0</v>
      </c>
    </row>
    <row r="470" spans="1:4" x14ac:dyDescent="0.35">
      <c r="A470" t="s">
        <v>2268</v>
      </c>
      <c r="B470">
        <v>-4142</v>
      </c>
      <c r="C470">
        <v>16777215</v>
      </c>
      <c r="D470">
        <v>0</v>
      </c>
    </row>
    <row r="471" spans="1:4" x14ac:dyDescent="0.35">
      <c r="A471" t="s">
        <v>2269</v>
      </c>
      <c r="B471">
        <v>-4142</v>
      </c>
      <c r="C471">
        <v>16777215</v>
      </c>
      <c r="D471">
        <v>0</v>
      </c>
    </row>
    <row r="472" spans="1:4" x14ac:dyDescent="0.35">
      <c r="A472" t="s">
        <v>2270</v>
      </c>
      <c r="B472">
        <v>-4142</v>
      </c>
      <c r="C472">
        <v>16777215</v>
      </c>
      <c r="D472">
        <v>0</v>
      </c>
    </row>
    <row r="473" spans="1:4" x14ac:dyDescent="0.35">
      <c r="A473" t="s">
        <v>2271</v>
      </c>
      <c r="B473">
        <v>-4142</v>
      </c>
      <c r="C473">
        <v>16777215</v>
      </c>
      <c r="D473">
        <v>0</v>
      </c>
    </row>
    <row r="474" spans="1:4" x14ac:dyDescent="0.35">
      <c r="A474" t="s">
        <v>2272</v>
      </c>
      <c r="B474">
        <v>-4142</v>
      </c>
      <c r="C474">
        <v>16777215</v>
      </c>
      <c r="D474">
        <v>0</v>
      </c>
    </row>
    <row r="475" spans="1:4" x14ac:dyDescent="0.35">
      <c r="A475" t="s">
        <v>2273</v>
      </c>
      <c r="B475">
        <v>-4142</v>
      </c>
      <c r="C475">
        <v>16777215</v>
      </c>
      <c r="D475">
        <v>0</v>
      </c>
    </row>
    <row r="476" spans="1:4" x14ac:dyDescent="0.35">
      <c r="A476" t="s">
        <v>2274</v>
      </c>
      <c r="B476">
        <v>-4142</v>
      </c>
      <c r="C476">
        <v>16777215</v>
      </c>
      <c r="D476">
        <v>0</v>
      </c>
    </row>
    <row r="477" spans="1:4" x14ac:dyDescent="0.35">
      <c r="A477" t="s">
        <v>2275</v>
      </c>
      <c r="B477">
        <v>-4142</v>
      </c>
      <c r="C477">
        <v>16777215</v>
      </c>
      <c r="D477">
        <v>0</v>
      </c>
    </row>
    <row r="478" spans="1:4" x14ac:dyDescent="0.35">
      <c r="A478" t="s">
        <v>2276</v>
      </c>
      <c r="B478">
        <v>-4142</v>
      </c>
      <c r="C478">
        <v>16777215</v>
      </c>
      <c r="D478">
        <v>0</v>
      </c>
    </row>
    <row r="479" spans="1:4" x14ac:dyDescent="0.35">
      <c r="A479" t="s">
        <v>2277</v>
      </c>
      <c r="B479">
        <v>-4142</v>
      </c>
      <c r="C479">
        <v>16777215</v>
      </c>
      <c r="D479">
        <v>0</v>
      </c>
    </row>
    <row r="480" spans="1:4" x14ac:dyDescent="0.35">
      <c r="A480" t="s">
        <v>2278</v>
      </c>
      <c r="B480">
        <v>-4142</v>
      </c>
      <c r="C480">
        <v>16777215</v>
      </c>
      <c r="D480">
        <v>0</v>
      </c>
    </row>
    <row r="481" spans="1:4" x14ac:dyDescent="0.35">
      <c r="A481" t="s">
        <v>2279</v>
      </c>
      <c r="B481">
        <v>-4142</v>
      </c>
      <c r="C481">
        <v>16777215</v>
      </c>
      <c r="D481">
        <v>0</v>
      </c>
    </row>
    <row r="482" spans="1:4" x14ac:dyDescent="0.35">
      <c r="A482" t="s">
        <v>2280</v>
      </c>
      <c r="B482">
        <v>-4142</v>
      </c>
      <c r="C482">
        <v>16777215</v>
      </c>
      <c r="D482">
        <v>0</v>
      </c>
    </row>
    <row r="483" spans="1:4" x14ac:dyDescent="0.35">
      <c r="A483" t="s">
        <v>2281</v>
      </c>
      <c r="B483">
        <v>-4142</v>
      </c>
      <c r="C483">
        <v>16777215</v>
      </c>
      <c r="D483">
        <v>0</v>
      </c>
    </row>
    <row r="484" spans="1:4" x14ac:dyDescent="0.35">
      <c r="A484" t="s">
        <v>2282</v>
      </c>
      <c r="B484">
        <v>-4142</v>
      </c>
      <c r="C484">
        <v>16777215</v>
      </c>
      <c r="D484">
        <v>0</v>
      </c>
    </row>
    <row r="485" spans="1:4" x14ac:dyDescent="0.35">
      <c r="A485" t="s">
        <v>2283</v>
      </c>
      <c r="B485">
        <v>-4142</v>
      </c>
      <c r="C485">
        <v>16777215</v>
      </c>
      <c r="D485">
        <v>0</v>
      </c>
    </row>
    <row r="486" spans="1:4" x14ac:dyDescent="0.35">
      <c r="A486" t="s">
        <v>2664</v>
      </c>
      <c r="B486">
        <v>-4142</v>
      </c>
      <c r="C486">
        <v>16777215</v>
      </c>
      <c r="D486">
        <v>0</v>
      </c>
    </row>
    <row r="487" spans="1:4" x14ac:dyDescent="0.35">
      <c r="A487" t="s">
        <v>2665</v>
      </c>
      <c r="B487">
        <v>-4142</v>
      </c>
      <c r="C487">
        <v>16777215</v>
      </c>
      <c r="D487">
        <v>0</v>
      </c>
    </row>
    <row r="488" spans="1:4" x14ac:dyDescent="0.35">
      <c r="A488" t="s">
        <v>2666</v>
      </c>
      <c r="B488">
        <v>-4142</v>
      </c>
      <c r="C488">
        <v>16777215</v>
      </c>
      <c r="D488">
        <v>0</v>
      </c>
    </row>
    <row r="489" spans="1:4" x14ac:dyDescent="0.35">
      <c r="A489" t="s">
        <v>2667</v>
      </c>
      <c r="B489">
        <v>-4142</v>
      </c>
      <c r="C489">
        <v>16777215</v>
      </c>
      <c r="D489">
        <v>0</v>
      </c>
    </row>
    <row r="490" spans="1:4" x14ac:dyDescent="0.35">
      <c r="A490" t="s">
        <v>2668</v>
      </c>
      <c r="B490">
        <v>-4142</v>
      </c>
      <c r="C490">
        <v>16777215</v>
      </c>
      <c r="D490">
        <v>0</v>
      </c>
    </row>
    <row r="491" spans="1:4" x14ac:dyDescent="0.35">
      <c r="A491" t="s">
        <v>2669</v>
      </c>
      <c r="B491">
        <v>-4142</v>
      </c>
      <c r="C491">
        <v>16777215</v>
      </c>
      <c r="D491">
        <v>0</v>
      </c>
    </row>
    <row r="492" spans="1:4" x14ac:dyDescent="0.35">
      <c r="A492" t="s">
        <v>2670</v>
      </c>
      <c r="B492">
        <v>-4142</v>
      </c>
      <c r="C492">
        <v>16777215</v>
      </c>
      <c r="D492">
        <v>0</v>
      </c>
    </row>
    <row r="493" spans="1:4" x14ac:dyDescent="0.35">
      <c r="A493" t="s">
        <v>2671</v>
      </c>
      <c r="B493">
        <v>-4142</v>
      </c>
      <c r="C493">
        <v>16777215</v>
      </c>
      <c r="D493">
        <v>0</v>
      </c>
    </row>
    <row r="494" spans="1:4" x14ac:dyDescent="0.35">
      <c r="A494" t="s">
        <v>2284</v>
      </c>
      <c r="B494">
        <v>-4142</v>
      </c>
      <c r="C494">
        <v>16777215</v>
      </c>
      <c r="D494">
        <v>0</v>
      </c>
    </row>
    <row r="495" spans="1:4" x14ac:dyDescent="0.35">
      <c r="A495" t="s">
        <v>2285</v>
      </c>
      <c r="B495">
        <v>-4142</v>
      </c>
      <c r="C495">
        <v>16777215</v>
      </c>
      <c r="D495">
        <v>0</v>
      </c>
    </row>
    <row r="496" spans="1:4" x14ac:dyDescent="0.35">
      <c r="A496" t="s">
        <v>2286</v>
      </c>
      <c r="B496">
        <v>-4142</v>
      </c>
      <c r="C496">
        <v>16777215</v>
      </c>
      <c r="D496">
        <v>0</v>
      </c>
    </row>
    <row r="497" spans="1:4" x14ac:dyDescent="0.35">
      <c r="A497" t="s">
        <v>2287</v>
      </c>
      <c r="B497">
        <v>-4142</v>
      </c>
      <c r="C497">
        <v>16777215</v>
      </c>
      <c r="D497">
        <v>0</v>
      </c>
    </row>
    <row r="498" spans="1:4" x14ac:dyDescent="0.35">
      <c r="A498" t="s">
        <v>2288</v>
      </c>
      <c r="B498">
        <v>-4142</v>
      </c>
      <c r="C498">
        <v>16777215</v>
      </c>
      <c r="D498">
        <v>0</v>
      </c>
    </row>
    <row r="499" spans="1:4" x14ac:dyDescent="0.35">
      <c r="A499" t="s">
        <v>2289</v>
      </c>
      <c r="B499">
        <v>-4142</v>
      </c>
      <c r="C499">
        <v>16777215</v>
      </c>
      <c r="D499">
        <v>0</v>
      </c>
    </row>
    <row r="500" spans="1:4" x14ac:dyDescent="0.35">
      <c r="A500" t="s">
        <v>2290</v>
      </c>
      <c r="B500">
        <v>-4142</v>
      </c>
      <c r="C500">
        <v>16777215</v>
      </c>
      <c r="D500">
        <v>6299648</v>
      </c>
    </row>
    <row r="501" spans="1:4" x14ac:dyDescent="0.35">
      <c r="A501" t="s">
        <v>2291</v>
      </c>
      <c r="B501">
        <v>-4142</v>
      </c>
      <c r="C501">
        <v>16777215</v>
      </c>
      <c r="D501">
        <v>6299648</v>
      </c>
    </row>
    <row r="502" spans="1:4" x14ac:dyDescent="0.35">
      <c r="A502" t="s">
        <v>2292</v>
      </c>
      <c r="B502">
        <v>-4142</v>
      </c>
      <c r="C502">
        <v>16777215</v>
      </c>
      <c r="D502">
        <v>6299648</v>
      </c>
    </row>
    <row r="503" spans="1:4" x14ac:dyDescent="0.35">
      <c r="A503" t="s">
        <v>2293</v>
      </c>
      <c r="B503">
        <v>-4142</v>
      </c>
      <c r="C503">
        <v>16777215</v>
      </c>
      <c r="D503">
        <v>0</v>
      </c>
    </row>
    <row r="504" spans="1:4" x14ac:dyDescent="0.35">
      <c r="A504" t="s">
        <v>2294</v>
      </c>
      <c r="B504">
        <v>-4142</v>
      </c>
      <c r="C504">
        <v>16777215</v>
      </c>
      <c r="D504">
        <v>0</v>
      </c>
    </row>
    <row r="505" spans="1:4" x14ac:dyDescent="0.35">
      <c r="A505" t="s">
        <v>2295</v>
      </c>
      <c r="B505">
        <v>-4142</v>
      </c>
      <c r="C505">
        <v>16777215</v>
      </c>
      <c r="D505">
        <v>0</v>
      </c>
    </row>
    <row r="506" spans="1:4" x14ac:dyDescent="0.35">
      <c r="A506" t="s">
        <v>2296</v>
      </c>
      <c r="B506">
        <v>-4142</v>
      </c>
      <c r="C506">
        <v>16777215</v>
      </c>
      <c r="D506">
        <v>0</v>
      </c>
    </row>
    <row r="507" spans="1:4" x14ac:dyDescent="0.35">
      <c r="A507" t="s">
        <v>2297</v>
      </c>
      <c r="B507">
        <v>-4142</v>
      </c>
      <c r="C507">
        <v>16777215</v>
      </c>
      <c r="D507">
        <v>0</v>
      </c>
    </row>
    <row r="508" spans="1:4" x14ac:dyDescent="0.35">
      <c r="A508" t="s">
        <v>2298</v>
      </c>
      <c r="B508">
        <v>-4142</v>
      </c>
      <c r="C508">
        <v>16777215</v>
      </c>
      <c r="D508">
        <v>0</v>
      </c>
    </row>
    <row r="509" spans="1:4" x14ac:dyDescent="0.35">
      <c r="A509" t="s">
        <v>2299</v>
      </c>
      <c r="B509">
        <v>-4142</v>
      </c>
      <c r="C509">
        <v>16777215</v>
      </c>
      <c r="D509">
        <v>0</v>
      </c>
    </row>
    <row r="510" spans="1:4" x14ac:dyDescent="0.35">
      <c r="A510" t="s">
        <v>2300</v>
      </c>
      <c r="B510">
        <v>-4142</v>
      </c>
      <c r="C510">
        <v>16777215</v>
      </c>
      <c r="D510">
        <v>0</v>
      </c>
    </row>
    <row r="511" spans="1:4" x14ac:dyDescent="0.35">
      <c r="A511" t="s">
        <v>2301</v>
      </c>
      <c r="B511">
        <v>-4142</v>
      </c>
      <c r="C511">
        <v>16777215</v>
      </c>
      <c r="D511">
        <v>0</v>
      </c>
    </row>
    <row r="512" spans="1:4" x14ac:dyDescent="0.35">
      <c r="A512" t="s">
        <v>2302</v>
      </c>
      <c r="B512">
        <v>-4142</v>
      </c>
      <c r="C512">
        <v>16777215</v>
      </c>
      <c r="D512">
        <v>0</v>
      </c>
    </row>
    <row r="513" spans="1:4" x14ac:dyDescent="0.35">
      <c r="A513" t="s">
        <v>2303</v>
      </c>
      <c r="B513">
        <v>-4142</v>
      </c>
      <c r="C513">
        <v>16777215</v>
      </c>
      <c r="D513">
        <v>0</v>
      </c>
    </row>
    <row r="514" spans="1:4" x14ac:dyDescent="0.35">
      <c r="A514" t="s">
        <v>2304</v>
      </c>
      <c r="B514">
        <v>-4142</v>
      </c>
      <c r="C514">
        <v>16777215</v>
      </c>
      <c r="D514">
        <v>0</v>
      </c>
    </row>
    <row r="515" spans="1:4" x14ac:dyDescent="0.35">
      <c r="A515" t="s">
        <v>2672</v>
      </c>
      <c r="B515">
        <v>-4142</v>
      </c>
      <c r="C515">
        <v>16777215</v>
      </c>
      <c r="D515">
        <v>0</v>
      </c>
    </row>
    <row r="516" spans="1:4" x14ac:dyDescent="0.35">
      <c r="A516" t="s">
        <v>2673</v>
      </c>
      <c r="B516">
        <v>-4142</v>
      </c>
      <c r="C516">
        <v>16777215</v>
      </c>
      <c r="D516">
        <v>0</v>
      </c>
    </row>
    <row r="517" spans="1:4" x14ac:dyDescent="0.35">
      <c r="A517" t="s">
        <v>2674</v>
      </c>
      <c r="B517">
        <v>-4142</v>
      </c>
      <c r="C517">
        <v>16777215</v>
      </c>
      <c r="D517">
        <v>0</v>
      </c>
    </row>
    <row r="518" spans="1:4" x14ac:dyDescent="0.35">
      <c r="A518" t="s">
        <v>2675</v>
      </c>
      <c r="B518">
        <v>-4142</v>
      </c>
      <c r="C518">
        <v>16777215</v>
      </c>
      <c r="D518">
        <v>0</v>
      </c>
    </row>
    <row r="519" spans="1:4" x14ac:dyDescent="0.35">
      <c r="A519" t="s">
        <v>2676</v>
      </c>
      <c r="B519">
        <v>-4142</v>
      </c>
      <c r="C519">
        <v>16777215</v>
      </c>
      <c r="D519">
        <v>0</v>
      </c>
    </row>
    <row r="520" spans="1:4" x14ac:dyDescent="0.35">
      <c r="A520" t="s">
        <v>2677</v>
      </c>
      <c r="B520">
        <v>-4142</v>
      </c>
      <c r="C520">
        <v>16777215</v>
      </c>
      <c r="D520">
        <v>0</v>
      </c>
    </row>
    <row r="521" spans="1:4" x14ac:dyDescent="0.35">
      <c r="A521" t="s">
        <v>2678</v>
      </c>
      <c r="B521">
        <v>-4142</v>
      </c>
      <c r="C521">
        <v>16777215</v>
      </c>
      <c r="D521">
        <v>0</v>
      </c>
    </row>
    <row r="522" spans="1:4" x14ac:dyDescent="0.35">
      <c r="A522" t="s">
        <v>2679</v>
      </c>
      <c r="B522">
        <v>-4142</v>
      </c>
      <c r="C522">
        <v>16777215</v>
      </c>
      <c r="D522">
        <v>0</v>
      </c>
    </row>
    <row r="523" spans="1:4" x14ac:dyDescent="0.35">
      <c r="A523" t="s">
        <v>2305</v>
      </c>
      <c r="B523">
        <v>-4142</v>
      </c>
      <c r="C523">
        <v>16777215</v>
      </c>
      <c r="D523">
        <v>0</v>
      </c>
    </row>
    <row r="524" spans="1:4" x14ac:dyDescent="0.35">
      <c r="A524" t="s">
        <v>2306</v>
      </c>
      <c r="B524">
        <v>-4142</v>
      </c>
      <c r="C524">
        <v>16777215</v>
      </c>
      <c r="D524">
        <v>0</v>
      </c>
    </row>
    <row r="525" spans="1:4" x14ac:dyDescent="0.35">
      <c r="A525" t="s">
        <v>2307</v>
      </c>
      <c r="B525">
        <v>-4142</v>
      </c>
      <c r="C525">
        <v>16777215</v>
      </c>
      <c r="D525">
        <v>0</v>
      </c>
    </row>
    <row r="526" spans="1:4" x14ac:dyDescent="0.35">
      <c r="A526" t="s">
        <v>2308</v>
      </c>
      <c r="B526">
        <v>-4142</v>
      </c>
      <c r="C526">
        <v>16777215</v>
      </c>
      <c r="D526">
        <v>0</v>
      </c>
    </row>
    <row r="527" spans="1:4" x14ac:dyDescent="0.35">
      <c r="A527" t="s">
        <v>2309</v>
      </c>
      <c r="B527">
        <v>-4142</v>
      </c>
      <c r="C527">
        <v>16777215</v>
      </c>
      <c r="D527">
        <v>0</v>
      </c>
    </row>
    <row r="528" spans="1:4" x14ac:dyDescent="0.35">
      <c r="A528" t="s">
        <v>2310</v>
      </c>
      <c r="B528">
        <v>-4142</v>
      </c>
      <c r="C528">
        <v>16777215</v>
      </c>
      <c r="D528">
        <v>0</v>
      </c>
    </row>
    <row r="529" spans="1:4" x14ac:dyDescent="0.35">
      <c r="A529" t="s">
        <v>2311</v>
      </c>
      <c r="B529">
        <v>-4142</v>
      </c>
      <c r="C529">
        <v>16777215</v>
      </c>
      <c r="D529">
        <v>6299648</v>
      </c>
    </row>
    <row r="530" spans="1:4" x14ac:dyDescent="0.35">
      <c r="A530" t="s">
        <v>2312</v>
      </c>
      <c r="B530">
        <v>-4142</v>
      </c>
      <c r="C530">
        <v>16777215</v>
      </c>
      <c r="D530">
        <v>6299648</v>
      </c>
    </row>
    <row r="531" spans="1:4" x14ac:dyDescent="0.35">
      <c r="A531" t="s">
        <v>2313</v>
      </c>
      <c r="B531">
        <v>-4142</v>
      </c>
      <c r="C531">
        <v>16777215</v>
      </c>
      <c r="D531">
        <v>6299648</v>
      </c>
    </row>
    <row r="532" spans="1:4" x14ac:dyDescent="0.35">
      <c r="A532" t="s">
        <v>2314</v>
      </c>
      <c r="B532">
        <v>-4142</v>
      </c>
      <c r="C532">
        <v>16777215</v>
      </c>
      <c r="D532">
        <v>0</v>
      </c>
    </row>
    <row r="533" spans="1:4" x14ac:dyDescent="0.35">
      <c r="A533" t="s">
        <v>2315</v>
      </c>
      <c r="B533">
        <v>-4142</v>
      </c>
      <c r="C533">
        <v>16777215</v>
      </c>
      <c r="D533">
        <v>0</v>
      </c>
    </row>
    <row r="534" spans="1:4" x14ac:dyDescent="0.35">
      <c r="A534" t="s">
        <v>2316</v>
      </c>
      <c r="B534">
        <v>-4142</v>
      </c>
      <c r="C534">
        <v>16777215</v>
      </c>
      <c r="D534">
        <v>0</v>
      </c>
    </row>
    <row r="535" spans="1:4" x14ac:dyDescent="0.35">
      <c r="A535" t="s">
        <v>2317</v>
      </c>
      <c r="B535">
        <v>-4142</v>
      </c>
      <c r="C535">
        <v>16777215</v>
      </c>
      <c r="D535">
        <v>0</v>
      </c>
    </row>
    <row r="536" spans="1:4" x14ac:dyDescent="0.35">
      <c r="A536" t="s">
        <v>2318</v>
      </c>
      <c r="B536">
        <v>-4142</v>
      </c>
      <c r="C536">
        <v>16777215</v>
      </c>
      <c r="D536">
        <v>0</v>
      </c>
    </row>
    <row r="537" spans="1:4" x14ac:dyDescent="0.35">
      <c r="A537" t="s">
        <v>2319</v>
      </c>
      <c r="B537">
        <v>-4142</v>
      </c>
      <c r="C537">
        <v>16777215</v>
      </c>
      <c r="D537">
        <v>0</v>
      </c>
    </row>
    <row r="538" spans="1:4" x14ac:dyDescent="0.35">
      <c r="A538" t="s">
        <v>2320</v>
      </c>
      <c r="B538">
        <v>-4142</v>
      </c>
      <c r="C538">
        <v>16777215</v>
      </c>
      <c r="D538">
        <v>0</v>
      </c>
    </row>
    <row r="539" spans="1:4" x14ac:dyDescent="0.35">
      <c r="A539" t="s">
        <v>2321</v>
      </c>
      <c r="B539">
        <v>-4142</v>
      </c>
      <c r="C539">
        <v>16777215</v>
      </c>
      <c r="D539">
        <v>0</v>
      </c>
    </row>
    <row r="540" spans="1:4" x14ac:dyDescent="0.35">
      <c r="A540" t="s">
        <v>2322</v>
      </c>
      <c r="B540">
        <v>-4142</v>
      </c>
      <c r="C540">
        <v>16777215</v>
      </c>
      <c r="D540">
        <v>0</v>
      </c>
    </row>
    <row r="541" spans="1:4" x14ac:dyDescent="0.35">
      <c r="A541" t="s">
        <v>2323</v>
      </c>
      <c r="B541">
        <v>-4142</v>
      </c>
      <c r="C541">
        <v>16777215</v>
      </c>
      <c r="D541">
        <v>0</v>
      </c>
    </row>
    <row r="542" spans="1:4" x14ac:dyDescent="0.35">
      <c r="A542" t="s">
        <v>2324</v>
      </c>
      <c r="B542">
        <v>-4142</v>
      </c>
      <c r="C542">
        <v>16777215</v>
      </c>
      <c r="D542">
        <v>0</v>
      </c>
    </row>
    <row r="543" spans="1:4" x14ac:dyDescent="0.35">
      <c r="A543" t="s">
        <v>2325</v>
      </c>
      <c r="B543">
        <v>-4142</v>
      </c>
      <c r="C543">
        <v>16777215</v>
      </c>
      <c r="D543">
        <v>0</v>
      </c>
    </row>
    <row r="544" spans="1:4" x14ac:dyDescent="0.35">
      <c r="A544" t="s">
        <v>2680</v>
      </c>
      <c r="B544">
        <v>-4142</v>
      </c>
      <c r="C544">
        <v>16777215</v>
      </c>
      <c r="D544">
        <v>0</v>
      </c>
    </row>
    <row r="545" spans="1:4" x14ac:dyDescent="0.35">
      <c r="A545" t="s">
        <v>2681</v>
      </c>
      <c r="B545">
        <v>-4142</v>
      </c>
      <c r="C545">
        <v>16777215</v>
      </c>
      <c r="D545">
        <v>0</v>
      </c>
    </row>
    <row r="546" spans="1:4" x14ac:dyDescent="0.35">
      <c r="A546" t="s">
        <v>2682</v>
      </c>
      <c r="B546">
        <v>-4142</v>
      </c>
      <c r="C546">
        <v>16777215</v>
      </c>
      <c r="D546">
        <v>0</v>
      </c>
    </row>
    <row r="547" spans="1:4" x14ac:dyDescent="0.35">
      <c r="A547" t="s">
        <v>2683</v>
      </c>
      <c r="B547">
        <v>-4142</v>
      </c>
      <c r="C547">
        <v>16777215</v>
      </c>
      <c r="D547">
        <v>0</v>
      </c>
    </row>
    <row r="548" spans="1:4" x14ac:dyDescent="0.35">
      <c r="A548" t="s">
        <v>2684</v>
      </c>
      <c r="B548">
        <v>-4142</v>
      </c>
      <c r="C548">
        <v>16777215</v>
      </c>
      <c r="D548">
        <v>0</v>
      </c>
    </row>
    <row r="549" spans="1:4" x14ac:dyDescent="0.35">
      <c r="A549" t="s">
        <v>2685</v>
      </c>
      <c r="B549">
        <v>-4142</v>
      </c>
      <c r="C549">
        <v>16777215</v>
      </c>
      <c r="D549">
        <v>0</v>
      </c>
    </row>
    <row r="550" spans="1:4" x14ac:dyDescent="0.35">
      <c r="A550" t="s">
        <v>2686</v>
      </c>
      <c r="B550">
        <v>-4142</v>
      </c>
      <c r="C550">
        <v>16777215</v>
      </c>
      <c r="D550">
        <v>0</v>
      </c>
    </row>
    <row r="551" spans="1:4" x14ac:dyDescent="0.35">
      <c r="A551" t="s">
        <v>2687</v>
      </c>
      <c r="B551">
        <v>-4142</v>
      </c>
      <c r="C551">
        <v>16777215</v>
      </c>
      <c r="D551">
        <v>0</v>
      </c>
    </row>
    <row r="552" spans="1:4" x14ac:dyDescent="0.35">
      <c r="A552" t="s">
        <v>2326</v>
      </c>
      <c r="B552">
        <v>-4142</v>
      </c>
      <c r="C552">
        <v>16777215</v>
      </c>
      <c r="D552">
        <v>0</v>
      </c>
    </row>
    <row r="553" spans="1:4" x14ac:dyDescent="0.35">
      <c r="A553" t="s">
        <v>2327</v>
      </c>
      <c r="B553">
        <v>-4142</v>
      </c>
      <c r="C553">
        <v>16777215</v>
      </c>
      <c r="D553">
        <v>0</v>
      </c>
    </row>
    <row r="554" spans="1:4" x14ac:dyDescent="0.35">
      <c r="A554" t="s">
        <v>2328</v>
      </c>
      <c r="B554">
        <v>-4142</v>
      </c>
      <c r="C554">
        <v>16777215</v>
      </c>
      <c r="D554">
        <v>0</v>
      </c>
    </row>
    <row r="555" spans="1:4" x14ac:dyDescent="0.35">
      <c r="A555" t="s">
        <v>2329</v>
      </c>
      <c r="B555">
        <v>-4142</v>
      </c>
      <c r="C555">
        <v>16777215</v>
      </c>
      <c r="D555">
        <v>0</v>
      </c>
    </row>
    <row r="556" spans="1:4" x14ac:dyDescent="0.35">
      <c r="A556" t="s">
        <v>2330</v>
      </c>
      <c r="B556">
        <v>-4142</v>
      </c>
      <c r="C556">
        <v>16777215</v>
      </c>
      <c r="D556">
        <v>0</v>
      </c>
    </row>
    <row r="557" spans="1:4" x14ac:dyDescent="0.35">
      <c r="A557" t="s">
        <v>2331</v>
      </c>
      <c r="B557">
        <v>-4142</v>
      </c>
      <c r="C557">
        <v>16777215</v>
      </c>
      <c r="D557">
        <v>0</v>
      </c>
    </row>
    <row r="558" spans="1:4" x14ac:dyDescent="0.35">
      <c r="A558" t="s">
        <v>2332</v>
      </c>
      <c r="B558">
        <v>-4142</v>
      </c>
      <c r="C558">
        <v>16777215</v>
      </c>
      <c r="D558">
        <v>6299648</v>
      </c>
    </row>
    <row r="559" spans="1:4" x14ac:dyDescent="0.35">
      <c r="A559" t="s">
        <v>2333</v>
      </c>
      <c r="B559">
        <v>-4142</v>
      </c>
      <c r="C559">
        <v>16777215</v>
      </c>
      <c r="D559">
        <v>6299648</v>
      </c>
    </row>
    <row r="560" spans="1:4" x14ac:dyDescent="0.35">
      <c r="A560" t="s">
        <v>2334</v>
      </c>
      <c r="B560">
        <v>-4142</v>
      </c>
      <c r="C560">
        <v>16777215</v>
      </c>
      <c r="D560">
        <v>6299648</v>
      </c>
    </row>
    <row r="561" spans="1:4" x14ac:dyDescent="0.35">
      <c r="A561" t="s">
        <v>2335</v>
      </c>
      <c r="B561">
        <v>-4142</v>
      </c>
      <c r="C561">
        <v>16777215</v>
      </c>
      <c r="D561">
        <v>0</v>
      </c>
    </row>
    <row r="562" spans="1:4" x14ac:dyDescent="0.35">
      <c r="A562" t="s">
        <v>2336</v>
      </c>
      <c r="B562">
        <v>-4142</v>
      </c>
      <c r="C562">
        <v>16777215</v>
      </c>
      <c r="D562">
        <v>0</v>
      </c>
    </row>
    <row r="563" spans="1:4" x14ac:dyDescent="0.35">
      <c r="A563" t="s">
        <v>2337</v>
      </c>
      <c r="B563">
        <v>-4142</v>
      </c>
      <c r="C563">
        <v>16777215</v>
      </c>
      <c r="D563">
        <v>0</v>
      </c>
    </row>
    <row r="564" spans="1:4" x14ac:dyDescent="0.35">
      <c r="A564" t="s">
        <v>2338</v>
      </c>
      <c r="B564">
        <v>-4142</v>
      </c>
      <c r="C564">
        <v>16777215</v>
      </c>
      <c r="D564">
        <v>0</v>
      </c>
    </row>
    <row r="565" spans="1:4" x14ac:dyDescent="0.35">
      <c r="A565" t="s">
        <v>2339</v>
      </c>
      <c r="B565">
        <v>-4142</v>
      </c>
      <c r="C565">
        <v>16777215</v>
      </c>
      <c r="D565">
        <v>0</v>
      </c>
    </row>
    <row r="566" spans="1:4" x14ac:dyDescent="0.35">
      <c r="A566" t="s">
        <v>2340</v>
      </c>
      <c r="B566">
        <v>-4142</v>
      </c>
      <c r="C566">
        <v>16777215</v>
      </c>
      <c r="D566">
        <v>0</v>
      </c>
    </row>
    <row r="567" spans="1:4" x14ac:dyDescent="0.35">
      <c r="A567" t="s">
        <v>2341</v>
      </c>
      <c r="B567">
        <v>-4142</v>
      </c>
      <c r="C567">
        <v>16777215</v>
      </c>
      <c r="D567">
        <v>0</v>
      </c>
    </row>
    <row r="568" spans="1:4" x14ac:dyDescent="0.35">
      <c r="A568" t="s">
        <v>2342</v>
      </c>
      <c r="B568">
        <v>-4142</v>
      </c>
      <c r="C568">
        <v>16777215</v>
      </c>
      <c r="D568">
        <v>0</v>
      </c>
    </row>
    <row r="569" spans="1:4" x14ac:dyDescent="0.35">
      <c r="A569" t="s">
        <v>2343</v>
      </c>
      <c r="B569">
        <v>-4142</v>
      </c>
      <c r="C569">
        <v>16777215</v>
      </c>
      <c r="D569">
        <v>0</v>
      </c>
    </row>
    <row r="570" spans="1:4" x14ac:dyDescent="0.35">
      <c r="A570" t="s">
        <v>2344</v>
      </c>
      <c r="B570">
        <v>-4142</v>
      </c>
      <c r="C570">
        <v>16777215</v>
      </c>
      <c r="D570">
        <v>0</v>
      </c>
    </row>
    <row r="571" spans="1:4" x14ac:dyDescent="0.35">
      <c r="A571" t="s">
        <v>2345</v>
      </c>
      <c r="B571">
        <v>-4142</v>
      </c>
      <c r="C571">
        <v>16777215</v>
      </c>
      <c r="D571">
        <v>0</v>
      </c>
    </row>
    <row r="572" spans="1:4" x14ac:dyDescent="0.35">
      <c r="A572" t="s">
        <v>2346</v>
      </c>
      <c r="B572">
        <v>-4142</v>
      </c>
      <c r="C572">
        <v>16777215</v>
      </c>
      <c r="D572">
        <v>0</v>
      </c>
    </row>
    <row r="573" spans="1:4" x14ac:dyDescent="0.35">
      <c r="A573" t="s">
        <v>2688</v>
      </c>
      <c r="B573">
        <v>-4142</v>
      </c>
      <c r="C573">
        <v>16777215</v>
      </c>
      <c r="D573">
        <v>0</v>
      </c>
    </row>
    <row r="574" spans="1:4" x14ac:dyDescent="0.35">
      <c r="A574" t="s">
        <v>2689</v>
      </c>
      <c r="B574">
        <v>-4142</v>
      </c>
      <c r="C574">
        <v>16777215</v>
      </c>
      <c r="D574">
        <v>0</v>
      </c>
    </row>
    <row r="575" spans="1:4" x14ac:dyDescent="0.35">
      <c r="A575" t="s">
        <v>2690</v>
      </c>
      <c r="B575">
        <v>-4142</v>
      </c>
      <c r="C575">
        <v>16777215</v>
      </c>
      <c r="D575">
        <v>0</v>
      </c>
    </row>
    <row r="576" spans="1:4" x14ac:dyDescent="0.35">
      <c r="A576" t="s">
        <v>2691</v>
      </c>
      <c r="B576">
        <v>-4142</v>
      </c>
      <c r="C576">
        <v>16777215</v>
      </c>
      <c r="D576">
        <v>0</v>
      </c>
    </row>
    <row r="577" spans="1:4" x14ac:dyDescent="0.35">
      <c r="A577" t="s">
        <v>2692</v>
      </c>
      <c r="B577">
        <v>-4142</v>
      </c>
      <c r="C577">
        <v>16777215</v>
      </c>
      <c r="D577">
        <v>0</v>
      </c>
    </row>
    <row r="578" spans="1:4" x14ac:dyDescent="0.35">
      <c r="A578" t="s">
        <v>2693</v>
      </c>
      <c r="B578">
        <v>-4142</v>
      </c>
      <c r="C578">
        <v>16777215</v>
      </c>
      <c r="D578">
        <v>0</v>
      </c>
    </row>
    <row r="579" spans="1:4" x14ac:dyDescent="0.35">
      <c r="A579" t="s">
        <v>2694</v>
      </c>
      <c r="B579">
        <v>-4142</v>
      </c>
      <c r="C579">
        <v>16777215</v>
      </c>
      <c r="D579">
        <v>0</v>
      </c>
    </row>
    <row r="580" spans="1:4" x14ac:dyDescent="0.35">
      <c r="A580" t="s">
        <v>2695</v>
      </c>
      <c r="B580">
        <v>-4142</v>
      </c>
      <c r="C580">
        <v>16777215</v>
      </c>
      <c r="D580">
        <v>0</v>
      </c>
    </row>
    <row r="581" spans="1:4" x14ac:dyDescent="0.35">
      <c r="A581" t="s">
        <v>2347</v>
      </c>
      <c r="B581">
        <v>-4142</v>
      </c>
      <c r="C581">
        <v>16777215</v>
      </c>
      <c r="D581">
        <v>0</v>
      </c>
    </row>
    <row r="582" spans="1:4" x14ac:dyDescent="0.35">
      <c r="A582" t="s">
        <v>2348</v>
      </c>
      <c r="B582">
        <v>-4142</v>
      </c>
      <c r="C582">
        <v>16777215</v>
      </c>
      <c r="D582">
        <v>0</v>
      </c>
    </row>
    <row r="583" spans="1:4" x14ac:dyDescent="0.35">
      <c r="A583" t="s">
        <v>2349</v>
      </c>
      <c r="B583">
        <v>-4142</v>
      </c>
      <c r="C583">
        <v>16777215</v>
      </c>
      <c r="D583">
        <v>0</v>
      </c>
    </row>
    <row r="584" spans="1:4" x14ac:dyDescent="0.35">
      <c r="A584" t="s">
        <v>2350</v>
      </c>
      <c r="B584">
        <v>-4142</v>
      </c>
      <c r="C584">
        <v>16777215</v>
      </c>
      <c r="D584">
        <v>0</v>
      </c>
    </row>
    <row r="585" spans="1:4" x14ac:dyDescent="0.35">
      <c r="A585" t="s">
        <v>2351</v>
      </c>
      <c r="B585">
        <v>-4142</v>
      </c>
      <c r="C585">
        <v>16777215</v>
      </c>
      <c r="D585">
        <v>0</v>
      </c>
    </row>
    <row r="586" spans="1:4" x14ac:dyDescent="0.35">
      <c r="A586" t="s">
        <v>2352</v>
      </c>
      <c r="B586">
        <v>-4142</v>
      </c>
      <c r="C586">
        <v>16777215</v>
      </c>
      <c r="D586">
        <v>0</v>
      </c>
    </row>
    <row r="587" spans="1:4" x14ac:dyDescent="0.35">
      <c r="A587" t="s">
        <v>2353</v>
      </c>
      <c r="B587">
        <v>-4142</v>
      </c>
      <c r="C587">
        <v>16777215</v>
      </c>
      <c r="D587">
        <v>6299648</v>
      </c>
    </row>
    <row r="588" spans="1:4" x14ac:dyDescent="0.35">
      <c r="A588" t="s">
        <v>2354</v>
      </c>
      <c r="B588">
        <v>-4142</v>
      </c>
      <c r="C588">
        <v>16777215</v>
      </c>
      <c r="D588">
        <v>6299648</v>
      </c>
    </row>
    <row r="589" spans="1:4" x14ac:dyDescent="0.35">
      <c r="A589" t="s">
        <v>2355</v>
      </c>
      <c r="B589">
        <v>-4142</v>
      </c>
      <c r="C589">
        <v>16777215</v>
      </c>
      <c r="D589">
        <v>6299648</v>
      </c>
    </row>
    <row r="590" spans="1:4" x14ac:dyDescent="0.35">
      <c r="A590" t="s">
        <v>2356</v>
      </c>
      <c r="B590">
        <v>-4142</v>
      </c>
      <c r="C590">
        <v>16777215</v>
      </c>
      <c r="D590">
        <v>0</v>
      </c>
    </row>
    <row r="591" spans="1:4" x14ac:dyDescent="0.35">
      <c r="A591" t="s">
        <v>2357</v>
      </c>
      <c r="B591">
        <v>-4142</v>
      </c>
      <c r="C591">
        <v>16777215</v>
      </c>
      <c r="D591">
        <v>0</v>
      </c>
    </row>
    <row r="592" spans="1:4" x14ac:dyDescent="0.35">
      <c r="A592" t="s">
        <v>2358</v>
      </c>
      <c r="B592">
        <v>-4142</v>
      </c>
      <c r="C592">
        <v>16777215</v>
      </c>
      <c r="D592">
        <v>0</v>
      </c>
    </row>
    <row r="593" spans="1:4" x14ac:dyDescent="0.35">
      <c r="A593" t="s">
        <v>2359</v>
      </c>
      <c r="B593">
        <v>-4142</v>
      </c>
      <c r="C593">
        <v>16777215</v>
      </c>
      <c r="D593">
        <v>0</v>
      </c>
    </row>
    <row r="594" spans="1:4" x14ac:dyDescent="0.35">
      <c r="A594" t="s">
        <v>2360</v>
      </c>
      <c r="B594">
        <v>-4142</v>
      </c>
      <c r="C594">
        <v>16777215</v>
      </c>
      <c r="D594">
        <v>0</v>
      </c>
    </row>
    <row r="595" spans="1:4" x14ac:dyDescent="0.35">
      <c r="A595" t="s">
        <v>2361</v>
      </c>
      <c r="B595">
        <v>-4142</v>
      </c>
      <c r="C595">
        <v>16777215</v>
      </c>
      <c r="D595">
        <v>0</v>
      </c>
    </row>
    <row r="596" spans="1:4" x14ac:dyDescent="0.35">
      <c r="A596" t="s">
        <v>2362</v>
      </c>
      <c r="B596">
        <v>-4142</v>
      </c>
      <c r="C596">
        <v>16777215</v>
      </c>
      <c r="D596">
        <v>0</v>
      </c>
    </row>
    <row r="597" spans="1:4" x14ac:dyDescent="0.35">
      <c r="A597" t="s">
        <v>2363</v>
      </c>
      <c r="B597">
        <v>-4142</v>
      </c>
      <c r="C597">
        <v>16777215</v>
      </c>
      <c r="D597">
        <v>0</v>
      </c>
    </row>
    <row r="598" spans="1:4" x14ac:dyDescent="0.35">
      <c r="A598" t="s">
        <v>2364</v>
      </c>
      <c r="B598">
        <v>-4142</v>
      </c>
      <c r="C598">
        <v>16777215</v>
      </c>
      <c r="D598">
        <v>0</v>
      </c>
    </row>
    <row r="599" spans="1:4" x14ac:dyDescent="0.35">
      <c r="A599" t="s">
        <v>2365</v>
      </c>
      <c r="B599">
        <v>-4142</v>
      </c>
      <c r="C599">
        <v>16777215</v>
      </c>
      <c r="D599">
        <v>0</v>
      </c>
    </row>
    <row r="600" spans="1:4" x14ac:dyDescent="0.35">
      <c r="A600" t="s">
        <v>2366</v>
      </c>
      <c r="B600">
        <v>-4142</v>
      </c>
      <c r="C600">
        <v>16777215</v>
      </c>
      <c r="D600">
        <v>0</v>
      </c>
    </row>
    <row r="601" spans="1:4" x14ac:dyDescent="0.35">
      <c r="A601" t="s">
        <v>2367</v>
      </c>
      <c r="B601">
        <v>-4142</v>
      </c>
      <c r="C601">
        <v>16777215</v>
      </c>
      <c r="D601">
        <v>0</v>
      </c>
    </row>
    <row r="602" spans="1:4" x14ac:dyDescent="0.35">
      <c r="A602" t="s">
        <v>2696</v>
      </c>
      <c r="B602">
        <v>-4142</v>
      </c>
      <c r="C602">
        <v>16777215</v>
      </c>
      <c r="D602">
        <v>0</v>
      </c>
    </row>
    <row r="603" spans="1:4" x14ac:dyDescent="0.35">
      <c r="A603" t="s">
        <v>2697</v>
      </c>
      <c r="B603">
        <v>-4142</v>
      </c>
      <c r="C603">
        <v>16777215</v>
      </c>
      <c r="D603">
        <v>0</v>
      </c>
    </row>
    <row r="604" spans="1:4" x14ac:dyDescent="0.35">
      <c r="A604" t="s">
        <v>2698</v>
      </c>
      <c r="B604">
        <v>-4142</v>
      </c>
      <c r="C604">
        <v>16777215</v>
      </c>
      <c r="D604">
        <v>0</v>
      </c>
    </row>
    <row r="605" spans="1:4" x14ac:dyDescent="0.35">
      <c r="A605" t="s">
        <v>2699</v>
      </c>
      <c r="B605">
        <v>-4142</v>
      </c>
      <c r="C605">
        <v>16777215</v>
      </c>
      <c r="D605">
        <v>0</v>
      </c>
    </row>
    <row r="606" spans="1:4" x14ac:dyDescent="0.35">
      <c r="A606" t="s">
        <v>2700</v>
      </c>
      <c r="B606">
        <v>-4142</v>
      </c>
      <c r="C606">
        <v>16777215</v>
      </c>
      <c r="D606">
        <v>0</v>
      </c>
    </row>
    <row r="607" spans="1:4" x14ac:dyDescent="0.35">
      <c r="A607" t="s">
        <v>2701</v>
      </c>
      <c r="B607">
        <v>-4142</v>
      </c>
      <c r="C607">
        <v>16777215</v>
      </c>
      <c r="D607">
        <v>0</v>
      </c>
    </row>
    <row r="608" spans="1:4" x14ac:dyDescent="0.35">
      <c r="A608" t="s">
        <v>2702</v>
      </c>
      <c r="B608">
        <v>-4142</v>
      </c>
      <c r="C608">
        <v>16777215</v>
      </c>
      <c r="D608">
        <v>0</v>
      </c>
    </row>
    <row r="609" spans="1:4" x14ac:dyDescent="0.35">
      <c r="A609" t="s">
        <v>2703</v>
      </c>
      <c r="B609">
        <v>-4142</v>
      </c>
      <c r="C609">
        <v>16777215</v>
      </c>
      <c r="D609">
        <v>0</v>
      </c>
    </row>
    <row r="610" spans="1:4" x14ac:dyDescent="0.35">
      <c r="A610" t="s">
        <v>2368</v>
      </c>
      <c r="B610">
        <v>-4142</v>
      </c>
      <c r="C610">
        <v>16777215</v>
      </c>
      <c r="D610">
        <v>0</v>
      </c>
    </row>
    <row r="611" spans="1:4" x14ac:dyDescent="0.35">
      <c r="A611" t="s">
        <v>2369</v>
      </c>
      <c r="B611">
        <v>-4142</v>
      </c>
      <c r="C611">
        <v>16777215</v>
      </c>
      <c r="D611">
        <v>0</v>
      </c>
    </row>
    <row r="612" spans="1:4" x14ac:dyDescent="0.35">
      <c r="A612" t="s">
        <v>2370</v>
      </c>
      <c r="B612">
        <v>-4142</v>
      </c>
      <c r="C612">
        <v>16777215</v>
      </c>
      <c r="D612">
        <v>0</v>
      </c>
    </row>
    <row r="613" spans="1:4" x14ac:dyDescent="0.35">
      <c r="A613" t="s">
        <v>2371</v>
      </c>
      <c r="B613">
        <v>-4142</v>
      </c>
      <c r="C613">
        <v>16777215</v>
      </c>
      <c r="D613">
        <v>0</v>
      </c>
    </row>
    <row r="614" spans="1:4" x14ac:dyDescent="0.35">
      <c r="A614" t="s">
        <v>2372</v>
      </c>
      <c r="B614">
        <v>-4142</v>
      </c>
      <c r="C614">
        <v>16777215</v>
      </c>
      <c r="D614">
        <v>0</v>
      </c>
    </row>
    <row r="615" spans="1:4" x14ac:dyDescent="0.35">
      <c r="A615" t="s">
        <v>2373</v>
      </c>
      <c r="B615">
        <v>-4142</v>
      </c>
      <c r="C615">
        <v>16777215</v>
      </c>
      <c r="D615">
        <v>0</v>
      </c>
    </row>
    <row r="616" spans="1:4" x14ac:dyDescent="0.35">
      <c r="A616" t="s">
        <v>2374</v>
      </c>
      <c r="B616">
        <v>-4142</v>
      </c>
      <c r="C616">
        <v>16777215</v>
      </c>
      <c r="D616">
        <v>6299648</v>
      </c>
    </row>
    <row r="617" spans="1:4" x14ac:dyDescent="0.35">
      <c r="A617" t="s">
        <v>2375</v>
      </c>
      <c r="B617">
        <v>-4142</v>
      </c>
      <c r="C617">
        <v>16777215</v>
      </c>
      <c r="D617">
        <v>6299648</v>
      </c>
    </row>
    <row r="618" spans="1:4" x14ac:dyDescent="0.35">
      <c r="A618" t="s">
        <v>2376</v>
      </c>
      <c r="B618">
        <v>-4142</v>
      </c>
      <c r="C618">
        <v>16777215</v>
      </c>
      <c r="D618">
        <v>6299648</v>
      </c>
    </row>
    <row r="619" spans="1:4" x14ac:dyDescent="0.35">
      <c r="A619" t="s">
        <v>2377</v>
      </c>
      <c r="B619">
        <v>-4142</v>
      </c>
      <c r="C619">
        <v>16777215</v>
      </c>
      <c r="D619">
        <v>0</v>
      </c>
    </row>
    <row r="620" spans="1:4" x14ac:dyDescent="0.35">
      <c r="A620" t="s">
        <v>2378</v>
      </c>
      <c r="B620">
        <v>-4142</v>
      </c>
      <c r="C620">
        <v>16777215</v>
      </c>
      <c r="D620">
        <v>0</v>
      </c>
    </row>
    <row r="621" spans="1:4" x14ac:dyDescent="0.35">
      <c r="A621" t="s">
        <v>2379</v>
      </c>
      <c r="B621">
        <v>-4142</v>
      </c>
      <c r="C621">
        <v>16777215</v>
      </c>
      <c r="D621">
        <v>0</v>
      </c>
    </row>
    <row r="622" spans="1:4" x14ac:dyDescent="0.35">
      <c r="A622" t="s">
        <v>2380</v>
      </c>
      <c r="B622">
        <v>-4142</v>
      </c>
      <c r="C622">
        <v>16777215</v>
      </c>
      <c r="D622">
        <v>0</v>
      </c>
    </row>
    <row r="623" spans="1:4" x14ac:dyDescent="0.35">
      <c r="A623" t="s">
        <v>2381</v>
      </c>
      <c r="B623">
        <v>-4142</v>
      </c>
      <c r="C623">
        <v>16777215</v>
      </c>
      <c r="D623">
        <v>0</v>
      </c>
    </row>
    <row r="624" spans="1:4" x14ac:dyDescent="0.35">
      <c r="A624" t="s">
        <v>2382</v>
      </c>
      <c r="B624">
        <v>-4142</v>
      </c>
      <c r="C624">
        <v>16777215</v>
      </c>
      <c r="D624">
        <v>0</v>
      </c>
    </row>
    <row r="625" spans="1:4" x14ac:dyDescent="0.35">
      <c r="A625" t="s">
        <v>2383</v>
      </c>
      <c r="B625">
        <v>-4142</v>
      </c>
      <c r="C625">
        <v>16777215</v>
      </c>
      <c r="D625">
        <v>0</v>
      </c>
    </row>
    <row r="626" spans="1:4" x14ac:dyDescent="0.35">
      <c r="A626" t="s">
        <v>2384</v>
      </c>
      <c r="B626">
        <v>-4142</v>
      </c>
      <c r="C626">
        <v>16777215</v>
      </c>
      <c r="D626">
        <v>0</v>
      </c>
    </row>
    <row r="627" spans="1:4" x14ac:dyDescent="0.35">
      <c r="A627" t="s">
        <v>2385</v>
      </c>
      <c r="B627">
        <v>-4142</v>
      </c>
      <c r="C627">
        <v>16777215</v>
      </c>
      <c r="D627">
        <v>0</v>
      </c>
    </row>
    <row r="628" spans="1:4" x14ac:dyDescent="0.35">
      <c r="A628" t="s">
        <v>2386</v>
      </c>
      <c r="B628">
        <v>-4142</v>
      </c>
      <c r="C628">
        <v>16777215</v>
      </c>
      <c r="D628">
        <v>0</v>
      </c>
    </row>
    <row r="629" spans="1:4" x14ac:dyDescent="0.35">
      <c r="A629" t="s">
        <v>2387</v>
      </c>
      <c r="B629">
        <v>-4142</v>
      </c>
      <c r="C629">
        <v>16777215</v>
      </c>
      <c r="D629">
        <v>0</v>
      </c>
    </row>
    <row r="630" spans="1:4" x14ac:dyDescent="0.35">
      <c r="A630" t="s">
        <v>2388</v>
      </c>
      <c r="B630">
        <v>-4142</v>
      </c>
      <c r="C630">
        <v>16777215</v>
      </c>
      <c r="D630">
        <v>0</v>
      </c>
    </row>
    <row r="631" spans="1:4" x14ac:dyDescent="0.35">
      <c r="A631" t="s">
        <v>2704</v>
      </c>
      <c r="B631">
        <v>-4142</v>
      </c>
      <c r="C631">
        <v>16777215</v>
      </c>
      <c r="D631">
        <v>0</v>
      </c>
    </row>
    <row r="632" spans="1:4" x14ac:dyDescent="0.35">
      <c r="A632" t="s">
        <v>2705</v>
      </c>
      <c r="B632">
        <v>-4142</v>
      </c>
      <c r="C632">
        <v>16777215</v>
      </c>
      <c r="D632">
        <v>0</v>
      </c>
    </row>
    <row r="633" spans="1:4" x14ac:dyDescent="0.35">
      <c r="A633" t="s">
        <v>2706</v>
      </c>
      <c r="B633">
        <v>-4142</v>
      </c>
      <c r="C633">
        <v>16777215</v>
      </c>
      <c r="D633">
        <v>0</v>
      </c>
    </row>
    <row r="634" spans="1:4" x14ac:dyDescent="0.35">
      <c r="A634" t="s">
        <v>2707</v>
      </c>
      <c r="B634">
        <v>-4142</v>
      </c>
      <c r="C634">
        <v>16777215</v>
      </c>
      <c r="D634">
        <v>0</v>
      </c>
    </row>
    <row r="635" spans="1:4" x14ac:dyDescent="0.35">
      <c r="A635" t="s">
        <v>2708</v>
      </c>
      <c r="B635">
        <v>-4142</v>
      </c>
      <c r="C635">
        <v>16777215</v>
      </c>
      <c r="D635">
        <v>0</v>
      </c>
    </row>
    <row r="636" spans="1:4" x14ac:dyDescent="0.35">
      <c r="A636" t="s">
        <v>2709</v>
      </c>
      <c r="B636">
        <v>-4142</v>
      </c>
      <c r="C636">
        <v>16777215</v>
      </c>
      <c r="D636">
        <v>0</v>
      </c>
    </row>
    <row r="637" spans="1:4" x14ac:dyDescent="0.35">
      <c r="A637" t="s">
        <v>2710</v>
      </c>
      <c r="B637">
        <v>-4142</v>
      </c>
      <c r="C637">
        <v>16777215</v>
      </c>
      <c r="D637">
        <v>0</v>
      </c>
    </row>
    <row r="638" spans="1:4" x14ac:dyDescent="0.35">
      <c r="A638" t="s">
        <v>2711</v>
      </c>
      <c r="B638">
        <v>-4142</v>
      </c>
      <c r="C638">
        <v>16777215</v>
      </c>
      <c r="D638">
        <v>0</v>
      </c>
    </row>
    <row r="639" spans="1:4" x14ac:dyDescent="0.35">
      <c r="A639" t="s">
        <v>2389</v>
      </c>
      <c r="B639">
        <v>-4142</v>
      </c>
      <c r="C639">
        <v>16777215</v>
      </c>
      <c r="D639">
        <v>0</v>
      </c>
    </row>
    <row r="640" spans="1:4" x14ac:dyDescent="0.35">
      <c r="A640" t="s">
        <v>2390</v>
      </c>
      <c r="B640">
        <v>-4142</v>
      </c>
      <c r="C640">
        <v>16777215</v>
      </c>
      <c r="D640">
        <v>0</v>
      </c>
    </row>
    <row r="641" spans="1:4" x14ac:dyDescent="0.35">
      <c r="A641" t="s">
        <v>2391</v>
      </c>
      <c r="B641">
        <v>-4142</v>
      </c>
      <c r="C641">
        <v>16777215</v>
      </c>
      <c r="D641">
        <v>0</v>
      </c>
    </row>
    <row r="642" spans="1:4" x14ac:dyDescent="0.35">
      <c r="A642" t="s">
        <v>2392</v>
      </c>
      <c r="B642">
        <v>-4142</v>
      </c>
      <c r="C642">
        <v>16777215</v>
      </c>
      <c r="D642">
        <v>0</v>
      </c>
    </row>
    <row r="643" spans="1:4" x14ac:dyDescent="0.35">
      <c r="A643" t="s">
        <v>2393</v>
      </c>
      <c r="B643">
        <v>-4142</v>
      </c>
      <c r="C643">
        <v>16777215</v>
      </c>
      <c r="D643">
        <v>0</v>
      </c>
    </row>
    <row r="644" spans="1:4" x14ac:dyDescent="0.35">
      <c r="A644" t="s">
        <v>2394</v>
      </c>
      <c r="B644">
        <v>-4142</v>
      </c>
      <c r="C644">
        <v>16777215</v>
      </c>
      <c r="D644">
        <v>0</v>
      </c>
    </row>
    <row r="645" spans="1:4" x14ac:dyDescent="0.35">
      <c r="A645" t="s">
        <v>2395</v>
      </c>
      <c r="B645">
        <v>-4142</v>
      </c>
      <c r="C645">
        <v>16777215</v>
      </c>
      <c r="D645">
        <v>6299648</v>
      </c>
    </row>
    <row r="646" spans="1:4" x14ac:dyDescent="0.35">
      <c r="A646" t="s">
        <v>2396</v>
      </c>
      <c r="B646">
        <v>-4142</v>
      </c>
      <c r="C646">
        <v>16777215</v>
      </c>
      <c r="D646">
        <v>6299648</v>
      </c>
    </row>
    <row r="647" spans="1:4" x14ac:dyDescent="0.35">
      <c r="A647" t="s">
        <v>2397</v>
      </c>
      <c r="B647">
        <v>-4142</v>
      </c>
      <c r="C647">
        <v>16777215</v>
      </c>
      <c r="D647">
        <v>6299648</v>
      </c>
    </row>
    <row r="648" spans="1:4" x14ac:dyDescent="0.35">
      <c r="A648" t="s">
        <v>2398</v>
      </c>
      <c r="B648">
        <v>-4142</v>
      </c>
      <c r="C648">
        <v>16777215</v>
      </c>
      <c r="D648">
        <v>0</v>
      </c>
    </row>
    <row r="649" spans="1:4" x14ac:dyDescent="0.35">
      <c r="A649" t="s">
        <v>2399</v>
      </c>
      <c r="B649">
        <v>-4142</v>
      </c>
      <c r="C649">
        <v>16777215</v>
      </c>
      <c r="D649">
        <v>0</v>
      </c>
    </row>
    <row r="650" spans="1:4" x14ac:dyDescent="0.35">
      <c r="A650" t="s">
        <v>2400</v>
      </c>
      <c r="B650">
        <v>-4142</v>
      </c>
      <c r="C650">
        <v>16777215</v>
      </c>
      <c r="D650">
        <v>0</v>
      </c>
    </row>
    <row r="651" spans="1:4" x14ac:dyDescent="0.35">
      <c r="A651" t="s">
        <v>2401</v>
      </c>
      <c r="B651">
        <v>-4142</v>
      </c>
      <c r="C651">
        <v>16777215</v>
      </c>
      <c r="D651">
        <v>0</v>
      </c>
    </row>
    <row r="652" spans="1:4" x14ac:dyDescent="0.35">
      <c r="A652" t="s">
        <v>2402</v>
      </c>
      <c r="B652">
        <v>-4142</v>
      </c>
      <c r="C652">
        <v>16777215</v>
      </c>
      <c r="D652">
        <v>0</v>
      </c>
    </row>
    <row r="653" spans="1:4" x14ac:dyDescent="0.35">
      <c r="A653" t="s">
        <v>2403</v>
      </c>
      <c r="B653">
        <v>-4142</v>
      </c>
      <c r="C653">
        <v>16777215</v>
      </c>
      <c r="D653">
        <v>0</v>
      </c>
    </row>
    <row r="654" spans="1:4" x14ac:dyDescent="0.35">
      <c r="A654" t="s">
        <v>2404</v>
      </c>
      <c r="B654">
        <v>-4142</v>
      </c>
      <c r="C654">
        <v>16777215</v>
      </c>
      <c r="D654">
        <v>0</v>
      </c>
    </row>
    <row r="655" spans="1:4" x14ac:dyDescent="0.35">
      <c r="A655" t="s">
        <v>2405</v>
      </c>
      <c r="B655">
        <v>-4142</v>
      </c>
      <c r="C655">
        <v>16777215</v>
      </c>
      <c r="D655">
        <v>0</v>
      </c>
    </row>
    <row r="656" spans="1:4" x14ac:dyDescent="0.35">
      <c r="A656" t="s">
        <v>2406</v>
      </c>
      <c r="B656">
        <v>-4142</v>
      </c>
      <c r="C656">
        <v>16777215</v>
      </c>
      <c r="D656">
        <v>0</v>
      </c>
    </row>
    <row r="657" spans="1:4" x14ac:dyDescent="0.35">
      <c r="A657" t="s">
        <v>2407</v>
      </c>
      <c r="B657">
        <v>-4142</v>
      </c>
      <c r="C657">
        <v>16777215</v>
      </c>
      <c r="D657">
        <v>0</v>
      </c>
    </row>
    <row r="658" spans="1:4" x14ac:dyDescent="0.35">
      <c r="A658" t="s">
        <v>2408</v>
      </c>
      <c r="B658">
        <v>-4142</v>
      </c>
      <c r="C658">
        <v>16777215</v>
      </c>
      <c r="D658">
        <v>0</v>
      </c>
    </row>
    <row r="659" spans="1:4" x14ac:dyDescent="0.35">
      <c r="A659" t="s">
        <v>2409</v>
      </c>
      <c r="B659">
        <v>-4142</v>
      </c>
      <c r="C659">
        <v>16777215</v>
      </c>
      <c r="D659">
        <v>0</v>
      </c>
    </row>
    <row r="660" spans="1:4" x14ac:dyDescent="0.35">
      <c r="A660" t="s">
        <v>2712</v>
      </c>
      <c r="B660">
        <v>-4142</v>
      </c>
      <c r="C660">
        <v>16777215</v>
      </c>
      <c r="D660">
        <v>0</v>
      </c>
    </row>
    <row r="661" spans="1:4" x14ac:dyDescent="0.35">
      <c r="A661" t="s">
        <v>2713</v>
      </c>
      <c r="B661">
        <v>-4142</v>
      </c>
      <c r="C661">
        <v>16777215</v>
      </c>
      <c r="D661">
        <v>0</v>
      </c>
    </row>
    <row r="662" spans="1:4" x14ac:dyDescent="0.35">
      <c r="A662" t="s">
        <v>2714</v>
      </c>
      <c r="B662">
        <v>-4142</v>
      </c>
      <c r="C662">
        <v>16777215</v>
      </c>
      <c r="D662">
        <v>0</v>
      </c>
    </row>
    <row r="663" spans="1:4" x14ac:dyDescent="0.35">
      <c r="A663" t="s">
        <v>2715</v>
      </c>
      <c r="B663">
        <v>-4142</v>
      </c>
      <c r="C663">
        <v>16777215</v>
      </c>
      <c r="D663">
        <v>0</v>
      </c>
    </row>
    <row r="664" spans="1:4" x14ac:dyDescent="0.35">
      <c r="A664" t="s">
        <v>2716</v>
      </c>
      <c r="B664">
        <v>-4142</v>
      </c>
      <c r="C664">
        <v>16777215</v>
      </c>
      <c r="D664">
        <v>0</v>
      </c>
    </row>
    <row r="665" spans="1:4" x14ac:dyDescent="0.35">
      <c r="A665" t="s">
        <v>2717</v>
      </c>
      <c r="B665">
        <v>-4142</v>
      </c>
      <c r="C665">
        <v>16777215</v>
      </c>
      <c r="D665">
        <v>0</v>
      </c>
    </row>
    <row r="666" spans="1:4" x14ac:dyDescent="0.35">
      <c r="A666" t="s">
        <v>2718</v>
      </c>
      <c r="B666">
        <v>-4142</v>
      </c>
      <c r="C666">
        <v>16777215</v>
      </c>
      <c r="D666">
        <v>0</v>
      </c>
    </row>
    <row r="667" spans="1:4" x14ac:dyDescent="0.35">
      <c r="A667" t="s">
        <v>2719</v>
      </c>
      <c r="B667">
        <v>-4142</v>
      </c>
      <c r="C667">
        <v>16777215</v>
      </c>
      <c r="D667">
        <v>0</v>
      </c>
    </row>
    <row r="668" spans="1:4" x14ac:dyDescent="0.35">
      <c r="A668" t="s">
        <v>2410</v>
      </c>
      <c r="B668">
        <v>-4142</v>
      </c>
      <c r="C668">
        <v>16777215</v>
      </c>
      <c r="D668">
        <v>0</v>
      </c>
    </row>
    <row r="669" spans="1:4" x14ac:dyDescent="0.35">
      <c r="A669" t="s">
        <v>2411</v>
      </c>
      <c r="B669">
        <v>-4142</v>
      </c>
      <c r="C669">
        <v>16777215</v>
      </c>
      <c r="D669">
        <v>0</v>
      </c>
    </row>
    <row r="670" spans="1:4" x14ac:dyDescent="0.35">
      <c r="A670" t="s">
        <v>2412</v>
      </c>
      <c r="B670">
        <v>-4142</v>
      </c>
      <c r="C670">
        <v>16777215</v>
      </c>
      <c r="D670">
        <v>0</v>
      </c>
    </row>
    <row r="671" spans="1:4" x14ac:dyDescent="0.35">
      <c r="A671" t="s">
        <v>2413</v>
      </c>
      <c r="B671">
        <v>-4142</v>
      </c>
      <c r="C671">
        <v>16777215</v>
      </c>
      <c r="D671">
        <v>0</v>
      </c>
    </row>
    <row r="672" spans="1:4" x14ac:dyDescent="0.35">
      <c r="A672" t="s">
        <v>2414</v>
      </c>
      <c r="B672">
        <v>-4142</v>
      </c>
      <c r="C672">
        <v>16777215</v>
      </c>
      <c r="D672">
        <v>0</v>
      </c>
    </row>
    <row r="673" spans="1:4" x14ac:dyDescent="0.35">
      <c r="A673" t="s">
        <v>2415</v>
      </c>
      <c r="B673">
        <v>-4142</v>
      </c>
      <c r="C673">
        <v>16777215</v>
      </c>
      <c r="D673">
        <v>0</v>
      </c>
    </row>
    <row r="674" spans="1:4" x14ac:dyDescent="0.35">
      <c r="A674" t="s">
        <v>2416</v>
      </c>
      <c r="B674">
        <v>-4142</v>
      </c>
      <c r="C674">
        <v>16777215</v>
      </c>
      <c r="D674">
        <v>0</v>
      </c>
    </row>
    <row r="675" spans="1:4" x14ac:dyDescent="0.35">
      <c r="A675" t="s">
        <v>2417</v>
      </c>
      <c r="B675">
        <v>-4142</v>
      </c>
      <c r="C675">
        <v>16777215</v>
      </c>
      <c r="D675">
        <v>0</v>
      </c>
    </row>
    <row r="676" spans="1:4" x14ac:dyDescent="0.35">
      <c r="A676" t="s">
        <v>2418</v>
      </c>
      <c r="B676">
        <v>-4142</v>
      </c>
      <c r="C676">
        <v>16777215</v>
      </c>
      <c r="D676">
        <v>0</v>
      </c>
    </row>
    <row r="677" spans="1:4" x14ac:dyDescent="0.35">
      <c r="A677" t="s">
        <v>2419</v>
      </c>
      <c r="B677">
        <v>-4142</v>
      </c>
      <c r="C677">
        <v>16777215</v>
      </c>
      <c r="D677">
        <v>0</v>
      </c>
    </row>
    <row r="678" spans="1:4" x14ac:dyDescent="0.35">
      <c r="A678" t="s">
        <v>2420</v>
      </c>
      <c r="B678">
        <v>-4142</v>
      </c>
      <c r="C678">
        <v>16777215</v>
      </c>
      <c r="D678">
        <v>0</v>
      </c>
    </row>
    <row r="679" spans="1:4" x14ac:dyDescent="0.35">
      <c r="A679" t="s">
        <v>2421</v>
      </c>
      <c r="B679">
        <v>-4142</v>
      </c>
      <c r="C679">
        <v>16777215</v>
      </c>
      <c r="D679">
        <v>0</v>
      </c>
    </row>
    <row r="680" spans="1:4" x14ac:dyDescent="0.35">
      <c r="A680" t="s">
        <v>2422</v>
      </c>
      <c r="B680">
        <v>-4142</v>
      </c>
      <c r="C680">
        <v>16777215</v>
      </c>
      <c r="D680">
        <v>0</v>
      </c>
    </row>
    <row r="681" spans="1:4" x14ac:dyDescent="0.35">
      <c r="A681" t="s">
        <v>2423</v>
      </c>
      <c r="B681">
        <v>-4142</v>
      </c>
      <c r="C681">
        <v>16777215</v>
      </c>
      <c r="D681">
        <v>0</v>
      </c>
    </row>
    <row r="682" spans="1:4" x14ac:dyDescent="0.35">
      <c r="A682" t="s">
        <v>2424</v>
      </c>
      <c r="B682">
        <v>-4142</v>
      </c>
      <c r="C682">
        <v>16777215</v>
      </c>
      <c r="D682">
        <v>0</v>
      </c>
    </row>
    <row r="683" spans="1:4" x14ac:dyDescent="0.35">
      <c r="A683" t="s">
        <v>2425</v>
      </c>
      <c r="B683">
        <v>-4142</v>
      </c>
      <c r="C683">
        <v>16777215</v>
      </c>
      <c r="D683">
        <v>0</v>
      </c>
    </row>
    <row r="684" spans="1:4" x14ac:dyDescent="0.35">
      <c r="A684" t="s">
        <v>2426</v>
      </c>
      <c r="B684">
        <v>-4142</v>
      </c>
      <c r="C684">
        <v>16777215</v>
      </c>
      <c r="D684">
        <v>0</v>
      </c>
    </row>
    <row r="685" spans="1:4" x14ac:dyDescent="0.35">
      <c r="A685" t="s">
        <v>2427</v>
      </c>
      <c r="B685">
        <v>-4142</v>
      </c>
      <c r="C685">
        <v>16777215</v>
      </c>
      <c r="D685">
        <v>0</v>
      </c>
    </row>
    <row r="686" spans="1:4" x14ac:dyDescent="0.35">
      <c r="A686" t="s">
        <v>2428</v>
      </c>
      <c r="B686">
        <v>-4142</v>
      </c>
      <c r="C686">
        <v>16777215</v>
      </c>
      <c r="D686">
        <v>0</v>
      </c>
    </row>
    <row r="687" spans="1:4" x14ac:dyDescent="0.35">
      <c r="A687" t="s">
        <v>2429</v>
      </c>
      <c r="B687">
        <v>-4142</v>
      </c>
      <c r="C687">
        <v>16777215</v>
      </c>
      <c r="D687">
        <v>0</v>
      </c>
    </row>
    <row r="688" spans="1:4" x14ac:dyDescent="0.35">
      <c r="A688" t="s">
        <v>2430</v>
      </c>
      <c r="B688">
        <v>-4142</v>
      </c>
      <c r="C688">
        <v>16777215</v>
      </c>
      <c r="D688">
        <v>0</v>
      </c>
    </row>
    <row r="689" spans="1:4" x14ac:dyDescent="0.35">
      <c r="A689" t="s">
        <v>2720</v>
      </c>
      <c r="B689">
        <v>-4142</v>
      </c>
      <c r="C689">
        <v>16777215</v>
      </c>
      <c r="D689">
        <v>0</v>
      </c>
    </row>
    <row r="690" spans="1:4" x14ac:dyDescent="0.35">
      <c r="A690" t="s">
        <v>2721</v>
      </c>
      <c r="B690">
        <v>-4142</v>
      </c>
      <c r="C690">
        <v>16777215</v>
      </c>
      <c r="D690">
        <v>0</v>
      </c>
    </row>
    <row r="691" spans="1:4" x14ac:dyDescent="0.35">
      <c r="A691" t="s">
        <v>2722</v>
      </c>
      <c r="B691">
        <v>-4142</v>
      </c>
      <c r="C691">
        <v>16777215</v>
      </c>
      <c r="D691">
        <v>0</v>
      </c>
    </row>
    <row r="692" spans="1:4" x14ac:dyDescent="0.35">
      <c r="A692" t="s">
        <v>2723</v>
      </c>
      <c r="B692">
        <v>-4142</v>
      </c>
      <c r="C692">
        <v>16777215</v>
      </c>
      <c r="D692">
        <v>0</v>
      </c>
    </row>
    <row r="693" spans="1:4" x14ac:dyDescent="0.35">
      <c r="A693" t="s">
        <v>2724</v>
      </c>
      <c r="B693">
        <v>-4142</v>
      </c>
      <c r="C693">
        <v>16777215</v>
      </c>
      <c r="D693">
        <v>0</v>
      </c>
    </row>
    <row r="694" spans="1:4" x14ac:dyDescent="0.35">
      <c r="A694" t="s">
        <v>2725</v>
      </c>
      <c r="B694">
        <v>-4142</v>
      </c>
      <c r="C694">
        <v>16777215</v>
      </c>
      <c r="D694">
        <v>0</v>
      </c>
    </row>
    <row r="695" spans="1:4" x14ac:dyDescent="0.35">
      <c r="A695" t="s">
        <v>2726</v>
      </c>
      <c r="B695">
        <v>-4142</v>
      </c>
      <c r="C695">
        <v>16777215</v>
      </c>
      <c r="D695">
        <v>0</v>
      </c>
    </row>
    <row r="696" spans="1:4" x14ac:dyDescent="0.35">
      <c r="A696" t="s">
        <v>2727</v>
      </c>
      <c r="B696">
        <v>-4142</v>
      </c>
      <c r="C696">
        <v>16777215</v>
      </c>
      <c r="D696">
        <v>0</v>
      </c>
    </row>
    <row r="697" spans="1:4" x14ac:dyDescent="0.35">
      <c r="A697" t="s">
        <v>2431</v>
      </c>
      <c r="B697">
        <v>-4142</v>
      </c>
      <c r="C697">
        <v>16777215</v>
      </c>
      <c r="D697">
        <v>0</v>
      </c>
    </row>
    <row r="698" spans="1:4" x14ac:dyDescent="0.35">
      <c r="A698" t="s">
        <v>2432</v>
      </c>
      <c r="B698">
        <v>-4142</v>
      </c>
      <c r="C698">
        <v>16777215</v>
      </c>
      <c r="D698">
        <v>0</v>
      </c>
    </row>
    <row r="699" spans="1:4" x14ac:dyDescent="0.35">
      <c r="A699" t="s">
        <v>2433</v>
      </c>
      <c r="B699">
        <v>-4142</v>
      </c>
      <c r="C699">
        <v>16777215</v>
      </c>
      <c r="D699">
        <v>0</v>
      </c>
    </row>
    <row r="700" spans="1:4" x14ac:dyDescent="0.35">
      <c r="A700" t="s">
        <v>2434</v>
      </c>
      <c r="B700">
        <v>-4142</v>
      </c>
      <c r="C700">
        <v>16777215</v>
      </c>
      <c r="D700">
        <v>0</v>
      </c>
    </row>
    <row r="701" spans="1:4" x14ac:dyDescent="0.35">
      <c r="A701" t="s">
        <v>2435</v>
      </c>
      <c r="B701">
        <v>-4142</v>
      </c>
      <c r="C701">
        <v>16777215</v>
      </c>
      <c r="D701">
        <v>0</v>
      </c>
    </row>
    <row r="702" spans="1:4" x14ac:dyDescent="0.35">
      <c r="A702" t="s">
        <v>2436</v>
      </c>
      <c r="B702">
        <v>-4142</v>
      </c>
      <c r="C702">
        <v>16777215</v>
      </c>
      <c r="D702">
        <v>0</v>
      </c>
    </row>
    <row r="703" spans="1:4" x14ac:dyDescent="0.35">
      <c r="A703" t="s">
        <v>2437</v>
      </c>
      <c r="B703">
        <v>-4142</v>
      </c>
      <c r="C703">
        <v>16777215</v>
      </c>
      <c r="D703">
        <v>0</v>
      </c>
    </row>
    <row r="704" spans="1:4" x14ac:dyDescent="0.35">
      <c r="A704" t="s">
        <v>2438</v>
      </c>
      <c r="B704">
        <v>-4142</v>
      </c>
      <c r="C704">
        <v>16777215</v>
      </c>
      <c r="D704">
        <v>0</v>
      </c>
    </row>
    <row r="705" spans="1:4" x14ac:dyDescent="0.35">
      <c r="A705" t="s">
        <v>2439</v>
      </c>
      <c r="B705">
        <v>-4142</v>
      </c>
      <c r="C705">
        <v>16777215</v>
      </c>
      <c r="D705">
        <v>0</v>
      </c>
    </row>
    <row r="706" spans="1:4" x14ac:dyDescent="0.35">
      <c r="A706" t="s">
        <v>2440</v>
      </c>
      <c r="B706">
        <v>-4142</v>
      </c>
      <c r="C706">
        <v>16777215</v>
      </c>
      <c r="D706">
        <v>0</v>
      </c>
    </row>
    <row r="707" spans="1:4" x14ac:dyDescent="0.35">
      <c r="A707" t="s">
        <v>2441</v>
      </c>
      <c r="B707">
        <v>-4142</v>
      </c>
      <c r="C707">
        <v>16777215</v>
      </c>
      <c r="D707">
        <v>0</v>
      </c>
    </row>
    <row r="708" spans="1:4" x14ac:dyDescent="0.35">
      <c r="A708" t="s">
        <v>2442</v>
      </c>
      <c r="B708">
        <v>-4142</v>
      </c>
      <c r="C708">
        <v>16777215</v>
      </c>
      <c r="D708">
        <v>0</v>
      </c>
    </row>
    <row r="709" spans="1:4" x14ac:dyDescent="0.35">
      <c r="A709" t="s">
        <v>2443</v>
      </c>
      <c r="B709">
        <v>-4142</v>
      </c>
      <c r="C709">
        <v>16777215</v>
      </c>
      <c r="D709">
        <v>0</v>
      </c>
    </row>
    <row r="710" spans="1:4" x14ac:dyDescent="0.35">
      <c r="A710" t="s">
        <v>2444</v>
      </c>
      <c r="B710">
        <v>-4142</v>
      </c>
      <c r="C710">
        <v>16777215</v>
      </c>
      <c r="D710">
        <v>0</v>
      </c>
    </row>
    <row r="711" spans="1:4" x14ac:dyDescent="0.35">
      <c r="A711" t="s">
        <v>2445</v>
      </c>
      <c r="B711">
        <v>-4142</v>
      </c>
      <c r="C711">
        <v>16777215</v>
      </c>
      <c r="D711">
        <v>0</v>
      </c>
    </row>
    <row r="712" spans="1:4" x14ac:dyDescent="0.35">
      <c r="A712" t="s">
        <v>2446</v>
      </c>
      <c r="B712">
        <v>-4142</v>
      </c>
      <c r="C712">
        <v>16777215</v>
      </c>
      <c r="D712">
        <v>0</v>
      </c>
    </row>
    <row r="713" spans="1:4" x14ac:dyDescent="0.35">
      <c r="A713" t="s">
        <v>2447</v>
      </c>
      <c r="B713">
        <v>-4142</v>
      </c>
      <c r="C713">
        <v>16777215</v>
      </c>
      <c r="D713">
        <v>0</v>
      </c>
    </row>
    <row r="714" spans="1:4" x14ac:dyDescent="0.35">
      <c r="A714" t="s">
        <v>2448</v>
      </c>
      <c r="B714">
        <v>-4142</v>
      </c>
      <c r="C714">
        <v>16777215</v>
      </c>
      <c r="D714">
        <v>0</v>
      </c>
    </row>
    <row r="715" spans="1:4" x14ac:dyDescent="0.35">
      <c r="A715" t="s">
        <v>2449</v>
      </c>
      <c r="B715">
        <v>-4142</v>
      </c>
      <c r="C715">
        <v>16777215</v>
      </c>
      <c r="D715">
        <v>0</v>
      </c>
    </row>
    <row r="716" spans="1:4" x14ac:dyDescent="0.35">
      <c r="A716" t="s">
        <v>2450</v>
      </c>
      <c r="B716">
        <v>-4142</v>
      </c>
      <c r="C716">
        <v>16777215</v>
      </c>
      <c r="D716">
        <v>0</v>
      </c>
    </row>
    <row r="717" spans="1:4" x14ac:dyDescent="0.35">
      <c r="A717" t="s">
        <v>2451</v>
      </c>
      <c r="B717">
        <v>-4142</v>
      </c>
      <c r="C717">
        <v>16777215</v>
      </c>
      <c r="D717">
        <v>0</v>
      </c>
    </row>
    <row r="718" spans="1:4" x14ac:dyDescent="0.35">
      <c r="A718" t="s">
        <v>2728</v>
      </c>
      <c r="B718">
        <v>-4142</v>
      </c>
      <c r="C718">
        <v>16777215</v>
      </c>
      <c r="D718">
        <v>0</v>
      </c>
    </row>
    <row r="719" spans="1:4" x14ac:dyDescent="0.35">
      <c r="A719" t="s">
        <v>2729</v>
      </c>
      <c r="B719">
        <v>-4142</v>
      </c>
      <c r="C719">
        <v>16777215</v>
      </c>
      <c r="D719">
        <v>0</v>
      </c>
    </row>
    <row r="720" spans="1:4" x14ac:dyDescent="0.35">
      <c r="A720" t="s">
        <v>2730</v>
      </c>
      <c r="B720">
        <v>-4142</v>
      </c>
      <c r="C720">
        <v>16777215</v>
      </c>
      <c r="D720">
        <v>0</v>
      </c>
    </row>
    <row r="721" spans="1:4" x14ac:dyDescent="0.35">
      <c r="A721" t="s">
        <v>2731</v>
      </c>
      <c r="B721">
        <v>-4142</v>
      </c>
      <c r="C721">
        <v>16777215</v>
      </c>
      <c r="D721">
        <v>0</v>
      </c>
    </row>
    <row r="722" spans="1:4" x14ac:dyDescent="0.35">
      <c r="A722" t="s">
        <v>2732</v>
      </c>
      <c r="B722">
        <v>-4142</v>
      </c>
      <c r="C722">
        <v>16777215</v>
      </c>
      <c r="D722">
        <v>0</v>
      </c>
    </row>
    <row r="723" spans="1:4" x14ac:dyDescent="0.35">
      <c r="A723" t="s">
        <v>2733</v>
      </c>
      <c r="B723">
        <v>-4142</v>
      </c>
      <c r="C723">
        <v>16777215</v>
      </c>
      <c r="D723">
        <v>0</v>
      </c>
    </row>
    <row r="724" spans="1:4" x14ac:dyDescent="0.35">
      <c r="A724" t="s">
        <v>2734</v>
      </c>
      <c r="B724">
        <v>-4142</v>
      </c>
      <c r="C724">
        <v>16777215</v>
      </c>
      <c r="D724">
        <v>0</v>
      </c>
    </row>
    <row r="725" spans="1:4" x14ac:dyDescent="0.35">
      <c r="A725" t="s">
        <v>2735</v>
      </c>
      <c r="B725">
        <v>-4142</v>
      </c>
      <c r="C725">
        <v>16777215</v>
      </c>
      <c r="D725">
        <v>0</v>
      </c>
    </row>
    <row r="726" spans="1:4" x14ac:dyDescent="0.35">
      <c r="A726" t="s">
        <v>2452</v>
      </c>
      <c r="B726">
        <v>-4142</v>
      </c>
      <c r="C726">
        <v>16777215</v>
      </c>
      <c r="D726">
        <v>0</v>
      </c>
    </row>
    <row r="727" spans="1:4" x14ac:dyDescent="0.35">
      <c r="A727" t="s">
        <v>2453</v>
      </c>
      <c r="B727">
        <v>-4142</v>
      </c>
      <c r="C727">
        <v>16777215</v>
      </c>
      <c r="D727">
        <v>0</v>
      </c>
    </row>
    <row r="728" spans="1:4" x14ac:dyDescent="0.35">
      <c r="A728" t="s">
        <v>2454</v>
      </c>
      <c r="B728">
        <v>-4142</v>
      </c>
      <c r="C728">
        <v>16777215</v>
      </c>
      <c r="D728">
        <v>0</v>
      </c>
    </row>
    <row r="729" spans="1:4" x14ac:dyDescent="0.35">
      <c r="A729" t="s">
        <v>2455</v>
      </c>
      <c r="B729">
        <v>-4142</v>
      </c>
      <c r="C729">
        <v>16777215</v>
      </c>
      <c r="D729">
        <v>0</v>
      </c>
    </row>
    <row r="730" spans="1:4" x14ac:dyDescent="0.35">
      <c r="A730" t="s">
        <v>2456</v>
      </c>
      <c r="B730">
        <v>-4142</v>
      </c>
      <c r="C730">
        <v>16777215</v>
      </c>
      <c r="D730">
        <v>0</v>
      </c>
    </row>
    <row r="731" spans="1:4" x14ac:dyDescent="0.35">
      <c r="A731" t="s">
        <v>2457</v>
      </c>
      <c r="B731">
        <v>-4142</v>
      </c>
      <c r="C731">
        <v>16777215</v>
      </c>
      <c r="D731">
        <v>0</v>
      </c>
    </row>
    <row r="732" spans="1:4" x14ac:dyDescent="0.35">
      <c r="A732" t="s">
        <v>2458</v>
      </c>
      <c r="B732">
        <v>-4142</v>
      </c>
      <c r="C732">
        <v>16777215</v>
      </c>
      <c r="D732">
        <v>6299648</v>
      </c>
    </row>
    <row r="733" spans="1:4" x14ac:dyDescent="0.35">
      <c r="A733" t="s">
        <v>2459</v>
      </c>
      <c r="B733">
        <v>-4142</v>
      </c>
      <c r="C733">
        <v>16777215</v>
      </c>
      <c r="D733">
        <v>6299648</v>
      </c>
    </row>
    <row r="734" spans="1:4" x14ac:dyDescent="0.35">
      <c r="A734" t="s">
        <v>2460</v>
      </c>
      <c r="B734">
        <v>-4142</v>
      </c>
      <c r="C734">
        <v>16777215</v>
      </c>
      <c r="D734">
        <v>6299648</v>
      </c>
    </row>
    <row r="735" spans="1:4" x14ac:dyDescent="0.35">
      <c r="A735" t="s">
        <v>2461</v>
      </c>
      <c r="B735">
        <v>-4142</v>
      </c>
      <c r="C735">
        <v>16777215</v>
      </c>
      <c r="D735">
        <v>6299648</v>
      </c>
    </row>
    <row r="736" spans="1:4" x14ac:dyDescent="0.35">
      <c r="A736" t="s">
        <v>2462</v>
      </c>
      <c r="B736">
        <v>-4142</v>
      </c>
      <c r="C736">
        <v>16777215</v>
      </c>
      <c r="D736">
        <v>6299648</v>
      </c>
    </row>
    <row r="737" spans="1:4" x14ac:dyDescent="0.35">
      <c r="A737" t="s">
        <v>2463</v>
      </c>
      <c r="B737">
        <v>-4142</v>
      </c>
      <c r="C737">
        <v>16777215</v>
      </c>
      <c r="D737">
        <v>6299648</v>
      </c>
    </row>
    <row r="738" spans="1:4" x14ac:dyDescent="0.35">
      <c r="A738" t="s">
        <v>2464</v>
      </c>
      <c r="B738">
        <v>-4142</v>
      </c>
      <c r="C738">
        <v>16777215</v>
      </c>
      <c r="D738">
        <v>6299648</v>
      </c>
    </row>
    <row r="739" spans="1:4" x14ac:dyDescent="0.35">
      <c r="A739" t="s">
        <v>2465</v>
      </c>
      <c r="B739">
        <v>-4142</v>
      </c>
      <c r="C739">
        <v>16777215</v>
      </c>
      <c r="D739">
        <v>6299648</v>
      </c>
    </row>
    <row r="740" spans="1:4" x14ac:dyDescent="0.35">
      <c r="A740" t="s">
        <v>2466</v>
      </c>
      <c r="B740">
        <v>-4142</v>
      </c>
      <c r="C740">
        <v>16777215</v>
      </c>
      <c r="D740">
        <v>6299648</v>
      </c>
    </row>
    <row r="741" spans="1:4" x14ac:dyDescent="0.35">
      <c r="A741" t="s">
        <v>2467</v>
      </c>
      <c r="B741">
        <v>-4142</v>
      </c>
      <c r="C741">
        <v>16777215</v>
      </c>
      <c r="D741">
        <v>6299648</v>
      </c>
    </row>
    <row r="742" spans="1:4" x14ac:dyDescent="0.35">
      <c r="A742" t="s">
        <v>2468</v>
      </c>
      <c r="B742">
        <v>-4142</v>
      </c>
      <c r="C742">
        <v>16777215</v>
      </c>
      <c r="D742">
        <v>6299648</v>
      </c>
    </row>
    <row r="743" spans="1:4" x14ac:dyDescent="0.35">
      <c r="A743" t="s">
        <v>2469</v>
      </c>
      <c r="B743">
        <v>-4142</v>
      </c>
      <c r="C743">
        <v>16777215</v>
      </c>
      <c r="D743">
        <v>6299648</v>
      </c>
    </row>
    <row r="744" spans="1:4" x14ac:dyDescent="0.35">
      <c r="A744" t="s">
        <v>2470</v>
      </c>
      <c r="B744">
        <v>-4142</v>
      </c>
      <c r="C744">
        <v>16777215</v>
      </c>
      <c r="D744">
        <v>6299648</v>
      </c>
    </row>
    <row r="745" spans="1:4" x14ac:dyDescent="0.35">
      <c r="A745" t="s">
        <v>2471</v>
      </c>
      <c r="B745">
        <v>-4142</v>
      </c>
      <c r="C745">
        <v>16777215</v>
      </c>
      <c r="D745">
        <v>6299648</v>
      </c>
    </row>
    <row r="746" spans="1:4" x14ac:dyDescent="0.35">
      <c r="A746" t="s">
        <v>2472</v>
      </c>
      <c r="B746">
        <v>-4142</v>
      </c>
      <c r="C746">
        <v>16777215</v>
      </c>
      <c r="D746">
        <v>0</v>
      </c>
    </row>
    <row r="747" spans="1:4" x14ac:dyDescent="0.35">
      <c r="A747" t="s">
        <v>2736</v>
      </c>
      <c r="B747">
        <v>-4142</v>
      </c>
      <c r="C747">
        <v>16777215</v>
      </c>
      <c r="D747">
        <v>0</v>
      </c>
    </row>
    <row r="748" spans="1:4" x14ac:dyDescent="0.35">
      <c r="A748" t="s">
        <v>2737</v>
      </c>
      <c r="B748">
        <v>-4142</v>
      </c>
      <c r="C748">
        <v>16777215</v>
      </c>
      <c r="D748">
        <v>0</v>
      </c>
    </row>
    <row r="749" spans="1:4" x14ac:dyDescent="0.35">
      <c r="A749" t="s">
        <v>2738</v>
      </c>
      <c r="B749">
        <v>-4142</v>
      </c>
      <c r="C749">
        <v>16777215</v>
      </c>
      <c r="D749">
        <v>0</v>
      </c>
    </row>
    <row r="750" spans="1:4" x14ac:dyDescent="0.35">
      <c r="A750" t="s">
        <v>2739</v>
      </c>
      <c r="B750">
        <v>-4142</v>
      </c>
      <c r="C750">
        <v>16777215</v>
      </c>
      <c r="D750">
        <v>0</v>
      </c>
    </row>
    <row r="751" spans="1:4" x14ac:dyDescent="0.35">
      <c r="A751" t="s">
        <v>2740</v>
      </c>
      <c r="B751">
        <v>-4142</v>
      </c>
      <c r="C751">
        <v>16777215</v>
      </c>
      <c r="D751">
        <v>0</v>
      </c>
    </row>
    <row r="752" spans="1:4" x14ac:dyDescent="0.35">
      <c r="A752" t="s">
        <v>2741</v>
      </c>
      <c r="B752">
        <v>-4142</v>
      </c>
      <c r="C752">
        <v>16777215</v>
      </c>
      <c r="D752">
        <v>0</v>
      </c>
    </row>
    <row r="753" spans="1:4" x14ac:dyDescent="0.35">
      <c r="A753" t="s">
        <v>2742</v>
      </c>
      <c r="B753">
        <v>-4142</v>
      </c>
      <c r="C753">
        <v>16777215</v>
      </c>
      <c r="D753">
        <v>0</v>
      </c>
    </row>
    <row r="754" spans="1:4" x14ac:dyDescent="0.35">
      <c r="A754" t="s">
        <v>2743</v>
      </c>
      <c r="B754">
        <v>-4142</v>
      </c>
      <c r="C754">
        <v>16777215</v>
      </c>
      <c r="D754">
        <v>0</v>
      </c>
    </row>
    <row r="755" spans="1:4" x14ac:dyDescent="0.35">
      <c r="A755" t="s">
        <v>2473</v>
      </c>
      <c r="B755">
        <v>-4142</v>
      </c>
      <c r="C755">
        <v>16777215</v>
      </c>
      <c r="D755">
        <v>0</v>
      </c>
    </row>
    <row r="756" spans="1:4" x14ac:dyDescent="0.35">
      <c r="A756" t="s">
        <v>2474</v>
      </c>
      <c r="B756">
        <v>-4142</v>
      </c>
      <c r="C756">
        <v>16777215</v>
      </c>
      <c r="D756">
        <v>0</v>
      </c>
    </row>
    <row r="757" spans="1:4" x14ac:dyDescent="0.35">
      <c r="A757" t="s">
        <v>2475</v>
      </c>
      <c r="B757">
        <v>-4142</v>
      </c>
      <c r="C757">
        <v>16777215</v>
      </c>
      <c r="D757">
        <v>0</v>
      </c>
    </row>
    <row r="758" spans="1:4" x14ac:dyDescent="0.35">
      <c r="A758" t="s">
        <v>2476</v>
      </c>
      <c r="B758">
        <v>-4142</v>
      </c>
      <c r="C758">
        <v>16777215</v>
      </c>
      <c r="D758">
        <v>0</v>
      </c>
    </row>
    <row r="759" spans="1:4" x14ac:dyDescent="0.35">
      <c r="A759" t="s">
        <v>2477</v>
      </c>
      <c r="B759">
        <v>-4142</v>
      </c>
      <c r="C759">
        <v>16777215</v>
      </c>
      <c r="D759">
        <v>0</v>
      </c>
    </row>
    <row r="760" spans="1:4" x14ac:dyDescent="0.35">
      <c r="A760" t="s">
        <v>2478</v>
      </c>
      <c r="B760">
        <v>-4142</v>
      </c>
      <c r="C760">
        <v>16777215</v>
      </c>
      <c r="D760">
        <v>0</v>
      </c>
    </row>
    <row r="761" spans="1:4" x14ac:dyDescent="0.35">
      <c r="A761" t="s">
        <v>2479</v>
      </c>
      <c r="B761">
        <v>-4142</v>
      </c>
      <c r="C761">
        <v>16777215</v>
      </c>
      <c r="D761">
        <v>6299648</v>
      </c>
    </row>
    <row r="762" spans="1:4" x14ac:dyDescent="0.35">
      <c r="A762" t="s">
        <v>2480</v>
      </c>
      <c r="B762">
        <v>-4142</v>
      </c>
      <c r="C762">
        <v>16777215</v>
      </c>
      <c r="D762">
        <v>6299648</v>
      </c>
    </row>
    <row r="763" spans="1:4" x14ac:dyDescent="0.35">
      <c r="A763" t="s">
        <v>2481</v>
      </c>
      <c r="B763">
        <v>-4142</v>
      </c>
      <c r="C763">
        <v>16777215</v>
      </c>
      <c r="D763">
        <v>6299648</v>
      </c>
    </row>
    <row r="764" spans="1:4" x14ac:dyDescent="0.35">
      <c r="A764" t="s">
        <v>2482</v>
      </c>
      <c r="B764">
        <v>-4142</v>
      </c>
      <c r="C764">
        <v>16777215</v>
      </c>
      <c r="D764">
        <v>6299648</v>
      </c>
    </row>
    <row r="765" spans="1:4" x14ac:dyDescent="0.35">
      <c r="A765" t="s">
        <v>2483</v>
      </c>
      <c r="B765">
        <v>-4142</v>
      </c>
      <c r="C765">
        <v>16777215</v>
      </c>
      <c r="D765">
        <v>6299648</v>
      </c>
    </row>
    <row r="766" spans="1:4" x14ac:dyDescent="0.35">
      <c r="A766" t="s">
        <v>2484</v>
      </c>
      <c r="B766">
        <v>-4142</v>
      </c>
      <c r="C766">
        <v>16777215</v>
      </c>
      <c r="D766">
        <v>6299648</v>
      </c>
    </row>
    <row r="767" spans="1:4" x14ac:dyDescent="0.35">
      <c r="A767" t="s">
        <v>2485</v>
      </c>
      <c r="B767">
        <v>-4142</v>
      </c>
      <c r="C767">
        <v>16777215</v>
      </c>
      <c r="D767">
        <v>6299648</v>
      </c>
    </row>
    <row r="768" spans="1:4" x14ac:dyDescent="0.35">
      <c r="A768" t="s">
        <v>2486</v>
      </c>
      <c r="B768">
        <v>-4142</v>
      </c>
      <c r="C768">
        <v>16777215</v>
      </c>
      <c r="D768">
        <v>6299648</v>
      </c>
    </row>
    <row r="769" spans="1:4" x14ac:dyDescent="0.35">
      <c r="A769" t="s">
        <v>2487</v>
      </c>
      <c r="B769">
        <v>-4142</v>
      </c>
      <c r="C769">
        <v>16777215</v>
      </c>
      <c r="D769">
        <v>6299648</v>
      </c>
    </row>
    <row r="770" spans="1:4" x14ac:dyDescent="0.35">
      <c r="A770" t="s">
        <v>2488</v>
      </c>
      <c r="B770">
        <v>-4142</v>
      </c>
      <c r="C770">
        <v>16777215</v>
      </c>
      <c r="D770">
        <v>6299648</v>
      </c>
    </row>
    <row r="771" spans="1:4" x14ac:dyDescent="0.35">
      <c r="A771" t="s">
        <v>2489</v>
      </c>
      <c r="B771">
        <v>-4142</v>
      </c>
      <c r="C771">
        <v>16777215</v>
      </c>
      <c r="D771">
        <v>6299648</v>
      </c>
    </row>
    <row r="772" spans="1:4" x14ac:dyDescent="0.35">
      <c r="A772" t="s">
        <v>2490</v>
      </c>
      <c r="B772">
        <v>-4142</v>
      </c>
      <c r="C772">
        <v>16777215</v>
      </c>
      <c r="D772">
        <v>6299648</v>
      </c>
    </row>
    <row r="773" spans="1:4" x14ac:dyDescent="0.35">
      <c r="A773" t="s">
        <v>2491</v>
      </c>
      <c r="B773">
        <v>-4142</v>
      </c>
      <c r="C773">
        <v>16777215</v>
      </c>
      <c r="D773">
        <v>6299648</v>
      </c>
    </row>
    <row r="774" spans="1:4" x14ac:dyDescent="0.35">
      <c r="A774" t="s">
        <v>2492</v>
      </c>
      <c r="B774">
        <v>-4142</v>
      </c>
      <c r="C774">
        <v>16777215</v>
      </c>
      <c r="D774">
        <v>6299648</v>
      </c>
    </row>
    <row r="775" spans="1:4" x14ac:dyDescent="0.35">
      <c r="A775" t="s">
        <v>2493</v>
      </c>
      <c r="B775">
        <v>-4142</v>
      </c>
      <c r="C775">
        <v>16777215</v>
      </c>
      <c r="D775">
        <v>0</v>
      </c>
    </row>
    <row r="776" spans="1:4" x14ac:dyDescent="0.35">
      <c r="A776" t="s">
        <v>2744</v>
      </c>
      <c r="B776">
        <v>-4142</v>
      </c>
      <c r="C776">
        <v>16777215</v>
      </c>
      <c r="D776">
        <v>0</v>
      </c>
    </row>
    <row r="777" spans="1:4" x14ac:dyDescent="0.35">
      <c r="A777" t="s">
        <v>2745</v>
      </c>
      <c r="B777">
        <v>-4142</v>
      </c>
      <c r="C777">
        <v>16777215</v>
      </c>
      <c r="D777">
        <v>0</v>
      </c>
    </row>
    <row r="778" spans="1:4" x14ac:dyDescent="0.35">
      <c r="A778" t="s">
        <v>2746</v>
      </c>
      <c r="B778">
        <v>-4142</v>
      </c>
      <c r="C778">
        <v>16777215</v>
      </c>
      <c r="D778">
        <v>0</v>
      </c>
    </row>
    <row r="779" spans="1:4" x14ac:dyDescent="0.35">
      <c r="A779" t="s">
        <v>2747</v>
      </c>
      <c r="B779">
        <v>-4142</v>
      </c>
      <c r="C779">
        <v>16777215</v>
      </c>
      <c r="D779">
        <v>0</v>
      </c>
    </row>
    <row r="780" spans="1:4" x14ac:dyDescent="0.35">
      <c r="A780" t="s">
        <v>2748</v>
      </c>
      <c r="B780">
        <v>-4142</v>
      </c>
      <c r="C780">
        <v>16777215</v>
      </c>
      <c r="D780">
        <v>0</v>
      </c>
    </row>
    <row r="781" spans="1:4" x14ac:dyDescent="0.35">
      <c r="A781" t="s">
        <v>2749</v>
      </c>
      <c r="B781">
        <v>-4142</v>
      </c>
      <c r="C781">
        <v>16777215</v>
      </c>
      <c r="D781">
        <v>0</v>
      </c>
    </row>
    <row r="782" spans="1:4" x14ac:dyDescent="0.35">
      <c r="A782" t="s">
        <v>2750</v>
      </c>
      <c r="B782">
        <v>-4142</v>
      </c>
      <c r="C782">
        <v>16777215</v>
      </c>
      <c r="D782">
        <v>0</v>
      </c>
    </row>
    <row r="783" spans="1:4" x14ac:dyDescent="0.35">
      <c r="A783" t="s">
        <v>2751</v>
      </c>
      <c r="B783">
        <v>-4142</v>
      </c>
      <c r="C783">
        <v>16777215</v>
      </c>
      <c r="D783">
        <v>0</v>
      </c>
    </row>
    <row r="784" spans="1:4" x14ac:dyDescent="0.35">
      <c r="A784" t="s">
        <v>2494</v>
      </c>
      <c r="B784">
        <v>-4142</v>
      </c>
      <c r="C784">
        <v>16777215</v>
      </c>
      <c r="D784">
        <v>0</v>
      </c>
    </row>
    <row r="785" spans="1:4" x14ac:dyDescent="0.35">
      <c r="A785" t="s">
        <v>2495</v>
      </c>
      <c r="B785">
        <v>-4142</v>
      </c>
      <c r="C785">
        <v>16777215</v>
      </c>
      <c r="D785">
        <v>0</v>
      </c>
    </row>
    <row r="786" spans="1:4" x14ac:dyDescent="0.35">
      <c r="A786" t="s">
        <v>2496</v>
      </c>
      <c r="B786">
        <v>-4142</v>
      </c>
      <c r="C786">
        <v>16777215</v>
      </c>
      <c r="D786">
        <v>0</v>
      </c>
    </row>
    <row r="787" spans="1:4" x14ac:dyDescent="0.35">
      <c r="A787" t="s">
        <v>2497</v>
      </c>
      <c r="B787">
        <v>-4142</v>
      </c>
      <c r="C787">
        <v>16777215</v>
      </c>
      <c r="D787">
        <v>0</v>
      </c>
    </row>
    <row r="788" spans="1:4" x14ac:dyDescent="0.35">
      <c r="A788" t="s">
        <v>2498</v>
      </c>
      <c r="B788">
        <v>-4142</v>
      </c>
      <c r="C788">
        <v>16777215</v>
      </c>
      <c r="D788">
        <v>0</v>
      </c>
    </row>
    <row r="789" spans="1:4" x14ac:dyDescent="0.35">
      <c r="A789" t="s">
        <v>2499</v>
      </c>
      <c r="B789">
        <v>-4142</v>
      </c>
      <c r="C789">
        <v>16777215</v>
      </c>
      <c r="D789">
        <v>0</v>
      </c>
    </row>
    <row r="790" spans="1:4" x14ac:dyDescent="0.35">
      <c r="A790" t="s">
        <v>2500</v>
      </c>
      <c r="B790">
        <v>-4142</v>
      </c>
      <c r="C790">
        <v>16777215</v>
      </c>
      <c r="D790">
        <v>6299648</v>
      </c>
    </row>
    <row r="791" spans="1:4" x14ac:dyDescent="0.35">
      <c r="A791" t="s">
        <v>2501</v>
      </c>
      <c r="B791">
        <v>-4142</v>
      </c>
      <c r="C791">
        <v>16777215</v>
      </c>
      <c r="D791">
        <v>6299648</v>
      </c>
    </row>
    <row r="792" spans="1:4" x14ac:dyDescent="0.35">
      <c r="A792" t="s">
        <v>2502</v>
      </c>
      <c r="B792">
        <v>-4142</v>
      </c>
      <c r="C792">
        <v>16777215</v>
      </c>
      <c r="D792">
        <v>6299648</v>
      </c>
    </row>
    <row r="793" spans="1:4" x14ac:dyDescent="0.35">
      <c r="A793" t="s">
        <v>2503</v>
      </c>
      <c r="B793">
        <v>-4142</v>
      </c>
      <c r="C793">
        <v>16777215</v>
      </c>
      <c r="D793">
        <v>6299648</v>
      </c>
    </row>
    <row r="794" spans="1:4" x14ac:dyDescent="0.35">
      <c r="A794" t="s">
        <v>2504</v>
      </c>
      <c r="B794">
        <v>-4142</v>
      </c>
      <c r="C794">
        <v>16777215</v>
      </c>
      <c r="D794">
        <v>6299648</v>
      </c>
    </row>
    <row r="795" spans="1:4" x14ac:dyDescent="0.35">
      <c r="A795" t="s">
        <v>2505</v>
      </c>
      <c r="B795">
        <v>-4142</v>
      </c>
      <c r="C795">
        <v>16777215</v>
      </c>
      <c r="D795">
        <v>6299648</v>
      </c>
    </row>
    <row r="796" spans="1:4" x14ac:dyDescent="0.35">
      <c r="A796" t="s">
        <v>2506</v>
      </c>
      <c r="B796">
        <v>-4142</v>
      </c>
      <c r="C796">
        <v>16777215</v>
      </c>
      <c r="D796">
        <v>6299648</v>
      </c>
    </row>
    <row r="797" spans="1:4" x14ac:dyDescent="0.35">
      <c r="A797" t="s">
        <v>2507</v>
      </c>
      <c r="B797">
        <v>-4142</v>
      </c>
      <c r="C797">
        <v>16777215</v>
      </c>
      <c r="D797">
        <v>6299648</v>
      </c>
    </row>
    <row r="798" spans="1:4" x14ac:dyDescent="0.35">
      <c r="A798" t="s">
        <v>2508</v>
      </c>
      <c r="B798">
        <v>-4142</v>
      </c>
      <c r="C798">
        <v>16777215</v>
      </c>
      <c r="D798">
        <v>6299648</v>
      </c>
    </row>
    <row r="799" spans="1:4" x14ac:dyDescent="0.35">
      <c r="A799" t="s">
        <v>2509</v>
      </c>
      <c r="B799">
        <v>-4142</v>
      </c>
      <c r="C799">
        <v>16777215</v>
      </c>
      <c r="D799">
        <v>6299648</v>
      </c>
    </row>
    <row r="800" spans="1:4" x14ac:dyDescent="0.35">
      <c r="A800" t="s">
        <v>2510</v>
      </c>
      <c r="B800">
        <v>-4142</v>
      </c>
      <c r="C800">
        <v>16777215</v>
      </c>
      <c r="D800">
        <v>6299648</v>
      </c>
    </row>
    <row r="801" spans="1:4" x14ac:dyDescent="0.35">
      <c r="A801" t="s">
        <v>2511</v>
      </c>
      <c r="B801">
        <v>-4142</v>
      </c>
      <c r="C801">
        <v>16777215</v>
      </c>
      <c r="D801">
        <v>6299648</v>
      </c>
    </row>
    <row r="802" spans="1:4" x14ac:dyDescent="0.35">
      <c r="A802" t="s">
        <v>2512</v>
      </c>
      <c r="B802">
        <v>-4142</v>
      </c>
      <c r="C802">
        <v>16777215</v>
      </c>
      <c r="D802">
        <v>6299648</v>
      </c>
    </row>
    <row r="803" spans="1:4" x14ac:dyDescent="0.35">
      <c r="A803" t="s">
        <v>2513</v>
      </c>
      <c r="B803">
        <v>-4142</v>
      </c>
      <c r="C803">
        <v>16777215</v>
      </c>
      <c r="D803">
        <v>6299648</v>
      </c>
    </row>
    <row r="804" spans="1:4" x14ac:dyDescent="0.35">
      <c r="A804" t="s">
        <v>2514</v>
      </c>
      <c r="B804">
        <v>-4142</v>
      </c>
      <c r="C804">
        <v>16777215</v>
      </c>
      <c r="D804">
        <v>0</v>
      </c>
    </row>
    <row r="805" spans="1:4" x14ac:dyDescent="0.35">
      <c r="A805" t="s">
        <v>2752</v>
      </c>
      <c r="B805">
        <v>-4142</v>
      </c>
      <c r="C805">
        <v>16777215</v>
      </c>
      <c r="D805">
        <v>0</v>
      </c>
    </row>
    <row r="806" spans="1:4" x14ac:dyDescent="0.35">
      <c r="A806" t="s">
        <v>2753</v>
      </c>
      <c r="B806">
        <v>-4142</v>
      </c>
      <c r="C806">
        <v>16777215</v>
      </c>
      <c r="D806">
        <v>0</v>
      </c>
    </row>
    <row r="807" spans="1:4" x14ac:dyDescent="0.35">
      <c r="A807" t="s">
        <v>2754</v>
      </c>
      <c r="B807">
        <v>-4142</v>
      </c>
      <c r="C807">
        <v>16777215</v>
      </c>
      <c r="D807">
        <v>0</v>
      </c>
    </row>
    <row r="808" spans="1:4" x14ac:dyDescent="0.35">
      <c r="A808" t="s">
        <v>2755</v>
      </c>
      <c r="B808">
        <v>-4142</v>
      </c>
      <c r="C808">
        <v>16777215</v>
      </c>
      <c r="D808">
        <v>0</v>
      </c>
    </row>
    <row r="809" spans="1:4" x14ac:dyDescent="0.35">
      <c r="A809" t="s">
        <v>2756</v>
      </c>
      <c r="B809">
        <v>-4142</v>
      </c>
      <c r="C809">
        <v>16777215</v>
      </c>
      <c r="D809">
        <v>0</v>
      </c>
    </row>
    <row r="810" spans="1:4" x14ac:dyDescent="0.35">
      <c r="A810" t="s">
        <v>2757</v>
      </c>
      <c r="B810">
        <v>-4142</v>
      </c>
      <c r="C810">
        <v>16777215</v>
      </c>
      <c r="D810">
        <v>0</v>
      </c>
    </row>
    <row r="811" spans="1:4" x14ac:dyDescent="0.35">
      <c r="A811" t="s">
        <v>2758</v>
      </c>
      <c r="B811">
        <v>-4142</v>
      </c>
      <c r="C811">
        <v>16777215</v>
      </c>
      <c r="D811">
        <v>0</v>
      </c>
    </row>
    <row r="812" spans="1:4" x14ac:dyDescent="0.35">
      <c r="A812" t="s">
        <v>2759</v>
      </c>
      <c r="B812">
        <v>-4142</v>
      </c>
      <c r="C812">
        <v>16777215</v>
      </c>
      <c r="D812">
        <v>0</v>
      </c>
    </row>
    <row r="813" spans="1:4" x14ac:dyDescent="0.35">
      <c r="A813" t="s">
        <v>2515</v>
      </c>
      <c r="B813">
        <v>-4142</v>
      </c>
      <c r="C813">
        <v>16777215</v>
      </c>
      <c r="D813">
        <v>0</v>
      </c>
    </row>
    <row r="814" spans="1:4" x14ac:dyDescent="0.35">
      <c r="A814" t="s">
        <v>2516</v>
      </c>
      <c r="B814">
        <v>-4142</v>
      </c>
      <c r="C814">
        <v>16777215</v>
      </c>
      <c r="D814">
        <v>0</v>
      </c>
    </row>
    <row r="815" spans="1:4" x14ac:dyDescent="0.35">
      <c r="A815" t="s">
        <v>2517</v>
      </c>
      <c r="B815">
        <v>-4142</v>
      </c>
      <c r="C815">
        <v>16777215</v>
      </c>
      <c r="D815">
        <v>0</v>
      </c>
    </row>
    <row r="816" spans="1:4" x14ac:dyDescent="0.35">
      <c r="A816" t="s">
        <v>2518</v>
      </c>
      <c r="B816">
        <v>-4142</v>
      </c>
      <c r="C816">
        <v>16777215</v>
      </c>
      <c r="D816">
        <v>0</v>
      </c>
    </row>
    <row r="817" spans="1:4" x14ac:dyDescent="0.35">
      <c r="A817" t="s">
        <v>2519</v>
      </c>
      <c r="B817">
        <v>-4142</v>
      </c>
      <c r="C817">
        <v>16777215</v>
      </c>
      <c r="D817">
        <v>0</v>
      </c>
    </row>
    <row r="818" spans="1:4" x14ac:dyDescent="0.35">
      <c r="A818" t="s">
        <v>2520</v>
      </c>
      <c r="B818">
        <v>-4142</v>
      </c>
      <c r="C818">
        <v>16777215</v>
      </c>
      <c r="D818">
        <v>0</v>
      </c>
    </row>
    <row r="819" spans="1:4" x14ac:dyDescent="0.35">
      <c r="A819" t="s">
        <v>2521</v>
      </c>
      <c r="B819">
        <v>-4142</v>
      </c>
      <c r="C819">
        <v>16777215</v>
      </c>
      <c r="D819">
        <v>0</v>
      </c>
    </row>
    <row r="820" spans="1:4" x14ac:dyDescent="0.35">
      <c r="A820" t="s">
        <v>2522</v>
      </c>
      <c r="B820">
        <v>-4142</v>
      </c>
      <c r="C820">
        <v>16777215</v>
      </c>
      <c r="D820">
        <v>0</v>
      </c>
    </row>
    <row r="821" spans="1:4" x14ac:dyDescent="0.35">
      <c r="A821" t="s">
        <v>2523</v>
      </c>
      <c r="B821">
        <v>-4142</v>
      </c>
      <c r="C821">
        <v>16777215</v>
      </c>
      <c r="D821">
        <v>0</v>
      </c>
    </row>
    <row r="822" spans="1:4" x14ac:dyDescent="0.35">
      <c r="A822" t="s">
        <v>2524</v>
      </c>
      <c r="B822">
        <v>-4142</v>
      </c>
      <c r="C822">
        <v>16777215</v>
      </c>
      <c r="D822">
        <v>0</v>
      </c>
    </row>
    <row r="823" spans="1:4" x14ac:dyDescent="0.35">
      <c r="A823" t="s">
        <v>2525</v>
      </c>
      <c r="B823">
        <v>-4142</v>
      </c>
      <c r="C823">
        <v>16777215</v>
      </c>
      <c r="D823">
        <v>0</v>
      </c>
    </row>
    <row r="824" spans="1:4" x14ac:dyDescent="0.35">
      <c r="A824" t="s">
        <v>2526</v>
      </c>
      <c r="B824">
        <v>-4142</v>
      </c>
      <c r="C824">
        <v>16777215</v>
      </c>
      <c r="D824">
        <v>0</v>
      </c>
    </row>
    <row r="825" spans="1:4" x14ac:dyDescent="0.35">
      <c r="A825" t="s">
        <v>2527</v>
      </c>
      <c r="B825">
        <v>-4142</v>
      </c>
      <c r="C825">
        <v>16777215</v>
      </c>
      <c r="D825">
        <v>0</v>
      </c>
    </row>
    <row r="826" spans="1:4" x14ac:dyDescent="0.35">
      <c r="A826" t="s">
        <v>2528</v>
      </c>
      <c r="B826">
        <v>-4142</v>
      </c>
      <c r="C826">
        <v>16777215</v>
      </c>
      <c r="D826">
        <v>0</v>
      </c>
    </row>
    <row r="827" spans="1:4" x14ac:dyDescent="0.35">
      <c r="A827" t="s">
        <v>2529</v>
      </c>
      <c r="B827">
        <v>-4142</v>
      </c>
      <c r="C827">
        <v>16777215</v>
      </c>
      <c r="D827">
        <v>0</v>
      </c>
    </row>
    <row r="828" spans="1:4" x14ac:dyDescent="0.35">
      <c r="A828" t="s">
        <v>2530</v>
      </c>
      <c r="B828">
        <v>-4142</v>
      </c>
      <c r="C828">
        <v>16777215</v>
      </c>
      <c r="D828">
        <v>0</v>
      </c>
    </row>
    <row r="829" spans="1:4" x14ac:dyDescent="0.35">
      <c r="A829" t="s">
        <v>2531</v>
      </c>
      <c r="B829">
        <v>-4142</v>
      </c>
      <c r="C829">
        <v>16777215</v>
      </c>
      <c r="D829">
        <v>0</v>
      </c>
    </row>
    <row r="830" spans="1:4" x14ac:dyDescent="0.35">
      <c r="A830" t="s">
        <v>2532</v>
      </c>
      <c r="B830">
        <v>-4142</v>
      </c>
      <c r="C830">
        <v>16777215</v>
      </c>
      <c r="D830">
        <v>0</v>
      </c>
    </row>
    <row r="831" spans="1:4" x14ac:dyDescent="0.35">
      <c r="A831" t="s">
        <v>2533</v>
      </c>
      <c r="B831">
        <v>-4142</v>
      </c>
      <c r="C831">
        <v>16777215</v>
      </c>
      <c r="D831">
        <v>0</v>
      </c>
    </row>
    <row r="832" spans="1:4" x14ac:dyDescent="0.35">
      <c r="A832" t="s">
        <v>2534</v>
      </c>
      <c r="B832">
        <v>-4142</v>
      </c>
      <c r="C832">
        <v>16777215</v>
      </c>
      <c r="D832">
        <v>0</v>
      </c>
    </row>
    <row r="833" spans="1:4" x14ac:dyDescent="0.35">
      <c r="A833" t="s">
        <v>2535</v>
      </c>
      <c r="B833">
        <v>-4142</v>
      </c>
      <c r="C833">
        <v>16777215</v>
      </c>
      <c r="D833">
        <v>0</v>
      </c>
    </row>
    <row r="834" spans="1:4" x14ac:dyDescent="0.35">
      <c r="A834" t="s">
        <v>2760</v>
      </c>
      <c r="B834">
        <v>-4142</v>
      </c>
      <c r="C834">
        <v>16777215</v>
      </c>
      <c r="D834">
        <v>0</v>
      </c>
    </row>
    <row r="835" spans="1:4" x14ac:dyDescent="0.35">
      <c r="A835" t="s">
        <v>2761</v>
      </c>
      <c r="B835">
        <v>-4142</v>
      </c>
      <c r="C835">
        <v>16777215</v>
      </c>
      <c r="D835">
        <v>0</v>
      </c>
    </row>
    <row r="836" spans="1:4" x14ac:dyDescent="0.35">
      <c r="A836" t="s">
        <v>2762</v>
      </c>
      <c r="B836">
        <v>-4142</v>
      </c>
      <c r="C836">
        <v>16777215</v>
      </c>
      <c r="D836">
        <v>0</v>
      </c>
    </row>
    <row r="837" spans="1:4" x14ac:dyDescent="0.35">
      <c r="A837" t="s">
        <v>2763</v>
      </c>
      <c r="B837">
        <v>-4142</v>
      </c>
      <c r="C837">
        <v>16777215</v>
      </c>
      <c r="D837">
        <v>0</v>
      </c>
    </row>
    <row r="838" spans="1:4" x14ac:dyDescent="0.35">
      <c r="A838" t="s">
        <v>2764</v>
      </c>
      <c r="B838">
        <v>-4142</v>
      </c>
      <c r="C838">
        <v>16777215</v>
      </c>
      <c r="D838">
        <v>0</v>
      </c>
    </row>
    <row r="839" spans="1:4" x14ac:dyDescent="0.35">
      <c r="A839" t="s">
        <v>2765</v>
      </c>
      <c r="B839">
        <v>-4142</v>
      </c>
      <c r="C839">
        <v>16777215</v>
      </c>
      <c r="D839">
        <v>0</v>
      </c>
    </row>
    <row r="840" spans="1:4" x14ac:dyDescent="0.35">
      <c r="A840" t="s">
        <v>2766</v>
      </c>
      <c r="B840">
        <v>-4142</v>
      </c>
      <c r="C840">
        <v>16777215</v>
      </c>
      <c r="D840">
        <v>0</v>
      </c>
    </row>
    <row r="841" spans="1:4" x14ac:dyDescent="0.35">
      <c r="A841" t="s">
        <v>2767</v>
      </c>
      <c r="B841">
        <v>-4142</v>
      </c>
      <c r="C841">
        <v>16777215</v>
      </c>
      <c r="D841">
        <v>0</v>
      </c>
    </row>
    <row r="842" spans="1:4" x14ac:dyDescent="0.35">
      <c r="A842" t="s">
        <v>2768</v>
      </c>
      <c r="B842">
        <v>-4142</v>
      </c>
      <c r="C842">
        <v>16777215</v>
      </c>
      <c r="D842">
        <v>0</v>
      </c>
    </row>
    <row r="843" spans="1:4" x14ac:dyDescent="0.35">
      <c r="A843" t="s">
        <v>2769</v>
      </c>
      <c r="B843">
        <v>-4142</v>
      </c>
      <c r="C843">
        <v>16777215</v>
      </c>
      <c r="D843">
        <v>0</v>
      </c>
    </row>
    <row r="844" spans="1:4" x14ac:dyDescent="0.35">
      <c r="A844" t="s">
        <v>2770</v>
      </c>
      <c r="B844">
        <v>-4142</v>
      </c>
      <c r="C844">
        <v>16777215</v>
      </c>
      <c r="D844">
        <v>0</v>
      </c>
    </row>
    <row r="845" spans="1:4" x14ac:dyDescent="0.35">
      <c r="A845" t="s">
        <v>2771</v>
      </c>
      <c r="B845">
        <v>-4142</v>
      </c>
      <c r="C845">
        <v>16777215</v>
      </c>
      <c r="D845">
        <v>0</v>
      </c>
    </row>
    <row r="846" spans="1:4" x14ac:dyDescent="0.35">
      <c r="A846" t="s">
        <v>2772</v>
      </c>
      <c r="B846">
        <v>-4142</v>
      </c>
      <c r="C846">
        <v>16777215</v>
      </c>
      <c r="D846">
        <v>0</v>
      </c>
    </row>
    <row r="847" spans="1:4" x14ac:dyDescent="0.35">
      <c r="A847" t="s">
        <v>2773</v>
      </c>
      <c r="B847">
        <v>-4142</v>
      </c>
      <c r="C847">
        <v>16777215</v>
      </c>
      <c r="D847">
        <v>0</v>
      </c>
    </row>
    <row r="848" spans="1:4" x14ac:dyDescent="0.35">
      <c r="A848" t="s">
        <v>2774</v>
      </c>
      <c r="B848">
        <v>-4142</v>
      </c>
      <c r="C848">
        <v>16777215</v>
      </c>
      <c r="D848">
        <v>0</v>
      </c>
    </row>
    <row r="849" spans="1:4" x14ac:dyDescent="0.35">
      <c r="A849" t="s">
        <v>2775</v>
      </c>
      <c r="B849">
        <v>-4142</v>
      </c>
      <c r="C849">
        <v>16777215</v>
      </c>
      <c r="D849">
        <v>0</v>
      </c>
    </row>
    <row r="850" spans="1:4" x14ac:dyDescent="0.35">
      <c r="A850" t="s">
        <v>2776</v>
      </c>
      <c r="B850">
        <v>-4142</v>
      </c>
      <c r="C850">
        <v>16777215</v>
      </c>
      <c r="D850">
        <v>0</v>
      </c>
    </row>
    <row r="851" spans="1:4" x14ac:dyDescent="0.35">
      <c r="A851" t="s">
        <v>2777</v>
      </c>
      <c r="B851">
        <v>-4142</v>
      </c>
      <c r="C851">
        <v>16777215</v>
      </c>
      <c r="D851">
        <v>0</v>
      </c>
    </row>
    <row r="852" spans="1:4" x14ac:dyDescent="0.35">
      <c r="A852" t="s">
        <v>2778</v>
      </c>
      <c r="B852">
        <v>-4142</v>
      </c>
      <c r="C852">
        <v>16777215</v>
      </c>
      <c r="D852">
        <v>0</v>
      </c>
    </row>
    <row r="853" spans="1:4" x14ac:dyDescent="0.35">
      <c r="A853" t="s">
        <v>2779</v>
      </c>
      <c r="B853">
        <v>-4142</v>
      </c>
      <c r="C853">
        <v>16777215</v>
      </c>
      <c r="D853">
        <v>0</v>
      </c>
    </row>
    <row r="854" spans="1:4" x14ac:dyDescent="0.35">
      <c r="A854" t="s">
        <v>2780</v>
      </c>
      <c r="B854">
        <v>-4142</v>
      </c>
      <c r="C854">
        <v>16777215</v>
      </c>
      <c r="D854">
        <v>0</v>
      </c>
    </row>
    <row r="855" spans="1:4" x14ac:dyDescent="0.35">
      <c r="A855" t="s">
        <v>2781</v>
      </c>
      <c r="B855">
        <v>-4142</v>
      </c>
      <c r="C855">
        <v>16777215</v>
      </c>
      <c r="D855">
        <v>0</v>
      </c>
    </row>
    <row r="856" spans="1:4" x14ac:dyDescent="0.35">
      <c r="A856" t="s">
        <v>2782</v>
      </c>
      <c r="B856">
        <v>-4142</v>
      </c>
      <c r="C856">
        <v>16777215</v>
      </c>
      <c r="D856">
        <v>0</v>
      </c>
    </row>
    <row r="857" spans="1:4" x14ac:dyDescent="0.35">
      <c r="A857" t="s">
        <v>2783</v>
      </c>
      <c r="B857">
        <v>-4142</v>
      </c>
      <c r="C857">
        <v>16777215</v>
      </c>
      <c r="D857">
        <v>0</v>
      </c>
    </row>
    <row r="858" spans="1:4" x14ac:dyDescent="0.35">
      <c r="A858" t="s">
        <v>2784</v>
      </c>
      <c r="B858">
        <v>-4142</v>
      </c>
      <c r="C858">
        <v>16777215</v>
      </c>
      <c r="D858">
        <v>0</v>
      </c>
    </row>
    <row r="859" spans="1:4" x14ac:dyDescent="0.35">
      <c r="A859" t="s">
        <v>2785</v>
      </c>
      <c r="B859">
        <v>-4142</v>
      </c>
      <c r="C859">
        <v>16777215</v>
      </c>
      <c r="D859">
        <v>0</v>
      </c>
    </row>
    <row r="860" spans="1:4" x14ac:dyDescent="0.35">
      <c r="A860" t="s">
        <v>2786</v>
      </c>
      <c r="B860">
        <v>-4142</v>
      </c>
      <c r="C860">
        <v>16777215</v>
      </c>
      <c r="D860">
        <v>0</v>
      </c>
    </row>
    <row r="861" spans="1:4" x14ac:dyDescent="0.35">
      <c r="A861" t="s">
        <v>2787</v>
      </c>
      <c r="B861">
        <v>-4142</v>
      </c>
      <c r="C861">
        <v>16777215</v>
      </c>
      <c r="D861">
        <v>0</v>
      </c>
    </row>
    <row r="862" spans="1:4" x14ac:dyDescent="0.35">
      <c r="A862" t="s">
        <v>2788</v>
      </c>
      <c r="B862">
        <v>-4142</v>
      </c>
      <c r="C862">
        <v>16777215</v>
      </c>
      <c r="D862">
        <v>0</v>
      </c>
    </row>
    <row r="863" spans="1:4" x14ac:dyDescent="0.35">
      <c r="A863" t="s">
        <v>2789</v>
      </c>
      <c r="B863">
        <v>-4142</v>
      </c>
      <c r="C863">
        <v>16777215</v>
      </c>
      <c r="D863">
        <v>0</v>
      </c>
    </row>
    <row r="864" spans="1:4" x14ac:dyDescent="0.35">
      <c r="A864" t="s">
        <v>2790</v>
      </c>
      <c r="B864">
        <v>-4142</v>
      </c>
      <c r="C864">
        <v>16777215</v>
      </c>
      <c r="D864">
        <v>0</v>
      </c>
    </row>
    <row r="865" spans="1:4" x14ac:dyDescent="0.35">
      <c r="A865" t="s">
        <v>2791</v>
      </c>
      <c r="B865">
        <v>-4142</v>
      </c>
      <c r="C865">
        <v>16777215</v>
      </c>
      <c r="D865">
        <v>0</v>
      </c>
    </row>
    <row r="866" spans="1:4" x14ac:dyDescent="0.35">
      <c r="A866" t="s">
        <v>2792</v>
      </c>
      <c r="B866">
        <v>-4142</v>
      </c>
      <c r="C866">
        <v>16777215</v>
      </c>
      <c r="D866">
        <v>0</v>
      </c>
    </row>
    <row r="867" spans="1:4" x14ac:dyDescent="0.35">
      <c r="A867" t="s">
        <v>2793</v>
      </c>
      <c r="B867">
        <v>-4142</v>
      </c>
      <c r="C867">
        <v>16777215</v>
      </c>
      <c r="D867">
        <v>0</v>
      </c>
    </row>
    <row r="868" spans="1:4" x14ac:dyDescent="0.35">
      <c r="A868" t="s">
        <v>2794</v>
      </c>
      <c r="B868">
        <v>-4142</v>
      </c>
      <c r="C868">
        <v>16777215</v>
      </c>
      <c r="D868">
        <v>0</v>
      </c>
    </row>
    <row r="869" spans="1:4" x14ac:dyDescent="0.35">
      <c r="A869" t="s">
        <v>2795</v>
      </c>
      <c r="B869">
        <v>-4142</v>
      </c>
      <c r="C869">
        <v>16777215</v>
      </c>
      <c r="D869">
        <v>0</v>
      </c>
    </row>
    <row r="870" spans="1:4" x14ac:dyDescent="0.35">
      <c r="A870" t="s">
        <v>2796</v>
      </c>
      <c r="B870">
        <v>-4142</v>
      </c>
      <c r="C870">
        <v>16777215</v>
      </c>
      <c r="D870">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E0DAD-6B31-4DD1-94DC-7B526C28069E}">
  <sheetPr codeName="Sheet3">
    <tabColor theme="4" tint="-0.249977111117893"/>
  </sheetPr>
  <dimension ref="A1:XED290"/>
  <sheetViews>
    <sheetView showGridLines="0" tabSelected="1" zoomScale="60" zoomScaleNormal="60" zoomScaleSheetLayoutView="100" workbookViewId="0">
      <selection activeCell="J13" sqref="J13:T13"/>
    </sheetView>
  </sheetViews>
  <sheetFormatPr defaultColWidth="0" defaultRowHeight="18" customHeight="1" zeroHeight="1" x14ac:dyDescent="0.35"/>
  <cols>
    <col min="1" max="1" width="5.453125" style="42" customWidth="1"/>
    <col min="2" max="2" width="4.54296875" style="42" customWidth="1"/>
    <col min="3" max="3" width="8.54296875" style="42" customWidth="1"/>
    <col min="4" max="4" width="11" style="42" customWidth="1"/>
    <col min="5" max="5" width="7.54296875" style="42" customWidth="1"/>
    <col min="6" max="6" width="2.54296875" style="42" customWidth="1"/>
    <col min="7" max="7" width="8.1796875" style="68" customWidth="1"/>
    <col min="8" max="8" width="7.54296875" style="68" customWidth="1"/>
    <col min="9" max="9" width="7.81640625" style="68" customWidth="1"/>
    <col min="10" max="10" width="5.453125" style="65" customWidth="1"/>
    <col min="11" max="12" width="4.453125" style="42" customWidth="1"/>
    <col min="13" max="13" width="3.54296875" style="42" customWidth="1"/>
    <col min="14" max="14" width="4.54296875" style="42" customWidth="1"/>
    <col min="15" max="15" width="10" style="42" customWidth="1"/>
    <col min="16" max="16" width="5.453125" style="42" customWidth="1"/>
    <col min="17" max="17" width="5.81640625" style="42" customWidth="1"/>
    <col min="18" max="18" width="8.453125" style="42" bestFit="1" customWidth="1"/>
    <col min="19" max="19" width="7.453125" style="42" customWidth="1"/>
    <col min="20" max="20" width="56.1796875" style="66" customWidth="1"/>
    <col min="21" max="21" width="3.453125" style="42" customWidth="1"/>
    <col min="22" max="22" width="8.81640625" style="42" customWidth="1"/>
    <col min="23" max="16357" width="0" style="42" hidden="1"/>
    <col min="16358" max="16358" width="0" style="72" hidden="1"/>
    <col min="16359" max="16384" width="8.81640625" style="42" hidden="1"/>
  </cols>
  <sheetData>
    <row r="1" spans="1:52" ht="19.75" customHeight="1" x14ac:dyDescent="0.35">
      <c r="A1" s="115"/>
      <c r="B1" s="115"/>
      <c r="C1" s="115"/>
      <c r="D1" s="115"/>
      <c r="E1" s="115"/>
      <c r="F1" s="127"/>
      <c r="G1" s="127"/>
      <c r="H1" s="127"/>
      <c r="I1" s="127"/>
      <c r="J1" s="127"/>
      <c r="K1" s="127"/>
      <c r="L1" s="127"/>
      <c r="M1" s="127"/>
      <c r="N1" s="127"/>
      <c r="O1" s="127"/>
      <c r="P1" s="127"/>
      <c r="Q1" s="127"/>
      <c r="R1" s="127"/>
      <c r="S1" s="127"/>
      <c r="T1" s="127"/>
      <c r="U1" s="127"/>
      <c r="V1" s="127"/>
      <c r="W1" s="127"/>
      <c r="X1" s="127"/>
      <c r="Y1" s="127"/>
      <c r="Z1" s="127"/>
      <c r="AA1" s="127"/>
      <c r="AB1" s="127"/>
      <c r="AC1" s="127"/>
    </row>
    <row r="2" spans="1:52" ht="14.5" customHeight="1" x14ac:dyDescent="0.35">
      <c r="A2" s="115"/>
      <c r="B2" s="115"/>
      <c r="C2" s="115"/>
      <c r="D2" s="115"/>
      <c r="E2" s="115"/>
      <c r="F2" s="127"/>
      <c r="G2" s="127"/>
      <c r="H2" s="127"/>
      <c r="I2" s="127"/>
      <c r="J2" s="127"/>
      <c r="K2" s="127"/>
      <c r="L2" s="127"/>
      <c r="M2" s="127"/>
      <c r="N2" s="127"/>
      <c r="O2" s="127"/>
      <c r="P2" s="127"/>
      <c r="Q2" s="127"/>
      <c r="R2" s="127"/>
      <c r="S2" s="127"/>
      <c r="T2" s="127"/>
      <c r="U2" s="127"/>
      <c r="V2" s="127"/>
      <c r="W2" s="127"/>
      <c r="X2" s="127"/>
      <c r="Y2" s="127"/>
      <c r="Z2" s="127"/>
      <c r="AA2" s="127"/>
      <c r="AB2" s="127"/>
      <c r="AC2" s="127"/>
    </row>
    <row r="3" spans="1:52" ht="18" customHeight="1" x14ac:dyDescent="0.35">
      <c r="A3" s="115"/>
      <c r="B3" s="115"/>
      <c r="C3" s="115"/>
      <c r="D3" s="115"/>
      <c r="E3" s="115"/>
      <c r="F3" s="127"/>
      <c r="G3" s="127"/>
      <c r="H3" s="127"/>
      <c r="I3" s="127"/>
      <c r="J3" s="127"/>
      <c r="K3" s="127"/>
      <c r="L3" s="127"/>
      <c r="M3" s="127"/>
      <c r="N3" s="127"/>
      <c r="O3" s="127"/>
      <c r="P3" s="127"/>
      <c r="Q3" s="127"/>
      <c r="R3" s="127"/>
      <c r="S3" s="127"/>
      <c r="T3" s="127"/>
      <c r="U3" s="127"/>
      <c r="V3" s="127"/>
      <c r="W3" s="127"/>
      <c r="X3" s="127"/>
      <c r="Y3" s="127"/>
      <c r="Z3" s="127"/>
      <c r="AA3" s="127"/>
      <c r="AB3" s="127"/>
      <c r="AC3" s="127"/>
    </row>
    <row r="4" spans="1:52" ht="25.4" customHeight="1" x14ac:dyDescent="0.4">
      <c r="A4" s="116"/>
      <c r="B4" s="117"/>
      <c r="C4" s="117"/>
      <c r="D4" s="117"/>
      <c r="E4" s="117"/>
      <c r="F4" s="128"/>
      <c r="G4" s="129"/>
      <c r="H4" s="129"/>
      <c r="I4" s="129"/>
      <c r="J4" s="129"/>
      <c r="K4" s="129"/>
      <c r="L4" s="129"/>
      <c r="M4" s="129"/>
      <c r="N4" s="129"/>
      <c r="O4" s="129"/>
      <c r="P4" s="129"/>
      <c r="Q4" s="129"/>
      <c r="R4" s="129"/>
      <c r="S4" s="129"/>
      <c r="T4" s="129"/>
      <c r="U4" s="127"/>
      <c r="V4" s="127"/>
      <c r="W4" s="127"/>
      <c r="X4" s="127"/>
      <c r="Y4" s="127"/>
      <c r="Z4" s="127"/>
      <c r="AA4" s="127"/>
      <c r="AB4" s="127"/>
      <c r="AC4" s="127"/>
    </row>
    <row r="5" spans="1:52" ht="18" customHeight="1" x14ac:dyDescent="0.4">
      <c r="A5" s="116"/>
      <c r="B5" s="118"/>
      <c r="C5" s="118"/>
      <c r="D5" s="118"/>
      <c r="E5" s="118"/>
      <c r="F5" s="128"/>
      <c r="G5" s="99" t="s">
        <v>0</v>
      </c>
      <c r="H5" s="121"/>
      <c r="I5" s="121"/>
      <c r="J5" s="122" t="s">
        <v>2833</v>
      </c>
      <c r="K5" s="122"/>
      <c r="L5" s="122"/>
      <c r="M5" s="122"/>
      <c r="N5" s="122"/>
      <c r="O5" s="122"/>
      <c r="P5" s="122"/>
      <c r="Q5" s="122"/>
      <c r="R5" s="122"/>
      <c r="S5" s="122"/>
      <c r="T5" s="111"/>
      <c r="U5" s="127"/>
      <c r="V5" s="127"/>
      <c r="W5" s="127"/>
      <c r="X5" s="127"/>
      <c r="Y5" s="127"/>
      <c r="Z5" s="127"/>
      <c r="AA5" s="127"/>
      <c r="AB5" s="127"/>
      <c r="AC5" s="127"/>
    </row>
    <row r="6" spans="1:52" ht="18" customHeight="1" x14ac:dyDescent="0.4">
      <c r="A6" s="116"/>
      <c r="B6" s="118"/>
      <c r="C6" s="118"/>
      <c r="D6" s="118"/>
      <c r="E6" s="118"/>
      <c r="F6" s="128"/>
      <c r="G6" s="92" t="s">
        <v>1</v>
      </c>
      <c r="H6" s="93"/>
      <c r="I6" s="93"/>
      <c r="J6" s="94"/>
      <c r="K6" s="94"/>
      <c r="L6" s="94"/>
      <c r="M6" s="94"/>
      <c r="N6" s="94"/>
      <c r="O6" s="94"/>
      <c r="P6" s="94"/>
      <c r="Q6" s="94"/>
      <c r="R6" s="94"/>
      <c r="S6" s="94"/>
      <c r="T6" s="95"/>
      <c r="U6" s="127"/>
      <c r="V6" s="127"/>
      <c r="W6" s="127"/>
      <c r="X6" s="127"/>
      <c r="Y6" s="127"/>
      <c r="Z6" s="127"/>
      <c r="AA6" s="127"/>
      <c r="AB6" s="127"/>
      <c r="AC6" s="127"/>
    </row>
    <row r="7" spans="1:52" ht="18" customHeight="1" x14ac:dyDescent="0.4">
      <c r="A7" s="116"/>
      <c r="B7" s="118"/>
      <c r="C7" s="118"/>
      <c r="D7" s="118"/>
      <c r="E7" s="118"/>
      <c r="F7" s="128"/>
      <c r="G7" s="92" t="s">
        <v>2</v>
      </c>
      <c r="H7" s="93"/>
      <c r="I7" s="93"/>
      <c r="J7" s="145"/>
      <c r="K7" s="145"/>
      <c r="L7" s="145"/>
      <c r="M7" s="145"/>
      <c r="N7" s="145"/>
      <c r="O7" s="145"/>
      <c r="P7" s="145"/>
      <c r="Q7" s="145"/>
      <c r="R7" s="145"/>
      <c r="S7" s="145"/>
      <c r="T7" s="146"/>
      <c r="U7" s="127"/>
      <c r="V7" s="127"/>
      <c r="W7" s="127"/>
      <c r="X7" s="127"/>
      <c r="Y7" s="127"/>
      <c r="Z7" s="127"/>
      <c r="AA7" s="127"/>
      <c r="AB7" s="127"/>
      <c r="AC7" s="127"/>
    </row>
    <row r="8" spans="1:52" ht="21" customHeight="1" x14ac:dyDescent="0.4">
      <c r="A8" s="116"/>
      <c r="B8" s="118"/>
      <c r="C8" s="118"/>
      <c r="D8" s="118"/>
      <c r="E8" s="118"/>
      <c r="F8" s="128"/>
      <c r="G8" s="92" t="s">
        <v>3</v>
      </c>
      <c r="H8" s="93"/>
      <c r="I8" s="93"/>
      <c r="J8" s="145"/>
      <c r="K8" s="145"/>
      <c r="L8" s="145"/>
      <c r="M8" s="145"/>
      <c r="N8" s="145"/>
      <c r="O8" s="145"/>
      <c r="P8" s="145"/>
      <c r="Q8" s="145"/>
      <c r="R8" s="145"/>
      <c r="S8" s="145"/>
      <c r="T8" s="146"/>
      <c r="U8" s="127"/>
      <c r="V8" s="127"/>
      <c r="W8" s="127"/>
      <c r="X8" s="127"/>
      <c r="Y8" s="127"/>
      <c r="Z8" s="127"/>
      <c r="AA8" s="127"/>
      <c r="AB8" s="127"/>
      <c r="AC8" s="127"/>
    </row>
    <row r="9" spans="1:52" ht="18" customHeight="1" x14ac:dyDescent="0.4">
      <c r="A9" s="116"/>
      <c r="B9" s="118"/>
      <c r="C9" s="118"/>
      <c r="D9" s="118"/>
      <c r="E9" s="118"/>
      <c r="F9" s="128"/>
      <c r="G9" s="92" t="s">
        <v>4</v>
      </c>
      <c r="H9" s="93"/>
      <c r="I9" s="93"/>
      <c r="J9" s="94"/>
      <c r="K9" s="94"/>
      <c r="L9" s="94"/>
      <c r="M9" s="94"/>
      <c r="N9" s="94"/>
      <c r="O9" s="94"/>
      <c r="P9" s="94"/>
      <c r="Q9" s="94"/>
      <c r="R9" s="94"/>
      <c r="S9" s="94"/>
      <c r="T9" s="95"/>
      <c r="U9" s="127"/>
      <c r="V9" s="127"/>
      <c r="W9" s="127"/>
      <c r="X9" s="127"/>
      <c r="Y9" s="127"/>
      <c r="Z9" s="127"/>
      <c r="AA9" s="127"/>
      <c r="AB9" s="127"/>
      <c r="AC9" s="127"/>
    </row>
    <row r="10" spans="1:52" ht="18" customHeight="1" x14ac:dyDescent="0.4">
      <c r="A10" s="116"/>
      <c r="B10" s="118"/>
      <c r="C10" s="118"/>
      <c r="D10" s="118"/>
      <c r="E10" s="118"/>
      <c r="F10" s="128"/>
      <c r="G10" s="96" t="s">
        <v>5</v>
      </c>
      <c r="H10" s="97"/>
      <c r="I10" s="97"/>
      <c r="J10" s="101"/>
      <c r="K10" s="101"/>
      <c r="L10" s="101"/>
      <c r="M10" s="101"/>
      <c r="N10" s="101"/>
      <c r="O10" s="101"/>
      <c r="P10" s="101"/>
      <c r="Q10" s="101"/>
      <c r="R10" s="101"/>
      <c r="S10" s="101"/>
      <c r="T10" s="102"/>
      <c r="U10" s="127"/>
      <c r="V10" s="127"/>
      <c r="W10" s="127"/>
      <c r="X10" s="127"/>
      <c r="Y10" s="127"/>
      <c r="Z10" s="127"/>
      <c r="AA10" s="127"/>
      <c r="AB10" s="127"/>
      <c r="AC10" s="127"/>
    </row>
    <row r="11" spans="1:52" ht="18" customHeight="1" x14ac:dyDescent="0.4">
      <c r="A11" s="116"/>
      <c r="B11" s="118"/>
      <c r="C11" s="118"/>
      <c r="D11" s="118"/>
      <c r="E11" s="118"/>
      <c r="F11" s="128"/>
      <c r="G11" s="130"/>
      <c r="H11" s="130"/>
      <c r="I11" s="130"/>
      <c r="J11" s="131"/>
      <c r="K11" s="132"/>
      <c r="L11" s="132"/>
      <c r="M11" s="132"/>
      <c r="N11" s="132"/>
      <c r="O11" s="132"/>
      <c r="P11" s="132"/>
      <c r="Q11" s="132"/>
      <c r="R11" s="132"/>
      <c r="S11" s="132"/>
      <c r="T11" s="79"/>
      <c r="U11" s="127"/>
      <c r="V11" s="127"/>
      <c r="W11" s="127"/>
      <c r="X11" s="127"/>
      <c r="Y11" s="127"/>
      <c r="Z11" s="127"/>
      <c r="AA11" s="127"/>
      <c r="AB11" s="127"/>
      <c r="AC11" s="127"/>
    </row>
    <row r="12" spans="1:52" ht="32.5" customHeight="1" x14ac:dyDescent="0.4">
      <c r="A12" s="116"/>
      <c r="B12" s="118"/>
      <c r="C12" s="118"/>
      <c r="D12" s="118"/>
      <c r="E12" s="118"/>
      <c r="F12" s="128"/>
      <c r="G12" s="129"/>
      <c r="H12" s="129"/>
      <c r="I12" s="129"/>
      <c r="J12" s="129"/>
      <c r="K12" s="129"/>
      <c r="L12" s="129"/>
      <c r="M12" s="129"/>
      <c r="N12" s="129"/>
      <c r="O12" s="129"/>
      <c r="P12" s="129"/>
      <c r="Q12" s="129"/>
      <c r="R12" s="129"/>
      <c r="S12" s="129"/>
      <c r="T12" s="129"/>
      <c r="U12" s="127"/>
      <c r="V12" s="127"/>
      <c r="W12" s="127"/>
      <c r="X12" s="127"/>
      <c r="Y12" s="127"/>
      <c r="Z12" s="127"/>
      <c r="AA12" s="127"/>
      <c r="AB12" s="127"/>
      <c r="AC12" s="127"/>
    </row>
    <row r="13" spans="1:52" ht="18" customHeight="1" x14ac:dyDescent="0.4">
      <c r="A13" s="116"/>
      <c r="B13" s="118"/>
      <c r="C13" s="118"/>
      <c r="D13" s="118"/>
      <c r="E13" s="118"/>
      <c r="F13" s="128"/>
      <c r="G13" s="99" t="s">
        <v>6</v>
      </c>
      <c r="H13" s="121"/>
      <c r="I13" s="121"/>
      <c r="J13" s="122" t="s">
        <v>7</v>
      </c>
      <c r="K13" s="122"/>
      <c r="L13" s="122"/>
      <c r="M13" s="122"/>
      <c r="N13" s="122"/>
      <c r="O13" s="122"/>
      <c r="P13" s="122"/>
      <c r="Q13" s="122"/>
      <c r="R13" s="122"/>
      <c r="S13" s="122"/>
      <c r="T13" s="111"/>
      <c r="U13" s="127"/>
      <c r="V13" s="127"/>
      <c r="W13" s="127"/>
      <c r="X13" s="127"/>
      <c r="Y13" s="127"/>
      <c r="Z13" s="127"/>
      <c r="AA13" s="127"/>
      <c r="AB13" s="127"/>
      <c r="AC13" s="127"/>
    </row>
    <row r="14" spans="1:52" ht="18" customHeight="1" x14ac:dyDescent="0.4">
      <c r="A14" s="116"/>
      <c r="B14" s="118"/>
      <c r="C14" s="118"/>
      <c r="D14" s="118"/>
      <c r="E14" s="118"/>
      <c r="F14" s="128"/>
      <c r="G14" s="96" t="s">
        <v>8</v>
      </c>
      <c r="H14" s="97"/>
      <c r="I14" s="97"/>
      <c r="J14" s="101"/>
      <c r="K14" s="101"/>
      <c r="L14" s="101"/>
      <c r="M14" s="101"/>
      <c r="N14" s="101"/>
      <c r="O14" s="101"/>
      <c r="P14" s="101"/>
      <c r="Q14" s="101"/>
      <c r="R14" s="101"/>
      <c r="S14" s="101"/>
      <c r="T14" s="102"/>
      <c r="U14" s="127"/>
      <c r="V14" s="127"/>
      <c r="W14" s="127"/>
      <c r="X14" s="127"/>
      <c r="Y14" s="127"/>
      <c r="Z14" s="127"/>
      <c r="AA14" s="127"/>
      <c r="AB14" s="127"/>
      <c r="AC14" s="127"/>
      <c r="AD14" s="91"/>
      <c r="AE14" s="91"/>
      <c r="AF14" s="91"/>
      <c r="AG14" s="91"/>
      <c r="AH14" s="91"/>
      <c r="AI14" s="91"/>
      <c r="AJ14" s="91"/>
      <c r="AK14" s="91"/>
      <c r="AL14" s="91"/>
      <c r="AM14" s="91"/>
      <c r="AN14" s="91"/>
      <c r="AO14" s="91"/>
      <c r="AP14" s="91"/>
      <c r="AQ14" s="91"/>
      <c r="AR14" s="91"/>
      <c r="AS14" s="91"/>
      <c r="AT14" s="91"/>
      <c r="AU14" s="91"/>
      <c r="AV14" s="91"/>
      <c r="AW14" s="91"/>
      <c r="AX14" s="91"/>
      <c r="AY14" s="91"/>
      <c r="AZ14" s="91"/>
    </row>
    <row r="15" spans="1:52" ht="18" customHeight="1" x14ac:dyDescent="0.4">
      <c r="A15" s="116"/>
      <c r="B15" s="115"/>
      <c r="C15" s="115"/>
      <c r="D15" s="115"/>
      <c r="E15" s="115"/>
      <c r="F15" s="128"/>
      <c r="G15" s="130"/>
      <c r="H15" s="130"/>
      <c r="I15" s="130"/>
      <c r="J15" s="131"/>
      <c r="K15" s="132"/>
      <c r="L15" s="132"/>
      <c r="M15" s="132"/>
      <c r="N15" s="132"/>
      <c r="O15" s="132"/>
      <c r="P15" s="132"/>
      <c r="Q15" s="132"/>
      <c r="R15" s="132"/>
      <c r="S15" s="132"/>
      <c r="T15" s="79"/>
      <c r="U15" s="127"/>
      <c r="V15" s="127"/>
      <c r="W15" s="127"/>
      <c r="X15" s="127"/>
      <c r="Y15" s="127"/>
      <c r="Z15" s="127"/>
      <c r="AA15" s="127"/>
      <c r="AB15" s="127"/>
      <c r="AC15" s="127"/>
      <c r="AD15" s="73"/>
      <c r="AE15" s="71"/>
      <c r="AF15" s="71"/>
      <c r="AG15" s="71"/>
      <c r="AH15" s="71"/>
      <c r="AI15" s="71"/>
      <c r="AJ15" s="71"/>
      <c r="AK15" s="71"/>
      <c r="AL15" s="71"/>
      <c r="AM15" s="71"/>
      <c r="AN15" s="71"/>
      <c r="AO15" s="71"/>
      <c r="AP15" s="71"/>
      <c r="AQ15" s="71"/>
      <c r="AR15" s="71"/>
      <c r="AS15" s="71"/>
      <c r="AT15" s="71"/>
      <c r="AU15" s="71"/>
      <c r="AV15" s="71"/>
      <c r="AW15" s="71"/>
      <c r="AX15" s="71"/>
      <c r="AY15" s="71"/>
      <c r="AZ15" s="71"/>
    </row>
    <row r="16" spans="1:52" ht="30.65" customHeight="1" x14ac:dyDescent="0.4">
      <c r="A16" s="116"/>
      <c r="B16" s="117"/>
      <c r="C16" s="117"/>
      <c r="D16" s="117"/>
      <c r="E16" s="117"/>
      <c r="F16" s="128"/>
      <c r="G16" s="129"/>
      <c r="H16" s="129"/>
      <c r="I16" s="129"/>
      <c r="J16" s="129"/>
      <c r="K16" s="129"/>
      <c r="L16" s="129"/>
      <c r="M16" s="129"/>
      <c r="N16" s="129"/>
      <c r="O16" s="129"/>
      <c r="P16" s="129"/>
      <c r="Q16" s="129"/>
      <c r="R16" s="129"/>
      <c r="S16" s="129"/>
      <c r="T16" s="129"/>
      <c r="U16" s="127"/>
      <c r="V16" s="127"/>
      <c r="W16" s="127"/>
      <c r="X16" s="127"/>
      <c r="Y16" s="127"/>
      <c r="Z16" s="127"/>
      <c r="AA16" s="127"/>
      <c r="AB16" s="127"/>
      <c r="AC16" s="127"/>
      <c r="AD16" s="73"/>
      <c r="AE16" s="71"/>
      <c r="AF16" s="71"/>
      <c r="AG16" s="71"/>
      <c r="AH16" s="71"/>
      <c r="AI16" s="71"/>
      <c r="AJ16" s="71"/>
      <c r="AK16" s="71"/>
      <c r="AL16" s="71"/>
      <c r="AM16" s="71"/>
      <c r="AN16" s="71"/>
      <c r="AO16" s="71"/>
      <c r="AP16" s="71"/>
      <c r="AQ16" s="71"/>
      <c r="AR16" s="71"/>
      <c r="AS16" s="71"/>
      <c r="AT16" s="71"/>
      <c r="AU16" s="71"/>
      <c r="AV16" s="71"/>
      <c r="AW16" s="71"/>
      <c r="AX16" s="71"/>
      <c r="AY16" s="71"/>
      <c r="AZ16" s="71"/>
    </row>
    <row r="17" spans="1:52 16358:16358" ht="18" customHeight="1" x14ac:dyDescent="0.4">
      <c r="A17" s="116"/>
      <c r="B17" s="119"/>
      <c r="C17" s="119"/>
      <c r="D17" s="119"/>
      <c r="E17" s="119"/>
      <c r="F17" s="128"/>
      <c r="G17" s="110" t="s">
        <v>9</v>
      </c>
      <c r="H17" s="123"/>
      <c r="I17" s="123"/>
      <c r="J17" s="98" t="s">
        <v>10</v>
      </c>
      <c r="K17" s="123"/>
      <c r="L17" s="123"/>
      <c r="M17" s="123"/>
      <c r="N17" s="123"/>
      <c r="O17" s="123"/>
      <c r="P17" s="123"/>
      <c r="Q17" s="123"/>
      <c r="R17" s="123"/>
      <c r="S17" s="123"/>
      <c r="T17" s="81" t="s">
        <v>11</v>
      </c>
      <c r="U17" s="127"/>
      <c r="V17" s="127"/>
      <c r="W17" s="127"/>
      <c r="X17" s="127"/>
      <c r="Y17" s="127"/>
      <c r="Z17" s="127"/>
      <c r="AA17" s="127"/>
      <c r="AB17" s="127"/>
      <c r="AC17" s="127"/>
      <c r="AD17" s="73"/>
      <c r="AE17" s="71"/>
      <c r="AF17" s="71"/>
      <c r="AG17" s="71"/>
      <c r="AH17" s="71"/>
      <c r="AI17" s="71"/>
      <c r="AJ17" s="71"/>
      <c r="AK17" s="71"/>
      <c r="AL17" s="71"/>
      <c r="AM17" s="71"/>
      <c r="AN17" s="71"/>
      <c r="AO17" s="71"/>
      <c r="AP17" s="71"/>
      <c r="AQ17" s="71"/>
      <c r="AR17" s="71"/>
      <c r="AS17" s="71"/>
      <c r="AT17" s="71"/>
      <c r="AU17" s="71"/>
      <c r="AV17" s="71"/>
      <c r="AW17" s="71"/>
      <c r="AX17" s="71"/>
      <c r="AY17" s="71"/>
      <c r="AZ17" s="71"/>
    </row>
    <row r="18" spans="1:52 16358:16358" ht="17.5" customHeight="1" x14ac:dyDescent="0.4">
      <c r="A18" s="116"/>
      <c r="B18" s="119"/>
      <c r="C18" s="119"/>
      <c r="D18" s="119"/>
      <c r="E18" s="119"/>
      <c r="F18" s="128"/>
      <c r="G18" s="92" t="s">
        <v>12</v>
      </c>
      <c r="H18" s="93"/>
      <c r="I18" s="93"/>
      <c r="J18" s="105" t="s">
        <v>2827</v>
      </c>
      <c r="K18" s="105"/>
      <c r="L18" s="105"/>
      <c r="M18" s="105"/>
      <c r="N18" s="105"/>
      <c r="O18" s="105"/>
      <c r="P18" s="105"/>
      <c r="Q18" s="105"/>
      <c r="R18" s="105"/>
      <c r="S18" s="105"/>
      <c r="T18" s="83"/>
      <c r="U18" s="127"/>
      <c r="V18" s="127"/>
      <c r="W18" s="127"/>
      <c r="X18" s="127"/>
      <c r="Y18" s="127"/>
      <c r="Z18" s="127"/>
      <c r="AA18" s="127"/>
      <c r="AB18" s="127"/>
      <c r="AC18" s="127"/>
    </row>
    <row r="19" spans="1:52 16358:16358" ht="18" customHeight="1" x14ac:dyDescent="0.4">
      <c r="A19" s="116"/>
      <c r="B19" s="119"/>
      <c r="C19" s="119"/>
      <c r="D19" s="119"/>
      <c r="E19" s="119"/>
      <c r="F19" s="128"/>
      <c r="G19" s="92" t="s">
        <v>13</v>
      </c>
      <c r="H19" s="93"/>
      <c r="I19" s="93"/>
      <c r="J19" s="105"/>
      <c r="K19" s="105"/>
      <c r="L19" s="105"/>
      <c r="M19" s="105"/>
      <c r="N19" s="105"/>
      <c r="O19" s="105"/>
      <c r="P19" s="105"/>
      <c r="Q19" s="105"/>
      <c r="R19" s="105"/>
      <c r="S19" s="105"/>
      <c r="T19" s="83"/>
      <c r="U19" s="127"/>
      <c r="V19" s="127"/>
      <c r="W19" s="127"/>
      <c r="X19" s="127"/>
      <c r="Y19" s="127"/>
      <c r="Z19" s="127"/>
      <c r="AA19" s="127"/>
      <c r="AB19" s="127"/>
      <c r="AC19" s="127"/>
    </row>
    <row r="20" spans="1:52 16358:16358" ht="18" customHeight="1" x14ac:dyDescent="0.4">
      <c r="A20" s="116"/>
      <c r="B20" s="119"/>
      <c r="C20" s="119"/>
      <c r="D20" s="119"/>
      <c r="E20" s="119"/>
      <c r="F20" s="128"/>
      <c r="G20" s="92" t="s">
        <v>14</v>
      </c>
      <c r="H20" s="93"/>
      <c r="I20" s="93"/>
      <c r="J20" s="105"/>
      <c r="K20" s="105"/>
      <c r="L20" s="105"/>
      <c r="M20" s="105"/>
      <c r="N20" s="105"/>
      <c r="O20" s="105"/>
      <c r="P20" s="105"/>
      <c r="Q20" s="105"/>
      <c r="R20" s="105"/>
      <c r="S20" s="105"/>
      <c r="T20" s="83"/>
      <c r="U20" s="127"/>
      <c r="V20" s="127"/>
      <c r="W20" s="127"/>
      <c r="X20" s="127"/>
      <c r="Y20" s="127"/>
      <c r="Z20" s="127"/>
      <c r="AA20" s="127"/>
      <c r="AB20" s="127"/>
      <c r="AC20" s="127"/>
    </row>
    <row r="21" spans="1:52 16358:16358" ht="18" customHeight="1" x14ac:dyDescent="0.4">
      <c r="A21" s="116"/>
      <c r="B21" s="119"/>
      <c r="C21" s="119"/>
      <c r="D21" s="119"/>
      <c r="E21" s="119"/>
      <c r="F21" s="128"/>
      <c r="G21" s="92" t="s">
        <v>15</v>
      </c>
      <c r="H21" s="93"/>
      <c r="I21" s="93"/>
      <c r="J21" s="100"/>
      <c r="K21" s="100"/>
      <c r="L21" s="100"/>
      <c r="M21" s="100"/>
      <c r="N21" s="100"/>
      <c r="O21" s="100"/>
      <c r="P21" s="100"/>
      <c r="Q21" s="100"/>
      <c r="R21" s="100"/>
      <c r="S21" s="100"/>
      <c r="T21" s="83"/>
      <c r="U21" s="127"/>
      <c r="V21" s="127"/>
      <c r="W21" s="127"/>
      <c r="X21" s="127"/>
      <c r="Y21" s="127"/>
      <c r="Z21" s="127"/>
      <c r="AA21" s="127"/>
      <c r="AB21" s="127"/>
      <c r="AC21" s="127"/>
    </row>
    <row r="22" spans="1:52 16358:16358" ht="18" customHeight="1" x14ac:dyDescent="0.4">
      <c r="A22" s="116"/>
      <c r="B22" s="119"/>
      <c r="C22" s="119"/>
      <c r="D22" s="119"/>
      <c r="E22" s="119"/>
      <c r="F22" s="128"/>
      <c r="G22" s="92" t="s">
        <v>16</v>
      </c>
      <c r="H22" s="93"/>
      <c r="I22" s="93"/>
      <c r="J22" s="100"/>
      <c r="K22" s="100"/>
      <c r="L22" s="100"/>
      <c r="M22" s="100"/>
      <c r="N22" s="100"/>
      <c r="O22" s="100"/>
      <c r="P22" s="100"/>
      <c r="Q22" s="100"/>
      <c r="R22" s="100"/>
      <c r="S22" s="100"/>
      <c r="T22" s="83"/>
      <c r="U22" s="127"/>
      <c r="V22" s="127"/>
      <c r="W22" s="127"/>
      <c r="X22" s="127"/>
      <c r="Y22" s="127"/>
      <c r="Z22" s="127"/>
      <c r="AA22" s="127"/>
      <c r="AB22" s="127"/>
      <c r="AC22" s="127"/>
    </row>
    <row r="23" spans="1:52 16358:16358" ht="18" customHeight="1" x14ac:dyDescent="0.4">
      <c r="A23" s="116"/>
      <c r="B23" s="119"/>
      <c r="C23" s="119"/>
      <c r="D23" s="119"/>
      <c r="E23" s="119"/>
      <c r="F23" s="128"/>
      <c r="G23" s="96" t="s">
        <v>17</v>
      </c>
      <c r="H23" s="97"/>
      <c r="I23" s="97"/>
      <c r="J23" s="106"/>
      <c r="K23" s="106"/>
      <c r="L23" s="106"/>
      <c r="M23" s="106"/>
      <c r="N23" s="106"/>
      <c r="O23" s="106"/>
      <c r="P23" s="106"/>
      <c r="Q23" s="106"/>
      <c r="R23" s="106"/>
      <c r="S23" s="106"/>
      <c r="T23" s="82"/>
      <c r="U23" s="127"/>
      <c r="V23" s="127"/>
      <c r="W23" s="127"/>
      <c r="X23" s="127"/>
      <c r="Y23" s="127"/>
      <c r="Z23" s="127"/>
      <c r="AA23" s="127"/>
      <c r="AB23" s="127"/>
      <c r="AC23" s="127"/>
    </row>
    <row r="24" spans="1:52 16358:16358" ht="18" customHeight="1" x14ac:dyDescent="0.4">
      <c r="A24" s="116"/>
      <c r="B24" s="119"/>
      <c r="C24" s="119"/>
      <c r="D24" s="119"/>
      <c r="E24" s="119"/>
      <c r="F24" s="128"/>
      <c r="G24" s="130"/>
      <c r="H24" s="130"/>
      <c r="I24" s="130"/>
      <c r="J24" s="133"/>
      <c r="K24" s="133"/>
      <c r="L24" s="133"/>
      <c r="M24" s="133"/>
      <c r="N24" s="133"/>
      <c r="O24" s="133"/>
      <c r="P24" s="133"/>
      <c r="Q24" s="133"/>
      <c r="R24" s="133"/>
      <c r="S24" s="133"/>
      <c r="T24" s="76"/>
      <c r="U24" s="127"/>
      <c r="V24" s="127"/>
      <c r="W24" s="127"/>
      <c r="X24" s="127"/>
      <c r="Y24" s="127"/>
      <c r="Z24" s="127"/>
      <c r="AA24" s="127"/>
      <c r="AB24" s="127"/>
      <c r="AC24" s="127"/>
    </row>
    <row r="25" spans="1:52 16358:16358" ht="37.75" customHeight="1" x14ac:dyDescent="0.4">
      <c r="A25" s="116"/>
      <c r="B25" s="119"/>
      <c r="C25" s="119"/>
      <c r="D25" s="119"/>
      <c r="E25" s="119"/>
      <c r="F25" s="128"/>
      <c r="G25" s="134"/>
      <c r="H25" s="134"/>
      <c r="I25" s="134"/>
      <c r="J25" s="134"/>
      <c r="K25" s="134"/>
      <c r="L25" s="134"/>
      <c r="M25" s="134"/>
      <c r="N25" s="134"/>
      <c r="O25" s="134"/>
      <c r="P25" s="134"/>
      <c r="Q25" s="134"/>
      <c r="R25" s="134"/>
      <c r="S25" s="134"/>
      <c r="T25" s="80"/>
      <c r="U25" s="127"/>
      <c r="V25" s="127"/>
      <c r="W25" s="127"/>
      <c r="X25" s="127"/>
      <c r="Y25" s="127"/>
      <c r="Z25" s="127"/>
      <c r="AA25" s="127"/>
      <c r="AB25" s="127"/>
      <c r="AC25" s="127"/>
    </row>
    <row r="26" spans="1:52 16358:16358" ht="18" customHeight="1" x14ac:dyDescent="0.4">
      <c r="A26" s="116"/>
      <c r="B26" s="119"/>
      <c r="C26" s="119"/>
      <c r="D26" s="119"/>
      <c r="E26" s="119"/>
      <c r="F26" s="128"/>
      <c r="G26" s="107" t="s">
        <v>18</v>
      </c>
      <c r="H26" s="124"/>
      <c r="I26" s="124"/>
      <c r="J26" s="124"/>
      <c r="K26" s="124"/>
      <c r="L26" s="124" t="s">
        <v>19</v>
      </c>
      <c r="M26" s="124"/>
      <c r="N26" s="124"/>
      <c r="O26" s="125" t="s">
        <v>20</v>
      </c>
      <c r="P26" s="126" t="s">
        <v>21</v>
      </c>
      <c r="Q26" s="126"/>
      <c r="R26" s="124" t="s">
        <v>22</v>
      </c>
      <c r="S26" s="124"/>
      <c r="T26" s="84" t="s">
        <v>23</v>
      </c>
      <c r="U26" s="135"/>
      <c r="V26" s="127"/>
      <c r="W26" s="127"/>
      <c r="X26" s="127"/>
      <c r="Y26" s="127"/>
      <c r="Z26" s="127"/>
      <c r="AA26" s="127"/>
      <c r="AB26" s="127"/>
      <c r="AC26" s="127"/>
    </row>
    <row r="27" spans="1:52 16358:16358" ht="18" customHeight="1" x14ac:dyDescent="0.4">
      <c r="A27" s="116"/>
      <c r="B27" s="119"/>
      <c r="C27" s="119"/>
      <c r="D27" s="119"/>
      <c r="E27" s="119"/>
      <c r="F27" s="128"/>
      <c r="G27" s="108"/>
      <c r="H27" s="109"/>
      <c r="I27" s="109"/>
      <c r="J27" s="109"/>
      <c r="K27" s="109"/>
      <c r="L27" s="103"/>
      <c r="M27" s="103"/>
      <c r="N27" s="103"/>
      <c r="O27" s="85"/>
      <c r="P27" s="104" t="str">
        <f>_xlfn.XLOOKUP(G27,O37:O290,S37:S290, "")</f>
        <v/>
      </c>
      <c r="Q27" s="104"/>
      <c r="R27" s="104" t="str">
        <f>_xlfn.XLOOKUP(G27,O37:O290,T37:T290, "")</f>
        <v/>
      </c>
      <c r="S27" s="104"/>
      <c r="T27" s="86" t="str">
        <f>_xlfn.XLOOKUP(G27,O37:O290,R37:R290, "")</f>
        <v/>
      </c>
      <c r="U27" s="127"/>
      <c r="V27" s="127"/>
      <c r="W27" s="127"/>
      <c r="X27" s="127"/>
      <c r="Y27" s="127"/>
      <c r="Z27" s="127"/>
      <c r="AA27" s="127"/>
      <c r="AB27" s="127"/>
      <c r="AC27" s="127"/>
    </row>
    <row r="28" spans="1:52 16358:16358" ht="8.5" customHeight="1" x14ac:dyDescent="0.4">
      <c r="A28" s="116"/>
      <c r="B28" s="119"/>
      <c r="C28" s="119"/>
      <c r="D28" s="119"/>
      <c r="E28" s="119"/>
      <c r="F28" s="128"/>
      <c r="G28" s="136"/>
      <c r="H28" s="136"/>
      <c r="I28" s="136"/>
      <c r="J28" s="136"/>
      <c r="K28" s="136"/>
      <c r="L28" s="137"/>
      <c r="M28" s="137"/>
      <c r="N28" s="137"/>
      <c r="O28" s="137"/>
      <c r="P28" s="138"/>
      <c r="Q28" s="138"/>
      <c r="R28" s="138"/>
      <c r="S28" s="138"/>
      <c r="T28" s="75"/>
      <c r="U28" s="127"/>
      <c r="V28" s="127"/>
      <c r="W28" s="127"/>
      <c r="X28" s="127"/>
      <c r="Y28" s="127"/>
      <c r="Z28" s="127"/>
      <c r="AA28" s="127"/>
      <c r="AB28" s="127"/>
      <c r="AC28" s="127"/>
    </row>
    <row r="29" spans="1:52 16358:16358" s="67" customFormat="1" ht="15.65" customHeight="1" x14ac:dyDescent="0.4">
      <c r="A29" s="116"/>
      <c r="B29" s="120"/>
      <c r="C29" s="120"/>
      <c r="D29" s="120"/>
      <c r="E29" s="120"/>
      <c r="F29" s="128"/>
      <c r="G29" s="139"/>
      <c r="H29" s="139"/>
      <c r="I29" s="139"/>
      <c r="J29" s="139"/>
      <c r="K29" s="139"/>
      <c r="L29" s="139"/>
      <c r="M29" s="139"/>
      <c r="N29" s="139"/>
      <c r="O29" s="139"/>
      <c r="P29" s="139"/>
      <c r="Q29" s="139"/>
      <c r="R29" s="139"/>
      <c r="S29" s="139"/>
      <c r="T29" s="77"/>
      <c r="U29" s="140"/>
      <c r="V29" s="140"/>
      <c r="W29" s="140"/>
      <c r="X29" s="140"/>
      <c r="Y29" s="140"/>
      <c r="Z29" s="140"/>
      <c r="AA29" s="140"/>
      <c r="AB29" s="140"/>
      <c r="AC29" s="140"/>
      <c r="XED29" s="74"/>
    </row>
    <row r="30" spans="1:52 16358:16358" ht="18" hidden="1" customHeight="1" x14ac:dyDescent="0.35">
      <c r="A30" s="141"/>
      <c r="B30" s="141"/>
      <c r="C30" s="141"/>
      <c r="D30" s="141"/>
      <c r="E30" s="141"/>
      <c r="F30" s="141"/>
      <c r="G30" s="142"/>
      <c r="H30" s="143"/>
      <c r="I30" s="143"/>
      <c r="J30" s="142"/>
      <c r="K30" s="144"/>
      <c r="L30" s="144"/>
      <c r="M30" s="144"/>
      <c r="N30" s="144"/>
      <c r="O30" s="144"/>
      <c r="P30" s="144"/>
      <c r="Q30" s="144"/>
      <c r="R30" s="144"/>
      <c r="S30" s="144"/>
      <c r="T30" s="78"/>
      <c r="U30" s="127"/>
      <c r="V30" s="127"/>
      <c r="W30" s="127"/>
      <c r="X30" s="127"/>
      <c r="Y30" s="127"/>
      <c r="Z30" s="127"/>
      <c r="AA30" s="127"/>
      <c r="AB30" s="127"/>
      <c r="AC30" s="127"/>
    </row>
    <row r="31" spans="1:52 16358:16358" ht="18" hidden="1" customHeight="1" x14ac:dyDescent="0.35">
      <c r="A31" s="65"/>
      <c r="B31" s="65"/>
      <c r="C31" s="65"/>
      <c r="D31" s="65"/>
      <c r="E31" s="65"/>
      <c r="F31" s="65"/>
      <c r="G31" s="90"/>
      <c r="H31" s="88"/>
      <c r="I31" s="88"/>
      <c r="J31" s="90"/>
      <c r="K31" s="87"/>
      <c r="L31" s="87"/>
      <c r="M31" s="87"/>
      <c r="N31" s="87"/>
      <c r="O31" s="87"/>
      <c r="P31" s="87"/>
      <c r="Q31" s="87"/>
      <c r="R31" s="87"/>
      <c r="S31" s="87"/>
    </row>
    <row r="32" spans="1:52 16358:16358" ht="18" hidden="1" customHeight="1" x14ac:dyDescent="0.35">
      <c r="A32" s="65"/>
      <c r="B32" s="65"/>
      <c r="C32" s="65"/>
      <c r="D32" s="65"/>
      <c r="E32" s="65"/>
      <c r="F32" s="65"/>
      <c r="G32" s="90"/>
      <c r="H32" s="88"/>
      <c r="I32" s="88"/>
      <c r="J32" s="90"/>
      <c r="K32" s="87"/>
      <c r="L32" s="87"/>
      <c r="M32" s="87"/>
      <c r="N32" s="87"/>
      <c r="O32" s="87"/>
      <c r="P32" s="87"/>
      <c r="Q32" s="87"/>
      <c r="R32" s="87"/>
      <c r="S32" s="87"/>
    </row>
    <row r="33" spans="1:20" ht="18" hidden="1" customHeight="1" x14ac:dyDescent="0.35">
      <c r="G33" s="90"/>
      <c r="H33" s="88"/>
      <c r="I33" s="88"/>
      <c r="J33" s="90"/>
      <c r="K33" s="87"/>
      <c r="L33" s="87"/>
      <c r="M33" s="87"/>
      <c r="N33" s="87"/>
      <c r="O33" s="87"/>
      <c r="P33" s="87"/>
      <c r="Q33" s="87"/>
      <c r="R33" s="87"/>
      <c r="S33" s="87"/>
    </row>
    <row r="34" spans="1:20" ht="18" hidden="1" customHeight="1" x14ac:dyDescent="0.35">
      <c r="G34" s="90"/>
      <c r="H34" s="88"/>
      <c r="I34" s="88"/>
      <c r="J34" s="90"/>
      <c r="K34" s="87"/>
      <c r="L34" s="87"/>
      <c r="M34" s="87"/>
      <c r="N34" s="87"/>
      <c r="O34" s="87"/>
      <c r="P34" s="87"/>
      <c r="Q34" s="87"/>
      <c r="R34" s="87"/>
      <c r="S34" s="87"/>
    </row>
    <row r="35" spans="1:20" ht="18" hidden="1" customHeight="1" x14ac:dyDescent="0.35">
      <c r="A35" s="87"/>
      <c r="B35" s="87"/>
      <c r="C35" s="87"/>
      <c r="D35" s="87"/>
      <c r="E35" s="87"/>
      <c r="F35" s="87"/>
      <c r="G35" s="88"/>
      <c r="H35" s="88"/>
      <c r="I35" s="88"/>
      <c r="J35" s="89"/>
      <c r="K35" s="87"/>
      <c r="L35" s="87"/>
      <c r="M35" s="87"/>
      <c r="N35" s="87"/>
      <c r="O35" s="87"/>
      <c r="P35" s="87"/>
      <c r="Q35" s="87"/>
      <c r="R35" s="87"/>
      <c r="S35" s="87"/>
      <c r="T35" s="89"/>
    </row>
    <row r="36" spans="1:20" ht="18" hidden="1" customHeight="1" x14ac:dyDescent="0.35">
      <c r="O36" s="69" t="s">
        <v>27</v>
      </c>
      <c r="P36" s="69" t="s">
        <v>28</v>
      </c>
      <c r="Q36" s="69" t="s">
        <v>29</v>
      </c>
      <c r="R36" s="69" t="s">
        <v>30</v>
      </c>
      <c r="S36" s="69" t="s">
        <v>31</v>
      </c>
      <c r="T36" s="69" t="s">
        <v>32</v>
      </c>
    </row>
    <row r="37" spans="1:20" ht="18" hidden="1" customHeight="1" x14ac:dyDescent="0.35">
      <c r="O37" s="70" t="s">
        <v>33</v>
      </c>
      <c r="P37" s="70" t="s">
        <v>34</v>
      </c>
      <c r="Q37" s="70" t="s">
        <v>35</v>
      </c>
      <c r="R37" s="70" t="s">
        <v>36</v>
      </c>
      <c r="S37" s="70">
        <v>100</v>
      </c>
      <c r="T37" s="70" t="s">
        <v>36</v>
      </c>
    </row>
    <row r="38" spans="1:20" ht="18" hidden="1" customHeight="1" x14ac:dyDescent="0.35">
      <c r="O38" s="70" t="s">
        <v>37</v>
      </c>
      <c r="P38" s="70" t="s">
        <v>38</v>
      </c>
      <c r="Q38" s="70"/>
      <c r="R38" s="70" t="s">
        <v>39</v>
      </c>
      <c r="S38" s="70">
        <v>39</v>
      </c>
      <c r="T38" s="70" t="s">
        <v>40</v>
      </c>
    </row>
    <row r="39" spans="1:20" ht="18" hidden="1" customHeight="1" x14ac:dyDescent="0.35">
      <c r="O39" s="70" t="s">
        <v>41</v>
      </c>
      <c r="P39" s="70" t="s">
        <v>42</v>
      </c>
      <c r="Q39" s="70" t="s">
        <v>43</v>
      </c>
      <c r="R39" s="70" t="s">
        <v>44</v>
      </c>
      <c r="S39" s="70">
        <v>65</v>
      </c>
      <c r="T39" s="70" t="s">
        <v>44</v>
      </c>
    </row>
    <row r="40" spans="1:20" ht="18" hidden="1" customHeight="1" x14ac:dyDescent="0.35">
      <c r="O40" s="70" t="s">
        <v>45</v>
      </c>
      <c r="P40" s="70" t="s">
        <v>46</v>
      </c>
      <c r="Q40" s="70" t="s">
        <v>47</v>
      </c>
      <c r="R40" s="70" t="s">
        <v>44</v>
      </c>
      <c r="S40" s="70">
        <v>80</v>
      </c>
      <c r="T40" s="70" t="s">
        <v>44</v>
      </c>
    </row>
    <row r="41" spans="1:20" ht="18" hidden="1" customHeight="1" x14ac:dyDescent="0.35">
      <c r="O41" s="70" t="s">
        <v>48</v>
      </c>
      <c r="P41" s="70" t="s">
        <v>49</v>
      </c>
      <c r="Q41" s="70" t="s">
        <v>50</v>
      </c>
      <c r="R41" s="70" t="s">
        <v>39</v>
      </c>
      <c r="S41" s="70">
        <v>41</v>
      </c>
      <c r="T41" s="70" t="s">
        <v>40</v>
      </c>
    </row>
    <row r="42" spans="1:20" ht="18" hidden="1" customHeight="1" x14ac:dyDescent="0.35">
      <c r="O42" s="70" t="s">
        <v>51</v>
      </c>
      <c r="P42" s="70" t="s">
        <v>52</v>
      </c>
      <c r="Q42" s="70" t="s">
        <v>53</v>
      </c>
      <c r="R42" s="70" t="s">
        <v>39</v>
      </c>
      <c r="S42" s="70">
        <v>40</v>
      </c>
      <c r="T42" s="70" t="s">
        <v>40</v>
      </c>
    </row>
    <row r="43" spans="1:20" ht="18" hidden="1" customHeight="1" x14ac:dyDescent="0.35">
      <c r="O43" s="70" t="s">
        <v>54</v>
      </c>
      <c r="P43" s="70" t="s">
        <v>55</v>
      </c>
      <c r="Q43" s="70" t="s">
        <v>56</v>
      </c>
      <c r="R43" s="70" t="s">
        <v>44</v>
      </c>
      <c r="S43" s="70">
        <v>80</v>
      </c>
      <c r="T43" s="70" t="s">
        <v>44</v>
      </c>
    </row>
    <row r="44" spans="1:20" ht="18" hidden="1" customHeight="1" x14ac:dyDescent="0.35">
      <c r="O44" s="70" t="s">
        <v>57</v>
      </c>
      <c r="P44" s="70" t="s">
        <v>58</v>
      </c>
      <c r="Q44" s="70" t="s">
        <v>56</v>
      </c>
      <c r="R44" s="70" t="s">
        <v>39</v>
      </c>
      <c r="S44" s="70">
        <v>50</v>
      </c>
      <c r="T44" s="70" t="s">
        <v>40</v>
      </c>
    </row>
    <row r="45" spans="1:20" ht="18" hidden="1" customHeight="1" x14ac:dyDescent="0.35">
      <c r="O45" s="70" t="s">
        <v>59</v>
      </c>
      <c r="P45" s="70" t="s">
        <v>60</v>
      </c>
      <c r="Q45" s="70" t="s">
        <v>61</v>
      </c>
      <c r="R45" s="70" t="s">
        <v>62</v>
      </c>
      <c r="S45" s="70">
        <v>30</v>
      </c>
      <c r="T45" s="70" t="s">
        <v>36</v>
      </c>
    </row>
    <row r="46" spans="1:20" ht="18" hidden="1" customHeight="1" x14ac:dyDescent="0.35">
      <c r="O46" s="70" t="s">
        <v>63</v>
      </c>
      <c r="P46" s="70" t="s">
        <v>64</v>
      </c>
      <c r="Q46" s="70" t="s">
        <v>65</v>
      </c>
      <c r="R46" s="70" t="s">
        <v>44</v>
      </c>
      <c r="S46" s="70">
        <v>61</v>
      </c>
      <c r="T46" s="70" t="s">
        <v>44</v>
      </c>
    </row>
    <row r="47" spans="1:20" ht="18" hidden="1" customHeight="1" x14ac:dyDescent="0.35">
      <c r="O47" s="70" t="s">
        <v>66</v>
      </c>
      <c r="P47" s="70" t="s">
        <v>67</v>
      </c>
      <c r="Q47" s="70" t="s">
        <v>68</v>
      </c>
      <c r="R47" s="70" t="s">
        <v>39</v>
      </c>
      <c r="S47" s="70">
        <v>51</v>
      </c>
      <c r="T47" s="70" t="s">
        <v>40</v>
      </c>
    </row>
    <row r="48" spans="1:20" ht="18" hidden="1" customHeight="1" x14ac:dyDescent="0.35">
      <c r="O48" s="70" t="s">
        <v>69</v>
      </c>
      <c r="P48" s="70" t="s">
        <v>70</v>
      </c>
      <c r="Q48" s="70" t="s">
        <v>71</v>
      </c>
      <c r="R48" s="70" t="s">
        <v>39</v>
      </c>
      <c r="S48" s="70">
        <v>50</v>
      </c>
      <c r="T48" s="70" t="s">
        <v>40</v>
      </c>
    </row>
    <row r="49" spans="15:20" ht="18" hidden="1" customHeight="1" x14ac:dyDescent="0.35">
      <c r="O49" s="70" t="s">
        <v>72</v>
      </c>
      <c r="P49" s="70" t="s">
        <v>73</v>
      </c>
      <c r="Q49" s="70" t="s">
        <v>74</v>
      </c>
      <c r="R49" s="70" t="s">
        <v>39</v>
      </c>
      <c r="S49" s="70">
        <v>45</v>
      </c>
      <c r="T49" s="70" t="s">
        <v>40</v>
      </c>
    </row>
    <row r="50" spans="15:20" ht="18" hidden="1" customHeight="1" x14ac:dyDescent="0.35">
      <c r="O50" s="70" t="s">
        <v>75</v>
      </c>
      <c r="P50" s="70" t="s">
        <v>76</v>
      </c>
      <c r="Q50" s="70" t="s">
        <v>74</v>
      </c>
      <c r="R50" s="70" t="s">
        <v>62</v>
      </c>
      <c r="S50" s="70">
        <v>27</v>
      </c>
      <c r="T50" s="70" t="s">
        <v>40</v>
      </c>
    </row>
    <row r="51" spans="15:20" ht="18" hidden="1" customHeight="1" x14ac:dyDescent="0.35">
      <c r="O51" s="70" t="s">
        <v>77</v>
      </c>
      <c r="P51" s="70" t="s">
        <v>78</v>
      </c>
      <c r="Q51" s="70" t="s">
        <v>79</v>
      </c>
      <c r="R51" s="70" t="s">
        <v>62</v>
      </c>
      <c r="S51" s="70">
        <v>30</v>
      </c>
      <c r="T51" s="70" t="s">
        <v>40</v>
      </c>
    </row>
    <row r="52" spans="15:20" ht="18" hidden="1" customHeight="1" x14ac:dyDescent="0.35">
      <c r="O52" s="70" t="s">
        <v>80</v>
      </c>
      <c r="P52" s="70" t="s">
        <v>81</v>
      </c>
      <c r="Q52" s="70" t="s">
        <v>82</v>
      </c>
      <c r="R52" s="70" t="s">
        <v>39</v>
      </c>
      <c r="S52" s="70">
        <v>53</v>
      </c>
      <c r="T52" s="70" t="s">
        <v>40</v>
      </c>
    </row>
    <row r="53" spans="15:20" ht="18" hidden="1" customHeight="1" x14ac:dyDescent="0.35">
      <c r="O53" s="70" t="s">
        <v>83</v>
      </c>
      <c r="P53" s="70" t="s">
        <v>84</v>
      </c>
      <c r="Q53" s="70" t="s">
        <v>85</v>
      </c>
      <c r="R53" s="70" t="s">
        <v>44</v>
      </c>
      <c r="S53" s="70">
        <v>80</v>
      </c>
      <c r="T53" s="70" t="s">
        <v>44</v>
      </c>
    </row>
    <row r="54" spans="15:20" ht="18" hidden="1" customHeight="1" x14ac:dyDescent="0.35">
      <c r="O54" s="70" t="s">
        <v>86</v>
      </c>
      <c r="P54" s="70" t="s">
        <v>87</v>
      </c>
      <c r="Q54" s="70" t="s">
        <v>88</v>
      </c>
      <c r="R54" s="70" t="s">
        <v>39</v>
      </c>
      <c r="S54" s="70">
        <v>48</v>
      </c>
      <c r="T54" s="70" t="s">
        <v>40</v>
      </c>
    </row>
    <row r="55" spans="15:20" ht="18" hidden="1" customHeight="1" x14ac:dyDescent="0.35">
      <c r="O55" s="70" t="s">
        <v>89</v>
      </c>
      <c r="P55" s="70" t="s">
        <v>90</v>
      </c>
      <c r="Q55" s="70" t="s">
        <v>91</v>
      </c>
      <c r="R55" s="70" t="s">
        <v>44</v>
      </c>
      <c r="S55" s="70">
        <v>72</v>
      </c>
      <c r="T55" s="70" t="s">
        <v>44</v>
      </c>
    </row>
    <row r="56" spans="15:20" ht="18" hidden="1" customHeight="1" x14ac:dyDescent="0.35">
      <c r="O56" s="70" t="s">
        <v>92</v>
      </c>
      <c r="P56" s="70" t="s">
        <v>93</v>
      </c>
      <c r="Q56" s="70" t="s">
        <v>94</v>
      </c>
      <c r="R56" s="70" t="s">
        <v>39</v>
      </c>
      <c r="S56" s="70">
        <v>51</v>
      </c>
      <c r="T56" s="70" t="s">
        <v>40</v>
      </c>
    </row>
    <row r="57" spans="15:20" ht="18" hidden="1" customHeight="1" x14ac:dyDescent="0.35">
      <c r="O57" s="70" t="s">
        <v>95</v>
      </c>
      <c r="P57" s="70" t="s">
        <v>96</v>
      </c>
      <c r="Q57" s="70" t="s">
        <v>97</v>
      </c>
      <c r="R57" s="70" t="s">
        <v>44</v>
      </c>
      <c r="S57" s="70">
        <v>73</v>
      </c>
      <c r="T57" s="70" t="s">
        <v>44</v>
      </c>
    </row>
    <row r="58" spans="15:20" ht="18" hidden="1" customHeight="1" x14ac:dyDescent="0.35">
      <c r="O58" s="70" t="s">
        <v>98</v>
      </c>
      <c r="P58" s="70" t="s">
        <v>99</v>
      </c>
      <c r="Q58" s="70" t="s">
        <v>100</v>
      </c>
      <c r="R58" s="70" t="s">
        <v>62</v>
      </c>
      <c r="S58" s="70">
        <v>30</v>
      </c>
      <c r="T58" s="70" t="s">
        <v>40</v>
      </c>
    </row>
    <row r="59" spans="15:20" ht="18" hidden="1" customHeight="1" x14ac:dyDescent="0.35">
      <c r="O59" s="70" t="s">
        <v>101</v>
      </c>
      <c r="P59" s="70" t="s">
        <v>102</v>
      </c>
      <c r="Q59" s="70" t="s">
        <v>103</v>
      </c>
      <c r="R59" s="70" t="s">
        <v>44</v>
      </c>
      <c r="S59" s="70">
        <v>80</v>
      </c>
      <c r="T59" s="70" t="s">
        <v>44</v>
      </c>
    </row>
    <row r="60" spans="15:20" ht="18" hidden="1" customHeight="1" x14ac:dyDescent="0.35">
      <c r="O60" s="70" t="s">
        <v>104</v>
      </c>
      <c r="P60" s="70" t="s">
        <v>105</v>
      </c>
      <c r="Q60" s="70" t="s">
        <v>106</v>
      </c>
      <c r="R60" s="70" t="s">
        <v>44</v>
      </c>
      <c r="S60" s="70">
        <v>62</v>
      </c>
      <c r="T60" s="70" t="s">
        <v>44</v>
      </c>
    </row>
    <row r="61" spans="15:20" ht="18" hidden="1" customHeight="1" x14ac:dyDescent="0.35">
      <c r="O61" s="70" t="s">
        <v>107</v>
      </c>
      <c r="P61" s="70" t="s">
        <v>108</v>
      </c>
      <c r="Q61" s="70" t="s">
        <v>109</v>
      </c>
      <c r="R61" s="70" t="s">
        <v>39</v>
      </c>
      <c r="S61" s="70">
        <v>48</v>
      </c>
      <c r="T61" s="70" t="s">
        <v>40</v>
      </c>
    </row>
    <row r="62" spans="15:20" ht="18" hidden="1" customHeight="1" x14ac:dyDescent="0.35">
      <c r="O62" s="70" t="s">
        <v>110</v>
      </c>
      <c r="P62" s="70" t="s">
        <v>111</v>
      </c>
      <c r="Q62" s="70" t="s">
        <v>112</v>
      </c>
      <c r="R62" s="70" t="s">
        <v>39</v>
      </c>
      <c r="S62" s="70">
        <v>40</v>
      </c>
      <c r="T62" s="70" t="s">
        <v>40</v>
      </c>
    </row>
    <row r="63" spans="15:20" ht="18" hidden="1" customHeight="1" x14ac:dyDescent="0.35">
      <c r="O63" s="70" t="s">
        <v>113</v>
      </c>
      <c r="P63" s="70" t="s">
        <v>114</v>
      </c>
      <c r="Q63" s="70" t="s">
        <v>115</v>
      </c>
      <c r="R63" s="70" t="s">
        <v>44</v>
      </c>
      <c r="S63" s="70">
        <v>80</v>
      </c>
      <c r="T63" s="70" t="s">
        <v>44</v>
      </c>
    </row>
    <row r="64" spans="15:20" ht="18" hidden="1" customHeight="1" x14ac:dyDescent="0.35">
      <c r="O64" s="70" t="s">
        <v>116</v>
      </c>
      <c r="P64" s="70" t="s">
        <v>117</v>
      </c>
      <c r="Q64" s="70"/>
      <c r="R64" s="70" t="s">
        <v>39</v>
      </c>
      <c r="S64" s="70">
        <v>38</v>
      </c>
      <c r="T64" s="70" t="s">
        <v>40</v>
      </c>
    </row>
    <row r="65" spans="15:20" ht="18" hidden="1" customHeight="1" x14ac:dyDescent="0.35">
      <c r="O65" s="70" t="s">
        <v>118</v>
      </c>
      <c r="P65" s="70" t="s">
        <v>119</v>
      </c>
      <c r="Q65" s="70" t="s">
        <v>120</v>
      </c>
      <c r="R65" s="70" t="s">
        <v>44</v>
      </c>
      <c r="S65" s="70">
        <v>64</v>
      </c>
      <c r="T65" s="70" t="s">
        <v>44</v>
      </c>
    </row>
    <row r="66" spans="15:20" ht="18" hidden="1" customHeight="1" x14ac:dyDescent="0.35">
      <c r="O66" s="70" t="s">
        <v>121</v>
      </c>
      <c r="P66" s="70" t="s">
        <v>122</v>
      </c>
      <c r="Q66" s="70" t="s">
        <v>123</v>
      </c>
      <c r="R66" s="70" t="s">
        <v>39</v>
      </c>
      <c r="S66" s="70">
        <v>39</v>
      </c>
      <c r="T66" s="70" t="s">
        <v>40</v>
      </c>
    </row>
    <row r="67" spans="15:20" ht="18" hidden="1" customHeight="1" x14ac:dyDescent="0.35">
      <c r="O67" s="70" t="s">
        <v>124</v>
      </c>
      <c r="P67" s="70" t="s">
        <v>125</v>
      </c>
      <c r="Q67" s="70" t="s">
        <v>126</v>
      </c>
      <c r="R67" s="70" t="s">
        <v>62</v>
      </c>
      <c r="S67" s="70">
        <v>30</v>
      </c>
      <c r="T67" s="70" t="s">
        <v>36</v>
      </c>
    </row>
    <row r="68" spans="15:20" ht="18" hidden="1" customHeight="1" x14ac:dyDescent="0.35">
      <c r="O68" s="70" t="s">
        <v>127</v>
      </c>
      <c r="P68" s="70" t="s">
        <v>128</v>
      </c>
      <c r="Q68" s="70"/>
      <c r="R68" s="70" t="s">
        <v>39</v>
      </c>
      <c r="S68" s="70">
        <v>37</v>
      </c>
      <c r="T68" s="70" t="s">
        <v>40</v>
      </c>
    </row>
    <row r="69" spans="15:20" ht="18" hidden="1" customHeight="1" x14ac:dyDescent="0.35">
      <c r="O69" s="70" t="s">
        <v>129</v>
      </c>
      <c r="P69" s="70" t="s">
        <v>130</v>
      </c>
      <c r="Q69" s="70" t="s">
        <v>131</v>
      </c>
      <c r="R69" s="70" t="s">
        <v>39</v>
      </c>
      <c r="S69" s="70">
        <v>54</v>
      </c>
      <c r="T69" s="70" t="s">
        <v>44</v>
      </c>
    </row>
    <row r="70" spans="15:20" ht="18" hidden="1" customHeight="1" x14ac:dyDescent="0.35">
      <c r="O70" s="70" t="s">
        <v>132</v>
      </c>
      <c r="P70" s="70" t="s">
        <v>133</v>
      </c>
      <c r="Q70" s="70" t="s">
        <v>134</v>
      </c>
      <c r="R70" s="70" t="s">
        <v>39</v>
      </c>
      <c r="S70" s="70">
        <v>46</v>
      </c>
      <c r="T70" s="70" t="s">
        <v>40</v>
      </c>
    </row>
    <row r="71" spans="15:20" ht="18" hidden="1" customHeight="1" x14ac:dyDescent="0.35">
      <c r="O71" s="70" t="s">
        <v>135</v>
      </c>
      <c r="P71" s="70" t="s">
        <v>136</v>
      </c>
      <c r="Q71" s="70" t="s">
        <v>137</v>
      </c>
      <c r="R71" s="70" t="s">
        <v>39</v>
      </c>
      <c r="S71" s="70">
        <v>38</v>
      </c>
      <c r="T71" s="70" t="s">
        <v>40</v>
      </c>
    </row>
    <row r="72" spans="15:20" ht="18" hidden="1" customHeight="1" x14ac:dyDescent="0.35">
      <c r="O72" s="70" t="s">
        <v>138</v>
      </c>
      <c r="P72" s="70" t="s">
        <v>139</v>
      </c>
      <c r="Q72" s="70" t="s">
        <v>140</v>
      </c>
      <c r="R72" s="70" t="s">
        <v>44</v>
      </c>
      <c r="S72" s="70">
        <v>73</v>
      </c>
      <c r="T72" s="70" t="s">
        <v>44</v>
      </c>
    </row>
    <row r="73" spans="15:20" ht="18" hidden="1" customHeight="1" x14ac:dyDescent="0.35">
      <c r="O73" s="70" t="s">
        <v>141</v>
      </c>
      <c r="P73" s="70" t="s">
        <v>142</v>
      </c>
      <c r="Q73" s="70" t="s">
        <v>143</v>
      </c>
      <c r="R73" s="70" t="s">
        <v>44</v>
      </c>
      <c r="S73" s="70">
        <v>66</v>
      </c>
      <c r="T73" s="70" t="s">
        <v>44</v>
      </c>
    </row>
    <row r="74" spans="15:20" ht="18" hidden="1" customHeight="1" x14ac:dyDescent="0.35">
      <c r="O74" s="70" t="s">
        <v>144</v>
      </c>
      <c r="P74" s="70" t="s">
        <v>145</v>
      </c>
      <c r="Q74" s="70" t="s">
        <v>146</v>
      </c>
      <c r="R74" s="70" t="s">
        <v>44</v>
      </c>
      <c r="S74" s="70">
        <v>80</v>
      </c>
      <c r="T74" s="70" t="s">
        <v>44</v>
      </c>
    </row>
    <row r="75" spans="15:20" ht="18" hidden="1" customHeight="1" x14ac:dyDescent="0.35">
      <c r="O75" s="70" t="s">
        <v>147</v>
      </c>
      <c r="P75" s="70" t="s">
        <v>148</v>
      </c>
      <c r="Q75" s="70" t="s">
        <v>149</v>
      </c>
      <c r="R75" s="70" t="s">
        <v>44</v>
      </c>
      <c r="S75" s="70">
        <v>62</v>
      </c>
      <c r="T75" s="70" t="s">
        <v>44</v>
      </c>
    </row>
    <row r="76" spans="15:20" ht="18" hidden="1" customHeight="1" x14ac:dyDescent="0.35">
      <c r="O76" s="70" t="s">
        <v>150</v>
      </c>
      <c r="P76" s="70" t="s">
        <v>151</v>
      </c>
      <c r="Q76" s="70" t="s">
        <v>152</v>
      </c>
      <c r="R76" s="70" t="s">
        <v>62</v>
      </c>
      <c r="S76" s="70">
        <v>27</v>
      </c>
      <c r="T76" s="70" t="s">
        <v>40</v>
      </c>
    </row>
    <row r="77" spans="15:20" ht="18" hidden="1" customHeight="1" x14ac:dyDescent="0.35">
      <c r="O77" s="70" t="s">
        <v>153</v>
      </c>
      <c r="P77" s="70" t="s">
        <v>154</v>
      </c>
      <c r="Q77" s="70" t="s">
        <v>155</v>
      </c>
      <c r="R77" s="70" t="s">
        <v>39</v>
      </c>
      <c r="S77" s="70">
        <v>42</v>
      </c>
      <c r="T77" s="70" t="s">
        <v>40</v>
      </c>
    </row>
    <row r="78" spans="15:20" ht="18" hidden="1" customHeight="1" x14ac:dyDescent="0.35">
      <c r="O78" s="70" t="s">
        <v>156</v>
      </c>
      <c r="P78" s="70" t="s">
        <v>157</v>
      </c>
      <c r="Q78" s="70" t="s">
        <v>158</v>
      </c>
      <c r="R78" s="70" t="s">
        <v>44</v>
      </c>
      <c r="S78" s="70">
        <v>62</v>
      </c>
      <c r="T78" s="70" t="s">
        <v>44</v>
      </c>
    </row>
    <row r="79" spans="15:20" ht="18" hidden="1" customHeight="1" x14ac:dyDescent="0.35">
      <c r="O79" s="70" t="s">
        <v>159</v>
      </c>
      <c r="P79" s="70" t="s">
        <v>160</v>
      </c>
      <c r="Q79" s="70" t="s">
        <v>161</v>
      </c>
      <c r="R79" s="70" t="s">
        <v>44</v>
      </c>
      <c r="S79" s="70">
        <v>71</v>
      </c>
      <c r="T79" s="70" t="s">
        <v>44</v>
      </c>
    </row>
    <row r="80" spans="15:20" ht="18" hidden="1" customHeight="1" x14ac:dyDescent="0.35">
      <c r="O80" s="70" t="s">
        <v>162</v>
      </c>
      <c r="P80" s="70" t="s">
        <v>163</v>
      </c>
      <c r="Q80" s="70" t="s">
        <v>164</v>
      </c>
      <c r="R80" s="70" t="s">
        <v>44</v>
      </c>
      <c r="S80" s="70">
        <v>67</v>
      </c>
      <c r="T80" s="70" t="s">
        <v>44</v>
      </c>
    </row>
    <row r="81" spans="15:20" ht="18" hidden="1" customHeight="1" x14ac:dyDescent="0.35">
      <c r="O81" s="70" t="s">
        <v>165</v>
      </c>
      <c r="P81" s="70" t="s">
        <v>166</v>
      </c>
      <c r="Q81" s="70" t="s">
        <v>167</v>
      </c>
      <c r="R81" s="70" t="s">
        <v>39</v>
      </c>
      <c r="S81" s="70">
        <v>45</v>
      </c>
      <c r="T81" s="70" t="s">
        <v>40</v>
      </c>
    </row>
    <row r="82" spans="15:20" ht="18" hidden="1" customHeight="1" x14ac:dyDescent="0.35">
      <c r="O82" s="70" t="s">
        <v>168</v>
      </c>
      <c r="P82" s="70" t="s">
        <v>169</v>
      </c>
      <c r="Q82" s="70" t="s">
        <v>170</v>
      </c>
      <c r="R82" s="70" t="s">
        <v>39</v>
      </c>
      <c r="S82" s="70">
        <v>48</v>
      </c>
      <c r="T82" s="70" t="s">
        <v>44</v>
      </c>
    </row>
    <row r="83" spans="15:20" ht="18" hidden="1" customHeight="1" x14ac:dyDescent="0.35">
      <c r="O83" s="70" t="s">
        <v>171</v>
      </c>
      <c r="P83" s="70" t="s">
        <v>172</v>
      </c>
      <c r="Q83" s="70" t="s">
        <v>173</v>
      </c>
      <c r="R83" s="70" t="s">
        <v>39</v>
      </c>
      <c r="S83" s="70">
        <v>39</v>
      </c>
      <c r="T83" s="70" t="s">
        <v>40</v>
      </c>
    </row>
    <row r="84" spans="15:20" ht="18" hidden="1" customHeight="1" x14ac:dyDescent="0.35">
      <c r="O84" s="70" t="s">
        <v>174</v>
      </c>
      <c r="P84" s="70" t="s">
        <v>175</v>
      </c>
      <c r="Q84" s="70" t="s">
        <v>176</v>
      </c>
      <c r="R84" s="70" t="s">
        <v>39</v>
      </c>
      <c r="S84" s="70">
        <v>37</v>
      </c>
      <c r="T84" s="70" t="s">
        <v>40</v>
      </c>
    </row>
    <row r="85" spans="15:20" ht="18" hidden="1" customHeight="1" x14ac:dyDescent="0.35">
      <c r="O85" s="70" t="s">
        <v>177</v>
      </c>
      <c r="P85" s="70" t="s">
        <v>178</v>
      </c>
      <c r="Q85" s="70" t="s">
        <v>179</v>
      </c>
      <c r="R85" s="70" t="s">
        <v>44</v>
      </c>
      <c r="S85" s="70">
        <v>68</v>
      </c>
      <c r="T85" s="70" t="s">
        <v>44</v>
      </c>
    </row>
    <row r="86" spans="15:20" ht="18" hidden="1" customHeight="1" x14ac:dyDescent="0.35">
      <c r="O86" s="70" t="s">
        <v>180</v>
      </c>
      <c r="P86" s="70" t="s">
        <v>181</v>
      </c>
      <c r="Q86" s="70" t="s">
        <v>182</v>
      </c>
      <c r="R86" s="70" t="s">
        <v>39</v>
      </c>
      <c r="S86" s="70">
        <v>52</v>
      </c>
      <c r="T86" s="70" t="s">
        <v>40</v>
      </c>
    </row>
    <row r="87" spans="15:20" ht="18" hidden="1" customHeight="1" x14ac:dyDescent="0.35">
      <c r="O87" s="70" t="s">
        <v>183</v>
      </c>
      <c r="P87" s="70" t="s">
        <v>184</v>
      </c>
      <c r="Q87" s="70" t="s">
        <v>185</v>
      </c>
      <c r="R87" s="70" t="s">
        <v>44</v>
      </c>
      <c r="S87" s="70">
        <v>76</v>
      </c>
      <c r="T87" s="70" t="s">
        <v>44</v>
      </c>
    </row>
    <row r="88" spans="15:20" ht="18" hidden="1" customHeight="1" x14ac:dyDescent="0.35">
      <c r="O88" s="70" t="s">
        <v>186</v>
      </c>
      <c r="P88" s="70" t="s">
        <v>187</v>
      </c>
      <c r="Q88" s="70" t="s">
        <v>188</v>
      </c>
      <c r="R88" s="70" t="s">
        <v>44</v>
      </c>
      <c r="S88" s="70">
        <v>76</v>
      </c>
      <c r="T88" s="70" t="s">
        <v>44</v>
      </c>
    </row>
    <row r="89" spans="15:20" ht="18" hidden="1" customHeight="1" x14ac:dyDescent="0.35">
      <c r="O89" s="70" t="s">
        <v>189</v>
      </c>
      <c r="P89" s="70" t="s">
        <v>190</v>
      </c>
      <c r="Q89" s="70" t="s">
        <v>191</v>
      </c>
      <c r="R89" s="70" t="s">
        <v>44</v>
      </c>
      <c r="S89" s="70">
        <v>80</v>
      </c>
      <c r="T89" s="70" t="s">
        <v>44</v>
      </c>
    </row>
    <row r="90" spans="15:20" ht="18" hidden="1" customHeight="1" x14ac:dyDescent="0.35">
      <c r="O90" s="70" t="s">
        <v>192</v>
      </c>
      <c r="P90" s="70" t="s">
        <v>193</v>
      </c>
      <c r="Q90" s="70" t="s">
        <v>194</v>
      </c>
      <c r="R90" s="70" t="s">
        <v>39</v>
      </c>
      <c r="S90" s="70">
        <v>48</v>
      </c>
      <c r="T90" s="70" t="s">
        <v>40</v>
      </c>
    </row>
    <row r="91" spans="15:20" ht="18" hidden="1" customHeight="1" x14ac:dyDescent="0.35">
      <c r="O91" s="70" t="s">
        <v>195</v>
      </c>
      <c r="P91" s="70" t="s">
        <v>196</v>
      </c>
      <c r="Q91" s="70" t="s">
        <v>197</v>
      </c>
      <c r="R91" s="70" t="s">
        <v>39</v>
      </c>
      <c r="S91" s="70">
        <v>52</v>
      </c>
      <c r="T91" s="70" t="s">
        <v>40</v>
      </c>
    </row>
    <row r="92" spans="15:20" ht="18" hidden="1" customHeight="1" x14ac:dyDescent="0.35">
      <c r="O92" s="70" t="s">
        <v>198</v>
      </c>
      <c r="P92" s="70" t="s">
        <v>199</v>
      </c>
      <c r="Q92" s="70" t="s">
        <v>200</v>
      </c>
      <c r="R92" s="70" t="s">
        <v>39</v>
      </c>
      <c r="S92" s="70">
        <v>40</v>
      </c>
      <c r="T92" s="70" t="s">
        <v>40</v>
      </c>
    </row>
    <row r="93" spans="15:20" ht="18" hidden="1" customHeight="1" x14ac:dyDescent="0.35">
      <c r="O93" s="70" t="s">
        <v>201</v>
      </c>
      <c r="P93" s="70" t="s">
        <v>202</v>
      </c>
      <c r="Q93" s="70" t="s">
        <v>203</v>
      </c>
      <c r="R93" s="70" t="s">
        <v>36</v>
      </c>
      <c r="S93" s="70">
        <v>100</v>
      </c>
      <c r="T93" s="70" t="s">
        <v>36</v>
      </c>
    </row>
    <row r="94" spans="15:20" ht="18" hidden="1" customHeight="1" x14ac:dyDescent="0.35">
      <c r="O94" s="70" t="s">
        <v>204</v>
      </c>
      <c r="P94" s="70" t="s">
        <v>205</v>
      </c>
      <c r="Q94" s="70" t="s">
        <v>206</v>
      </c>
      <c r="R94" s="70" t="s">
        <v>39</v>
      </c>
      <c r="S94" s="70">
        <v>49</v>
      </c>
      <c r="T94" s="70" t="s">
        <v>40</v>
      </c>
    </row>
    <row r="95" spans="15:20" ht="18" hidden="1" customHeight="1" x14ac:dyDescent="0.35">
      <c r="O95" s="70" t="s">
        <v>207</v>
      </c>
      <c r="P95" s="70" t="s">
        <v>208</v>
      </c>
      <c r="Q95" s="70" t="s">
        <v>209</v>
      </c>
      <c r="R95" s="70" t="s">
        <v>44</v>
      </c>
      <c r="S95" s="70">
        <v>62</v>
      </c>
      <c r="T95" s="70" t="s">
        <v>44</v>
      </c>
    </row>
    <row r="96" spans="15:20" ht="18" hidden="1" customHeight="1" x14ac:dyDescent="0.35">
      <c r="O96" s="70" t="s">
        <v>210</v>
      </c>
      <c r="P96" s="70" t="s">
        <v>211</v>
      </c>
      <c r="Q96" s="70" t="s">
        <v>212</v>
      </c>
      <c r="R96" s="70" t="s">
        <v>39</v>
      </c>
      <c r="S96" s="70">
        <v>41</v>
      </c>
      <c r="T96" s="70" t="s">
        <v>40</v>
      </c>
    </row>
    <row r="97" spans="15:20" ht="18" hidden="1" customHeight="1" x14ac:dyDescent="0.35">
      <c r="O97" s="70" t="s">
        <v>213</v>
      </c>
      <c r="P97" s="70" t="s">
        <v>214</v>
      </c>
      <c r="Q97" s="70" t="s">
        <v>215</v>
      </c>
      <c r="R97" s="70" t="s">
        <v>62</v>
      </c>
      <c r="S97" s="70">
        <v>21</v>
      </c>
      <c r="T97" s="70" t="s">
        <v>40</v>
      </c>
    </row>
    <row r="98" spans="15:20" ht="18" hidden="1" customHeight="1" x14ac:dyDescent="0.35">
      <c r="O98" s="70" t="s">
        <v>216</v>
      </c>
      <c r="P98" s="70" t="s">
        <v>217</v>
      </c>
      <c r="Q98" s="70" t="s">
        <v>218</v>
      </c>
      <c r="R98" s="70" t="s">
        <v>39</v>
      </c>
      <c r="S98" s="70">
        <v>54</v>
      </c>
      <c r="T98" s="70" t="s">
        <v>40</v>
      </c>
    </row>
    <row r="99" spans="15:20" ht="18" hidden="1" customHeight="1" x14ac:dyDescent="0.35">
      <c r="O99" s="70" t="s">
        <v>219</v>
      </c>
      <c r="P99" s="70" t="s">
        <v>220</v>
      </c>
      <c r="Q99" s="70" t="s">
        <v>221</v>
      </c>
      <c r="R99" s="70" t="s">
        <v>39</v>
      </c>
      <c r="S99" s="70">
        <v>60</v>
      </c>
      <c r="T99" s="70" t="s">
        <v>44</v>
      </c>
    </row>
    <row r="100" spans="15:20" ht="18" hidden="1" customHeight="1" x14ac:dyDescent="0.35">
      <c r="O100" s="70" t="s">
        <v>222</v>
      </c>
      <c r="P100" s="70" t="s">
        <v>223</v>
      </c>
      <c r="Q100" s="70" t="s">
        <v>224</v>
      </c>
      <c r="R100" s="70" t="s">
        <v>44</v>
      </c>
      <c r="S100" s="70">
        <v>80</v>
      </c>
      <c r="T100" s="70" t="s">
        <v>44</v>
      </c>
    </row>
    <row r="101" spans="15:20" ht="18" hidden="1" customHeight="1" x14ac:dyDescent="0.35">
      <c r="O101" s="70" t="s">
        <v>225</v>
      </c>
      <c r="P101" s="70" t="s">
        <v>226</v>
      </c>
      <c r="Q101" s="70" t="s">
        <v>227</v>
      </c>
      <c r="R101" s="70" t="s">
        <v>44</v>
      </c>
      <c r="S101" s="70">
        <v>62</v>
      </c>
      <c r="T101" s="70" t="s">
        <v>44</v>
      </c>
    </row>
    <row r="102" spans="15:20" ht="18" hidden="1" customHeight="1" x14ac:dyDescent="0.35">
      <c r="O102" s="70" t="s">
        <v>228</v>
      </c>
      <c r="P102" s="70" t="s">
        <v>229</v>
      </c>
      <c r="Q102" s="70" t="s">
        <v>230</v>
      </c>
      <c r="R102" s="70" t="s">
        <v>44</v>
      </c>
      <c r="S102" s="70">
        <v>64</v>
      </c>
      <c r="T102" s="70" t="s">
        <v>44</v>
      </c>
    </row>
    <row r="103" spans="15:20" ht="18" hidden="1" customHeight="1" x14ac:dyDescent="0.35">
      <c r="O103" s="70" t="s">
        <v>231</v>
      </c>
      <c r="P103" s="70" t="s">
        <v>232</v>
      </c>
      <c r="Q103" s="70" t="s">
        <v>233</v>
      </c>
      <c r="R103" s="70" t="s">
        <v>44</v>
      </c>
      <c r="S103" s="70">
        <v>61</v>
      </c>
      <c r="T103" s="70" t="s">
        <v>44</v>
      </c>
    </row>
    <row r="104" spans="15:20" ht="18" hidden="1" customHeight="1" x14ac:dyDescent="0.35">
      <c r="O104" s="70" t="s">
        <v>234</v>
      </c>
      <c r="P104" s="70" t="s">
        <v>235</v>
      </c>
      <c r="Q104" s="70" t="s">
        <v>236</v>
      </c>
      <c r="R104" s="70" t="s">
        <v>44</v>
      </c>
      <c r="S104" s="70">
        <v>72</v>
      </c>
      <c r="T104" s="70" t="s">
        <v>44</v>
      </c>
    </row>
    <row r="105" spans="15:20" ht="18" hidden="1" customHeight="1" x14ac:dyDescent="0.35">
      <c r="O105" s="70" t="s">
        <v>237</v>
      </c>
      <c r="P105" s="70" t="s">
        <v>238</v>
      </c>
      <c r="Q105" s="70" t="s">
        <v>239</v>
      </c>
      <c r="R105" s="70" t="s">
        <v>36</v>
      </c>
      <c r="S105" s="70">
        <v>100</v>
      </c>
      <c r="T105" s="70" t="s">
        <v>36</v>
      </c>
    </row>
    <row r="106" spans="15:20" ht="18" hidden="1" customHeight="1" x14ac:dyDescent="0.35">
      <c r="O106" s="70" t="s">
        <v>240</v>
      </c>
      <c r="P106" s="70" t="s">
        <v>241</v>
      </c>
      <c r="Q106" s="70" t="s">
        <v>242</v>
      </c>
      <c r="R106" s="70" t="s">
        <v>39</v>
      </c>
      <c r="S106" s="70">
        <v>39</v>
      </c>
      <c r="T106" s="70" t="s">
        <v>40</v>
      </c>
    </row>
    <row r="107" spans="15:20" ht="18" hidden="1" customHeight="1" x14ac:dyDescent="0.35">
      <c r="O107" s="70" t="s">
        <v>243</v>
      </c>
      <c r="P107" s="70" t="s">
        <v>244</v>
      </c>
      <c r="Q107" s="70" t="s">
        <v>245</v>
      </c>
      <c r="R107" s="70" t="s">
        <v>44</v>
      </c>
      <c r="S107" s="70">
        <v>74</v>
      </c>
      <c r="T107" s="70" t="s">
        <v>44</v>
      </c>
    </row>
    <row r="108" spans="15:20" ht="18" hidden="1" customHeight="1" x14ac:dyDescent="0.35">
      <c r="O108" s="70" t="s">
        <v>246</v>
      </c>
      <c r="P108" s="70" t="s">
        <v>247</v>
      </c>
      <c r="Q108" s="70" t="s">
        <v>248</v>
      </c>
      <c r="R108" s="70" t="s">
        <v>62</v>
      </c>
      <c r="S108" s="70">
        <v>28</v>
      </c>
      <c r="T108" s="70" t="s">
        <v>40</v>
      </c>
    </row>
    <row r="109" spans="15:20" ht="18" hidden="1" customHeight="1" x14ac:dyDescent="0.35">
      <c r="O109" s="70" t="s">
        <v>249</v>
      </c>
      <c r="P109" s="70" t="s">
        <v>250</v>
      </c>
      <c r="Q109" s="70" t="s">
        <v>251</v>
      </c>
      <c r="R109" s="70" t="s">
        <v>62</v>
      </c>
      <c r="S109" s="70">
        <v>30</v>
      </c>
      <c r="T109" s="70" t="s">
        <v>40</v>
      </c>
    </row>
    <row r="110" spans="15:20" ht="18" hidden="1" customHeight="1" x14ac:dyDescent="0.35">
      <c r="O110" s="70" t="s">
        <v>252</v>
      </c>
      <c r="P110" s="70" t="s">
        <v>253</v>
      </c>
      <c r="Q110" s="70" t="s">
        <v>254</v>
      </c>
      <c r="R110" s="70" t="s">
        <v>39</v>
      </c>
      <c r="S110" s="70">
        <v>51</v>
      </c>
      <c r="T110" s="70" t="s">
        <v>40</v>
      </c>
    </row>
    <row r="111" spans="15:20" ht="18" hidden="1" customHeight="1" x14ac:dyDescent="0.35">
      <c r="O111" s="70" t="s">
        <v>255</v>
      </c>
      <c r="P111" s="70" t="s">
        <v>256</v>
      </c>
      <c r="Q111" s="70" t="s">
        <v>257</v>
      </c>
      <c r="R111" s="70" t="s">
        <v>62</v>
      </c>
      <c r="S111" s="70">
        <v>21</v>
      </c>
      <c r="T111" s="70" t="s">
        <v>40</v>
      </c>
    </row>
    <row r="112" spans="15:20" ht="18" hidden="1" customHeight="1" x14ac:dyDescent="0.35">
      <c r="O112" s="70" t="s">
        <v>258</v>
      </c>
      <c r="P112" s="70" t="s">
        <v>259</v>
      </c>
      <c r="Q112" s="70" t="s">
        <v>260</v>
      </c>
      <c r="R112" s="70" t="s">
        <v>39</v>
      </c>
      <c r="S112" s="70">
        <v>47</v>
      </c>
      <c r="T112" s="70" t="s">
        <v>40</v>
      </c>
    </row>
    <row r="113" spans="15:20" ht="18" hidden="1" customHeight="1" x14ac:dyDescent="0.35">
      <c r="O113" s="70" t="s">
        <v>261</v>
      </c>
      <c r="P113" s="70" t="s">
        <v>262</v>
      </c>
      <c r="Q113" s="70" t="s">
        <v>263</v>
      </c>
      <c r="R113" s="70" t="s">
        <v>39</v>
      </c>
      <c r="S113" s="70">
        <v>49</v>
      </c>
      <c r="T113" s="70" t="s">
        <v>40</v>
      </c>
    </row>
    <row r="114" spans="15:20" ht="18" hidden="1" customHeight="1" x14ac:dyDescent="0.35">
      <c r="O114" s="70" t="s">
        <v>264</v>
      </c>
      <c r="P114" s="70" t="s">
        <v>265</v>
      </c>
      <c r="Q114" s="70" t="s">
        <v>266</v>
      </c>
      <c r="R114" s="70" t="s">
        <v>62</v>
      </c>
      <c r="S114" s="70">
        <v>30</v>
      </c>
      <c r="T114" s="70" t="s">
        <v>40</v>
      </c>
    </row>
    <row r="115" spans="15:20" ht="18" hidden="1" customHeight="1" x14ac:dyDescent="0.35">
      <c r="O115" s="70" t="s">
        <v>267</v>
      </c>
      <c r="P115" s="70" t="s">
        <v>268</v>
      </c>
      <c r="Q115" s="70" t="s">
        <v>269</v>
      </c>
      <c r="R115" s="70" t="s">
        <v>39</v>
      </c>
      <c r="S115" s="70">
        <v>42</v>
      </c>
      <c r="T115" s="70" t="s">
        <v>40</v>
      </c>
    </row>
    <row r="116" spans="15:20" ht="18" hidden="1" customHeight="1" x14ac:dyDescent="0.35">
      <c r="O116" s="70" t="s">
        <v>270</v>
      </c>
      <c r="P116" s="70" t="s">
        <v>271</v>
      </c>
      <c r="Q116" s="70" t="s">
        <v>272</v>
      </c>
      <c r="R116" s="70" t="s">
        <v>44</v>
      </c>
      <c r="S116" s="70">
        <v>80</v>
      </c>
      <c r="T116" s="70" t="s">
        <v>44</v>
      </c>
    </row>
    <row r="117" spans="15:20" ht="18" hidden="1" customHeight="1" x14ac:dyDescent="0.35">
      <c r="O117" s="70" t="s">
        <v>273</v>
      </c>
      <c r="P117" s="70" t="s">
        <v>274</v>
      </c>
      <c r="Q117" s="70" t="s">
        <v>275</v>
      </c>
      <c r="R117" s="70" t="s">
        <v>44</v>
      </c>
      <c r="S117" s="70">
        <v>80</v>
      </c>
      <c r="T117" s="70" t="s">
        <v>44</v>
      </c>
    </row>
    <row r="118" spans="15:20" ht="18" hidden="1" customHeight="1" x14ac:dyDescent="0.35">
      <c r="O118" s="70" t="s">
        <v>276</v>
      </c>
      <c r="P118" s="70" t="s">
        <v>277</v>
      </c>
      <c r="Q118" s="70" t="s">
        <v>278</v>
      </c>
      <c r="R118" s="70" t="s">
        <v>44</v>
      </c>
      <c r="S118" s="70">
        <v>80</v>
      </c>
      <c r="T118" s="70" t="s">
        <v>44</v>
      </c>
    </row>
    <row r="119" spans="15:20" ht="18" hidden="1" customHeight="1" x14ac:dyDescent="0.35">
      <c r="O119" s="70" t="s">
        <v>279</v>
      </c>
      <c r="P119" s="70" t="s">
        <v>280</v>
      </c>
      <c r="Q119" s="70" t="s">
        <v>281</v>
      </c>
      <c r="R119" s="70" t="s">
        <v>62</v>
      </c>
      <c r="S119" s="70">
        <v>29</v>
      </c>
      <c r="T119" s="70" t="s">
        <v>40</v>
      </c>
    </row>
    <row r="120" spans="15:20" ht="18" hidden="1" customHeight="1" x14ac:dyDescent="0.35">
      <c r="O120" s="70" t="s">
        <v>282</v>
      </c>
      <c r="P120" s="70" t="s">
        <v>283</v>
      </c>
      <c r="Q120" s="70" t="s">
        <v>284</v>
      </c>
      <c r="R120" s="70" t="s">
        <v>44</v>
      </c>
      <c r="S120" s="70">
        <v>80</v>
      </c>
      <c r="T120" s="70" t="s">
        <v>44</v>
      </c>
    </row>
    <row r="121" spans="15:20" ht="18" hidden="1" customHeight="1" x14ac:dyDescent="0.35">
      <c r="O121" s="70" t="s">
        <v>285</v>
      </c>
      <c r="P121" s="70" t="s">
        <v>286</v>
      </c>
      <c r="Q121" s="70" t="s">
        <v>287</v>
      </c>
      <c r="R121" s="70" t="s">
        <v>39</v>
      </c>
      <c r="S121" s="70">
        <v>39</v>
      </c>
      <c r="T121" s="70" t="s">
        <v>40</v>
      </c>
    </row>
    <row r="122" spans="15:20" ht="18" hidden="1" customHeight="1" x14ac:dyDescent="0.35">
      <c r="O122" s="70" t="s">
        <v>288</v>
      </c>
      <c r="P122" s="70" t="s">
        <v>289</v>
      </c>
      <c r="Q122" s="70" t="s">
        <v>290</v>
      </c>
      <c r="R122" s="70" t="s">
        <v>39</v>
      </c>
      <c r="S122" s="70">
        <v>43</v>
      </c>
      <c r="T122" s="70" t="s">
        <v>40</v>
      </c>
    </row>
    <row r="123" spans="15:20" ht="18" hidden="1" customHeight="1" x14ac:dyDescent="0.35">
      <c r="O123" s="70" t="s">
        <v>291</v>
      </c>
      <c r="P123" s="70" t="s">
        <v>292</v>
      </c>
      <c r="Q123" s="70" t="s">
        <v>293</v>
      </c>
      <c r="R123" s="70" t="s">
        <v>39</v>
      </c>
      <c r="S123" s="70">
        <v>38</v>
      </c>
      <c r="T123" s="70" t="s">
        <v>40</v>
      </c>
    </row>
    <row r="124" spans="15:20" ht="18" hidden="1" customHeight="1" x14ac:dyDescent="0.35">
      <c r="O124" s="70" t="s">
        <v>294</v>
      </c>
      <c r="P124" s="70" t="s">
        <v>295</v>
      </c>
      <c r="Q124" s="70" t="s">
        <v>296</v>
      </c>
      <c r="R124" s="70" t="s">
        <v>39</v>
      </c>
      <c r="S124" s="70">
        <v>50</v>
      </c>
      <c r="T124" s="70" t="s">
        <v>40</v>
      </c>
    </row>
    <row r="125" spans="15:20" ht="18" hidden="1" customHeight="1" x14ac:dyDescent="0.35">
      <c r="O125" s="70" t="s">
        <v>297</v>
      </c>
      <c r="P125" s="70" t="s">
        <v>298</v>
      </c>
      <c r="Q125" s="70" t="s">
        <v>299</v>
      </c>
      <c r="R125" s="70" t="s">
        <v>39</v>
      </c>
      <c r="S125" s="70">
        <v>60</v>
      </c>
      <c r="T125" s="70" t="s">
        <v>40</v>
      </c>
    </row>
    <row r="126" spans="15:20" ht="18" hidden="1" customHeight="1" x14ac:dyDescent="0.35">
      <c r="O126" s="70" t="s">
        <v>300</v>
      </c>
      <c r="P126" s="70" t="s">
        <v>301</v>
      </c>
      <c r="Q126" s="70" t="s">
        <v>302</v>
      </c>
      <c r="R126" s="70" t="s">
        <v>39</v>
      </c>
      <c r="S126" s="70">
        <v>36</v>
      </c>
      <c r="T126" s="70" t="s">
        <v>40</v>
      </c>
    </row>
    <row r="127" spans="15:20" ht="18" hidden="1" customHeight="1" x14ac:dyDescent="0.35">
      <c r="O127" s="70" t="s">
        <v>303</v>
      </c>
      <c r="P127" s="70" t="s">
        <v>304</v>
      </c>
      <c r="Q127" s="70" t="s">
        <v>305</v>
      </c>
      <c r="R127" s="70" t="s">
        <v>44</v>
      </c>
      <c r="S127" s="70">
        <v>80</v>
      </c>
      <c r="T127" s="70" t="s">
        <v>44</v>
      </c>
    </row>
    <row r="128" spans="15:20" ht="18" hidden="1" customHeight="1" x14ac:dyDescent="0.35">
      <c r="O128" s="70" t="s">
        <v>306</v>
      </c>
      <c r="P128" s="70" t="s">
        <v>307</v>
      </c>
      <c r="Q128" s="70"/>
      <c r="R128" s="70" t="s">
        <v>39</v>
      </c>
      <c r="S128" s="70">
        <v>41</v>
      </c>
      <c r="T128" s="70" t="s">
        <v>40</v>
      </c>
    </row>
    <row r="129" spans="15:20" ht="18" hidden="1" customHeight="1" x14ac:dyDescent="0.35">
      <c r="O129" s="70" t="s">
        <v>308</v>
      </c>
      <c r="P129" s="70" t="s">
        <v>309</v>
      </c>
      <c r="Q129" s="70" t="s">
        <v>310</v>
      </c>
      <c r="R129" s="70" t="s">
        <v>44</v>
      </c>
      <c r="S129" s="70">
        <v>61</v>
      </c>
      <c r="T129" s="70" t="s">
        <v>44</v>
      </c>
    </row>
    <row r="130" spans="15:20" ht="18" hidden="1" customHeight="1" x14ac:dyDescent="0.35">
      <c r="O130" s="70" t="s">
        <v>311</v>
      </c>
      <c r="P130" s="70" t="s">
        <v>312</v>
      </c>
      <c r="Q130" s="70" t="s">
        <v>313</v>
      </c>
      <c r="R130" s="70" t="s">
        <v>36</v>
      </c>
      <c r="S130" s="70">
        <v>100</v>
      </c>
      <c r="T130" s="70" t="s">
        <v>36</v>
      </c>
    </row>
    <row r="131" spans="15:20" ht="18" hidden="1" customHeight="1" x14ac:dyDescent="0.35">
      <c r="O131" s="70" t="s">
        <v>314</v>
      </c>
      <c r="P131" s="70" t="s">
        <v>315</v>
      </c>
      <c r="Q131" s="70" t="s">
        <v>316</v>
      </c>
      <c r="R131" s="70" t="s">
        <v>39</v>
      </c>
      <c r="S131" s="70">
        <v>54</v>
      </c>
      <c r="T131" s="70" t="s">
        <v>40</v>
      </c>
    </row>
    <row r="132" spans="15:20" ht="18" hidden="1" customHeight="1" x14ac:dyDescent="0.35">
      <c r="O132" s="70" t="s">
        <v>317</v>
      </c>
      <c r="P132" s="70" t="s">
        <v>318</v>
      </c>
      <c r="Q132" s="70" t="s">
        <v>319</v>
      </c>
      <c r="R132" s="70" t="s">
        <v>44</v>
      </c>
      <c r="S132" s="70">
        <v>80</v>
      </c>
      <c r="T132" s="70" t="s">
        <v>44</v>
      </c>
    </row>
    <row r="133" spans="15:20" ht="18" hidden="1" customHeight="1" x14ac:dyDescent="0.35">
      <c r="O133" s="70" t="s">
        <v>320</v>
      </c>
      <c r="P133" s="70" t="s">
        <v>321</v>
      </c>
      <c r="Q133" s="70" t="s">
        <v>322</v>
      </c>
      <c r="R133" s="70" t="s">
        <v>62</v>
      </c>
      <c r="S133" s="70">
        <v>30</v>
      </c>
      <c r="T133" s="70" t="s">
        <v>36</v>
      </c>
    </row>
    <row r="134" spans="15:20" ht="18" hidden="1" customHeight="1" x14ac:dyDescent="0.35">
      <c r="O134" s="70" t="s">
        <v>323</v>
      </c>
      <c r="P134" s="70" t="s">
        <v>324</v>
      </c>
      <c r="Q134" s="70" t="s">
        <v>325</v>
      </c>
      <c r="R134" s="70" t="s">
        <v>44</v>
      </c>
      <c r="S134" s="70">
        <v>64</v>
      </c>
      <c r="T134" s="70" t="s">
        <v>44</v>
      </c>
    </row>
    <row r="135" spans="15:20" ht="18" hidden="1" customHeight="1" x14ac:dyDescent="0.35">
      <c r="O135" s="70" t="s">
        <v>326</v>
      </c>
      <c r="P135" s="70" t="s">
        <v>327</v>
      </c>
      <c r="Q135" s="70" t="s">
        <v>328</v>
      </c>
      <c r="R135" s="70" t="s">
        <v>39</v>
      </c>
      <c r="S135" s="70">
        <v>39</v>
      </c>
      <c r="T135" s="70" t="s">
        <v>44</v>
      </c>
    </row>
    <row r="136" spans="15:20" ht="18" hidden="1" customHeight="1" x14ac:dyDescent="0.35">
      <c r="O136" s="70" t="s">
        <v>329</v>
      </c>
      <c r="P136" s="70" t="s">
        <v>330</v>
      </c>
      <c r="Q136" s="70" t="s">
        <v>331</v>
      </c>
      <c r="R136" s="70" t="s">
        <v>39</v>
      </c>
      <c r="S136" s="70">
        <v>38</v>
      </c>
      <c r="T136" s="70" t="s">
        <v>40</v>
      </c>
    </row>
    <row r="137" spans="15:20" ht="18" hidden="1" customHeight="1" x14ac:dyDescent="0.35">
      <c r="O137" s="70" t="s">
        <v>332</v>
      </c>
      <c r="P137" s="70" t="s">
        <v>333</v>
      </c>
      <c r="Q137" s="70" t="s">
        <v>334</v>
      </c>
      <c r="R137" s="70" t="s">
        <v>62</v>
      </c>
      <c r="S137" s="70">
        <v>30</v>
      </c>
      <c r="T137" s="70" t="s">
        <v>40</v>
      </c>
    </row>
    <row r="138" spans="15:20" ht="18" hidden="1" customHeight="1" x14ac:dyDescent="0.35">
      <c r="O138" s="70" t="s">
        <v>24</v>
      </c>
      <c r="P138" s="70" t="s">
        <v>25</v>
      </c>
      <c r="Q138" s="70" t="s">
        <v>26</v>
      </c>
      <c r="R138" s="70" t="s">
        <v>39</v>
      </c>
      <c r="S138" s="70">
        <v>45</v>
      </c>
      <c r="T138" s="70" t="s">
        <v>40</v>
      </c>
    </row>
    <row r="139" spans="15:20" ht="18" hidden="1" customHeight="1" x14ac:dyDescent="0.35">
      <c r="O139" s="70" t="s">
        <v>335</v>
      </c>
      <c r="P139" s="70" t="s">
        <v>336</v>
      </c>
      <c r="Q139" s="70" t="s">
        <v>337</v>
      </c>
      <c r="R139" s="70" t="s">
        <v>39</v>
      </c>
      <c r="S139" s="70">
        <v>51</v>
      </c>
      <c r="T139" s="70" t="s">
        <v>40</v>
      </c>
    </row>
    <row r="140" spans="15:20" ht="18" hidden="1" customHeight="1" x14ac:dyDescent="0.35">
      <c r="O140" s="70" t="s">
        <v>338</v>
      </c>
      <c r="P140" s="70" t="s">
        <v>339</v>
      </c>
      <c r="Q140" s="70" t="s">
        <v>340</v>
      </c>
      <c r="R140" s="70"/>
      <c r="S140" s="70">
        <v>100</v>
      </c>
      <c r="T140" s="70" t="s">
        <v>40</v>
      </c>
    </row>
    <row r="141" spans="15:20" ht="18" hidden="1" customHeight="1" x14ac:dyDescent="0.35">
      <c r="O141" s="70" t="s">
        <v>341</v>
      </c>
      <c r="P141" s="70" t="s">
        <v>342</v>
      </c>
      <c r="Q141" s="70" t="s">
        <v>343</v>
      </c>
      <c r="R141" s="70" t="s">
        <v>36</v>
      </c>
      <c r="S141" s="70">
        <v>100</v>
      </c>
      <c r="T141" s="70" t="s">
        <v>36</v>
      </c>
    </row>
    <row r="142" spans="15:20" ht="18" hidden="1" customHeight="1" x14ac:dyDescent="0.35">
      <c r="O142" s="70" t="s">
        <v>344</v>
      </c>
      <c r="P142" s="70" t="s">
        <v>345</v>
      </c>
      <c r="Q142" s="70" t="s">
        <v>346</v>
      </c>
      <c r="R142" s="70" t="s">
        <v>36</v>
      </c>
      <c r="S142" s="70">
        <v>100</v>
      </c>
      <c r="T142" s="70" t="s">
        <v>36</v>
      </c>
    </row>
    <row r="143" spans="15:20" ht="18" hidden="1" customHeight="1" x14ac:dyDescent="0.35">
      <c r="O143" s="70" t="s">
        <v>347</v>
      </c>
      <c r="P143" s="70" t="s">
        <v>348</v>
      </c>
      <c r="Q143" s="70" t="s">
        <v>349</v>
      </c>
      <c r="R143" s="70" t="s">
        <v>39</v>
      </c>
      <c r="S143" s="70">
        <v>60</v>
      </c>
      <c r="T143" s="70" t="s">
        <v>40</v>
      </c>
    </row>
    <row r="144" spans="15:20" ht="18" hidden="1" customHeight="1" x14ac:dyDescent="0.35">
      <c r="O144" s="70" t="s">
        <v>350</v>
      </c>
      <c r="P144" s="70" t="s">
        <v>351</v>
      </c>
      <c r="Q144" s="70" t="s">
        <v>352</v>
      </c>
      <c r="R144" s="70" t="s">
        <v>39</v>
      </c>
      <c r="S144" s="70">
        <v>39</v>
      </c>
      <c r="T144" s="70" t="s">
        <v>40</v>
      </c>
    </row>
    <row r="145" spans="15:20" ht="18" hidden="1" customHeight="1" x14ac:dyDescent="0.35">
      <c r="O145" s="70" t="s">
        <v>353</v>
      </c>
      <c r="P145" s="70" t="s">
        <v>354</v>
      </c>
      <c r="Q145" s="70" t="s">
        <v>355</v>
      </c>
      <c r="R145" s="70" t="s">
        <v>39</v>
      </c>
      <c r="S145" s="70">
        <v>54</v>
      </c>
      <c r="T145" s="70" t="s">
        <v>44</v>
      </c>
    </row>
    <row r="146" spans="15:20" ht="18" hidden="1" customHeight="1" x14ac:dyDescent="0.35">
      <c r="O146" s="70" t="s">
        <v>356</v>
      </c>
      <c r="P146" s="70" t="s">
        <v>357</v>
      </c>
      <c r="Q146" s="70" t="s">
        <v>358</v>
      </c>
      <c r="R146" s="70" t="s">
        <v>39</v>
      </c>
      <c r="S146" s="70">
        <v>60</v>
      </c>
      <c r="T146" s="70" t="s">
        <v>40</v>
      </c>
    </row>
    <row r="147" spans="15:20" ht="18" hidden="1" customHeight="1" x14ac:dyDescent="0.35">
      <c r="O147" s="70" t="s">
        <v>359</v>
      </c>
      <c r="P147" s="70" t="s">
        <v>360</v>
      </c>
      <c r="Q147" s="70" t="s">
        <v>361</v>
      </c>
      <c r="R147" s="70" t="s">
        <v>44</v>
      </c>
      <c r="S147" s="70">
        <v>61</v>
      </c>
      <c r="T147" s="70" t="s">
        <v>44</v>
      </c>
    </row>
    <row r="148" spans="15:20" ht="18" hidden="1" customHeight="1" x14ac:dyDescent="0.35">
      <c r="O148" s="70" t="s">
        <v>362</v>
      </c>
      <c r="P148" s="70" t="s">
        <v>363</v>
      </c>
      <c r="Q148" s="70" t="s">
        <v>364</v>
      </c>
      <c r="R148" s="70" t="s">
        <v>62</v>
      </c>
      <c r="S148" s="70">
        <v>30</v>
      </c>
      <c r="T148" s="70" t="s">
        <v>40</v>
      </c>
    </row>
    <row r="149" spans="15:20" ht="18" hidden="1" customHeight="1" x14ac:dyDescent="0.35">
      <c r="O149" s="70" t="s">
        <v>365</v>
      </c>
      <c r="P149" s="70" t="s">
        <v>366</v>
      </c>
      <c r="Q149" s="70" t="s">
        <v>367</v>
      </c>
      <c r="R149" s="70" t="s">
        <v>39</v>
      </c>
      <c r="S149" s="70">
        <v>41</v>
      </c>
      <c r="T149" s="70" t="s">
        <v>40</v>
      </c>
    </row>
    <row r="150" spans="15:20" ht="18" hidden="1" customHeight="1" x14ac:dyDescent="0.35">
      <c r="O150" s="70" t="s">
        <v>368</v>
      </c>
      <c r="P150" s="70" t="s">
        <v>369</v>
      </c>
      <c r="Q150" s="70" t="s">
        <v>370</v>
      </c>
      <c r="R150" s="70" t="s">
        <v>39</v>
      </c>
      <c r="S150" s="70">
        <v>60</v>
      </c>
      <c r="T150" s="70" t="s">
        <v>44</v>
      </c>
    </row>
    <row r="151" spans="15:20" ht="18" hidden="1" customHeight="1" x14ac:dyDescent="0.35">
      <c r="O151" s="70" t="s">
        <v>371</v>
      </c>
      <c r="P151" s="70" t="s">
        <v>372</v>
      </c>
      <c r="Q151" s="70" t="s">
        <v>373</v>
      </c>
      <c r="R151" s="70" t="s">
        <v>44</v>
      </c>
      <c r="S151" s="70">
        <v>80</v>
      </c>
      <c r="T151" s="70" t="s">
        <v>44</v>
      </c>
    </row>
    <row r="152" spans="15:20" ht="18" hidden="1" customHeight="1" x14ac:dyDescent="0.35">
      <c r="O152" s="70" t="s">
        <v>374</v>
      </c>
      <c r="P152" s="70" t="s">
        <v>375</v>
      </c>
      <c r="Q152" s="70" t="s">
        <v>376</v>
      </c>
      <c r="R152" s="70" t="s">
        <v>39</v>
      </c>
      <c r="S152" s="70">
        <v>54</v>
      </c>
      <c r="T152" s="70" t="s">
        <v>44</v>
      </c>
    </row>
    <row r="153" spans="15:20" ht="18" hidden="1" customHeight="1" x14ac:dyDescent="0.35">
      <c r="O153" s="70" t="s">
        <v>377</v>
      </c>
      <c r="P153" s="70" t="s">
        <v>378</v>
      </c>
      <c r="Q153" s="70" t="s">
        <v>379</v>
      </c>
      <c r="R153" s="70" t="s">
        <v>39</v>
      </c>
      <c r="S153" s="70">
        <v>43</v>
      </c>
      <c r="T153" s="70" t="s">
        <v>40</v>
      </c>
    </row>
    <row r="154" spans="15:20" ht="18" hidden="1" customHeight="1" x14ac:dyDescent="0.35">
      <c r="O154" s="70" t="s">
        <v>380</v>
      </c>
      <c r="P154" s="70" t="s">
        <v>381</v>
      </c>
      <c r="Q154" s="70" t="s">
        <v>382</v>
      </c>
      <c r="R154" s="70" t="s">
        <v>36</v>
      </c>
      <c r="S154" s="70">
        <v>100</v>
      </c>
      <c r="T154" s="70" t="s">
        <v>36</v>
      </c>
    </row>
    <row r="155" spans="15:20" ht="18" hidden="1" customHeight="1" x14ac:dyDescent="0.35">
      <c r="O155" s="70" t="s">
        <v>383</v>
      </c>
      <c r="P155" s="70" t="s">
        <v>384</v>
      </c>
      <c r="Q155" s="70" t="s">
        <v>385</v>
      </c>
      <c r="R155" s="70" t="s">
        <v>62</v>
      </c>
      <c r="S155" s="70">
        <v>30</v>
      </c>
      <c r="T155" s="70" t="s">
        <v>40</v>
      </c>
    </row>
    <row r="156" spans="15:20" ht="18" hidden="1" customHeight="1" x14ac:dyDescent="0.35">
      <c r="O156" s="70" t="s">
        <v>386</v>
      </c>
      <c r="P156" s="70" t="s">
        <v>387</v>
      </c>
      <c r="Q156" s="70"/>
      <c r="R156" s="70" t="s">
        <v>44</v>
      </c>
      <c r="S156" s="70">
        <v>100</v>
      </c>
      <c r="T156" s="70" t="s">
        <v>40</v>
      </c>
    </row>
    <row r="157" spans="15:20" ht="18" hidden="1" customHeight="1" x14ac:dyDescent="0.35">
      <c r="O157" s="70" t="s">
        <v>386</v>
      </c>
      <c r="P157" s="70" t="s">
        <v>388</v>
      </c>
      <c r="Q157" s="70" t="s">
        <v>389</v>
      </c>
      <c r="R157" s="70" t="s">
        <v>39</v>
      </c>
      <c r="S157" s="70">
        <v>53</v>
      </c>
      <c r="T157" s="70" t="s">
        <v>40</v>
      </c>
    </row>
    <row r="158" spans="15:20" ht="18" hidden="1" customHeight="1" x14ac:dyDescent="0.35">
      <c r="O158" s="70" t="s">
        <v>390</v>
      </c>
      <c r="P158" s="70" t="s">
        <v>391</v>
      </c>
      <c r="Q158" s="70" t="s">
        <v>392</v>
      </c>
      <c r="R158" s="70" t="s">
        <v>39</v>
      </c>
      <c r="S158" s="70">
        <v>47</v>
      </c>
      <c r="T158" s="70" t="s">
        <v>40</v>
      </c>
    </row>
    <row r="159" spans="15:20" ht="18" hidden="1" customHeight="1" x14ac:dyDescent="0.35">
      <c r="O159" s="70" t="s">
        <v>393</v>
      </c>
      <c r="P159" s="70" t="s">
        <v>394</v>
      </c>
      <c r="Q159" s="70" t="s">
        <v>395</v>
      </c>
      <c r="R159" s="70" t="s">
        <v>44</v>
      </c>
      <c r="S159" s="70">
        <v>65</v>
      </c>
      <c r="T159" s="70" t="s">
        <v>44</v>
      </c>
    </row>
    <row r="160" spans="15:20" ht="18" hidden="1" customHeight="1" x14ac:dyDescent="0.35">
      <c r="O160" s="70" t="s">
        <v>396</v>
      </c>
      <c r="P160" s="70" t="s">
        <v>397</v>
      </c>
      <c r="Q160" s="70" t="s">
        <v>396</v>
      </c>
      <c r="R160" s="70" t="s">
        <v>44</v>
      </c>
      <c r="S160" s="70">
        <v>63</v>
      </c>
      <c r="T160" s="70" t="s">
        <v>44</v>
      </c>
    </row>
    <row r="161" spans="15:20" ht="18" hidden="1" customHeight="1" x14ac:dyDescent="0.35">
      <c r="O161" s="70" t="s">
        <v>398</v>
      </c>
      <c r="P161" s="70" t="s">
        <v>399</v>
      </c>
      <c r="Q161" s="70" t="s">
        <v>400</v>
      </c>
      <c r="R161" s="70" t="s">
        <v>39</v>
      </c>
      <c r="S161" s="70">
        <v>46</v>
      </c>
      <c r="T161" s="70" t="s">
        <v>40</v>
      </c>
    </row>
    <row r="162" spans="15:20" ht="18" hidden="1" customHeight="1" x14ac:dyDescent="0.35">
      <c r="O162" s="70" t="s">
        <v>401</v>
      </c>
      <c r="P162" s="70" t="s">
        <v>402</v>
      </c>
      <c r="Q162" s="70" t="s">
        <v>403</v>
      </c>
      <c r="R162" s="70" t="s">
        <v>44</v>
      </c>
      <c r="S162" s="70">
        <v>71</v>
      </c>
      <c r="T162" s="70" t="s">
        <v>44</v>
      </c>
    </row>
    <row r="163" spans="15:20" ht="18" hidden="1" customHeight="1" x14ac:dyDescent="0.35">
      <c r="O163" s="70" t="s">
        <v>404</v>
      </c>
      <c r="P163" s="70" t="s">
        <v>405</v>
      </c>
      <c r="Q163" s="70" t="s">
        <v>406</v>
      </c>
      <c r="R163" s="70" t="s">
        <v>39</v>
      </c>
      <c r="S163" s="70">
        <v>52</v>
      </c>
      <c r="T163" s="70" t="s">
        <v>40</v>
      </c>
    </row>
    <row r="164" spans="15:20" ht="18" hidden="1" customHeight="1" x14ac:dyDescent="0.35">
      <c r="O164" s="70" t="s">
        <v>407</v>
      </c>
      <c r="P164" s="70" t="s">
        <v>408</v>
      </c>
      <c r="Q164" s="70" t="s">
        <v>409</v>
      </c>
      <c r="R164" s="70" t="s">
        <v>44</v>
      </c>
      <c r="S164" s="70">
        <v>64</v>
      </c>
      <c r="T164" s="70" t="s">
        <v>44</v>
      </c>
    </row>
    <row r="165" spans="15:20" ht="18" hidden="1" customHeight="1" x14ac:dyDescent="0.35">
      <c r="O165" s="70" t="s">
        <v>410</v>
      </c>
      <c r="P165" s="70" t="s">
        <v>411</v>
      </c>
      <c r="Q165" s="70" t="s">
        <v>412</v>
      </c>
      <c r="R165" s="70" t="s">
        <v>36</v>
      </c>
      <c r="S165" s="70">
        <v>100</v>
      </c>
      <c r="T165" s="70" t="s">
        <v>36</v>
      </c>
    </row>
    <row r="166" spans="15:20" ht="18" hidden="1" customHeight="1" x14ac:dyDescent="0.35">
      <c r="O166" s="70" t="s">
        <v>413</v>
      </c>
      <c r="P166" s="70" t="s">
        <v>414</v>
      </c>
      <c r="Q166" s="70" t="s">
        <v>415</v>
      </c>
      <c r="R166" s="70" t="s">
        <v>62</v>
      </c>
      <c r="S166" s="70">
        <v>30</v>
      </c>
      <c r="T166" s="70" t="s">
        <v>40</v>
      </c>
    </row>
    <row r="167" spans="15:20" ht="18" hidden="1" customHeight="1" x14ac:dyDescent="0.35">
      <c r="O167" s="70" t="s">
        <v>416</v>
      </c>
      <c r="P167" s="70" t="s">
        <v>417</v>
      </c>
      <c r="Q167" s="70" t="s">
        <v>418</v>
      </c>
      <c r="R167" s="70" t="s">
        <v>39</v>
      </c>
      <c r="S167" s="70">
        <v>40</v>
      </c>
      <c r="T167" s="70" t="s">
        <v>40</v>
      </c>
    </row>
    <row r="168" spans="15:20" ht="18" hidden="1" customHeight="1" x14ac:dyDescent="0.35">
      <c r="O168" s="70" t="s">
        <v>419</v>
      </c>
      <c r="P168" s="70" t="s">
        <v>420</v>
      </c>
      <c r="Q168" s="70" t="s">
        <v>421</v>
      </c>
      <c r="R168" s="70" t="s">
        <v>62</v>
      </c>
      <c r="S168" s="70">
        <v>30</v>
      </c>
      <c r="T168" s="70" t="s">
        <v>40</v>
      </c>
    </row>
    <row r="169" spans="15:20" ht="18" hidden="1" customHeight="1" x14ac:dyDescent="0.35">
      <c r="O169" s="70" t="s">
        <v>422</v>
      </c>
      <c r="P169" s="70" t="s">
        <v>423</v>
      </c>
      <c r="Q169" s="70" t="s">
        <v>424</v>
      </c>
      <c r="R169" s="70" t="s">
        <v>39</v>
      </c>
      <c r="S169" s="70">
        <v>47</v>
      </c>
      <c r="T169" s="70" t="s">
        <v>40</v>
      </c>
    </row>
    <row r="170" spans="15:20" ht="18" hidden="1" customHeight="1" x14ac:dyDescent="0.35">
      <c r="O170" s="70" t="s">
        <v>425</v>
      </c>
      <c r="P170" s="70" t="s">
        <v>426</v>
      </c>
      <c r="Q170" s="70" t="s">
        <v>427</v>
      </c>
      <c r="R170" s="70" t="s">
        <v>39</v>
      </c>
      <c r="S170" s="70">
        <v>53</v>
      </c>
      <c r="T170" s="70" t="s">
        <v>40</v>
      </c>
    </row>
    <row r="171" spans="15:20" ht="18" hidden="1" customHeight="1" x14ac:dyDescent="0.35">
      <c r="O171" s="70" t="s">
        <v>428</v>
      </c>
      <c r="P171" s="70" t="s">
        <v>429</v>
      </c>
      <c r="Q171" s="70" t="s">
        <v>430</v>
      </c>
      <c r="R171" s="70" t="s">
        <v>39</v>
      </c>
      <c r="S171" s="70">
        <v>50</v>
      </c>
      <c r="T171" s="70" t="s">
        <v>40</v>
      </c>
    </row>
    <row r="172" spans="15:20" ht="18" hidden="1" customHeight="1" x14ac:dyDescent="0.35">
      <c r="O172" s="70" t="s">
        <v>431</v>
      </c>
      <c r="P172" s="70" t="s">
        <v>432</v>
      </c>
      <c r="Q172" s="70" t="s">
        <v>433</v>
      </c>
      <c r="R172" s="70" t="s">
        <v>44</v>
      </c>
      <c r="S172" s="70">
        <v>80</v>
      </c>
      <c r="T172" s="70" t="s">
        <v>44</v>
      </c>
    </row>
    <row r="173" spans="15:20" ht="18" hidden="1" customHeight="1" x14ac:dyDescent="0.35">
      <c r="O173" s="70" t="s">
        <v>434</v>
      </c>
      <c r="P173" s="70" t="s">
        <v>435</v>
      </c>
      <c r="Q173" s="70" t="s">
        <v>436</v>
      </c>
      <c r="R173" s="70" t="s">
        <v>39</v>
      </c>
      <c r="S173" s="70">
        <v>52</v>
      </c>
      <c r="T173" s="70" t="s">
        <v>40</v>
      </c>
    </row>
    <row r="174" spans="15:20" ht="18" hidden="1" customHeight="1" x14ac:dyDescent="0.35">
      <c r="O174" s="70" t="s">
        <v>437</v>
      </c>
      <c r="P174" s="70" t="s">
        <v>438</v>
      </c>
      <c r="Q174" s="70" t="s">
        <v>439</v>
      </c>
      <c r="R174" s="70" t="s">
        <v>39</v>
      </c>
      <c r="S174" s="70">
        <v>47</v>
      </c>
      <c r="T174" s="70" t="s">
        <v>40</v>
      </c>
    </row>
    <row r="175" spans="15:20" ht="18" hidden="1" customHeight="1" x14ac:dyDescent="0.35">
      <c r="O175" s="70" t="s">
        <v>440</v>
      </c>
      <c r="P175" s="70" t="s">
        <v>441</v>
      </c>
      <c r="Q175" s="70" t="s">
        <v>442</v>
      </c>
      <c r="R175" s="70" t="s">
        <v>44</v>
      </c>
      <c r="S175" s="70">
        <v>73</v>
      </c>
      <c r="T175" s="70" t="s">
        <v>44</v>
      </c>
    </row>
    <row r="176" spans="15:20" ht="18" hidden="1" customHeight="1" x14ac:dyDescent="0.35">
      <c r="O176" s="70" t="s">
        <v>443</v>
      </c>
      <c r="P176" s="70" t="s">
        <v>444</v>
      </c>
      <c r="Q176" s="70" t="s">
        <v>445</v>
      </c>
      <c r="R176" s="70" t="s">
        <v>39</v>
      </c>
      <c r="S176" s="70">
        <v>42</v>
      </c>
      <c r="T176" s="70" t="s">
        <v>40</v>
      </c>
    </row>
    <row r="177" spans="15:20" ht="18" hidden="1" customHeight="1" x14ac:dyDescent="0.35">
      <c r="O177" s="70" t="s">
        <v>446</v>
      </c>
      <c r="P177" s="70" t="s">
        <v>447</v>
      </c>
      <c r="Q177" s="70" t="s">
        <v>448</v>
      </c>
      <c r="R177" s="70" t="s">
        <v>39</v>
      </c>
      <c r="S177" s="70">
        <v>50</v>
      </c>
      <c r="T177" s="70" t="s">
        <v>40</v>
      </c>
    </row>
    <row r="178" spans="15:20" ht="18" hidden="1" customHeight="1" x14ac:dyDescent="0.35">
      <c r="O178" s="70" t="s">
        <v>449</v>
      </c>
      <c r="P178" s="70" t="s">
        <v>450</v>
      </c>
      <c r="Q178" s="70" t="s">
        <v>451</v>
      </c>
      <c r="R178" s="70" t="s">
        <v>39</v>
      </c>
      <c r="S178" s="70">
        <v>38</v>
      </c>
      <c r="T178" s="70" t="s">
        <v>40</v>
      </c>
    </row>
    <row r="179" spans="15:20" ht="18" hidden="1" customHeight="1" x14ac:dyDescent="0.35">
      <c r="O179" s="70" t="s">
        <v>452</v>
      </c>
      <c r="P179" s="70" t="s">
        <v>453</v>
      </c>
      <c r="Q179" s="70" t="s">
        <v>454</v>
      </c>
      <c r="R179" s="70" t="s">
        <v>44</v>
      </c>
      <c r="S179" s="70">
        <v>68</v>
      </c>
      <c r="T179" s="70" t="s">
        <v>44</v>
      </c>
    </row>
    <row r="180" spans="15:20" ht="18" hidden="1" customHeight="1" x14ac:dyDescent="0.35">
      <c r="O180" s="70" t="s">
        <v>455</v>
      </c>
      <c r="P180" s="70" t="s">
        <v>456</v>
      </c>
      <c r="Q180" s="70" t="s">
        <v>457</v>
      </c>
      <c r="R180" s="70" t="s">
        <v>44</v>
      </c>
      <c r="S180" s="70">
        <v>80</v>
      </c>
      <c r="T180" s="70" t="s">
        <v>44</v>
      </c>
    </row>
    <row r="181" spans="15:20" ht="18" hidden="1" customHeight="1" x14ac:dyDescent="0.35">
      <c r="O181" s="70" t="s">
        <v>458</v>
      </c>
      <c r="P181" s="70" t="s">
        <v>459</v>
      </c>
      <c r="Q181" s="70" t="s">
        <v>460</v>
      </c>
      <c r="R181" s="70" t="s">
        <v>62</v>
      </c>
      <c r="S181" s="70">
        <v>30</v>
      </c>
      <c r="T181" s="70" t="s">
        <v>40</v>
      </c>
    </row>
    <row r="182" spans="15:20" ht="18" hidden="1" customHeight="1" x14ac:dyDescent="0.35">
      <c r="O182" s="70" t="s">
        <v>461</v>
      </c>
      <c r="P182" s="70" t="s">
        <v>462</v>
      </c>
      <c r="Q182" s="70" t="s">
        <v>463</v>
      </c>
      <c r="R182" s="70" t="s">
        <v>44</v>
      </c>
      <c r="S182" s="70">
        <v>68</v>
      </c>
      <c r="T182" s="70" t="s">
        <v>44</v>
      </c>
    </row>
    <row r="183" spans="15:20" ht="18" hidden="1" customHeight="1" x14ac:dyDescent="0.35">
      <c r="O183" s="70" t="s">
        <v>464</v>
      </c>
      <c r="P183" s="70" t="s">
        <v>465</v>
      </c>
      <c r="Q183" s="70" t="s">
        <v>466</v>
      </c>
      <c r="R183" s="70" t="s">
        <v>39</v>
      </c>
      <c r="S183" s="70">
        <v>39</v>
      </c>
      <c r="T183" s="70" t="s">
        <v>40</v>
      </c>
    </row>
    <row r="184" spans="15:20" ht="18" hidden="1" customHeight="1" x14ac:dyDescent="0.35">
      <c r="O184" s="70" t="s">
        <v>467</v>
      </c>
      <c r="P184" s="70" t="s">
        <v>468</v>
      </c>
      <c r="Q184" s="70" t="s">
        <v>469</v>
      </c>
      <c r="R184" s="70" t="s">
        <v>39</v>
      </c>
      <c r="S184" s="70">
        <v>60</v>
      </c>
      <c r="T184" s="70" t="s">
        <v>44</v>
      </c>
    </row>
    <row r="185" spans="15:20" ht="18" hidden="1" customHeight="1" x14ac:dyDescent="0.35">
      <c r="O185" s="70" t="s">
        <v>470</v>
      </c>
      <c r="P185" s="70" t="s">
        <v>471</v>
      </c>
      <c r="Q185" s="70" t="s">
        <v>472</v>
      </c>
      <c r="R185" s="70" t="s">
        <v>39</v>
      </c>
      <c r="S185" s="70">
        <v>40</v>
      </c>
      <c r="T185" s="70" t="s">
        <v>40</v>
      </c>
    </row>
    <row r="186" spans="15:20" ht="18" hidden="1" customHeight="1" x14ac:dyDescent="0.35">
      <c r="O186" s="70" t="s">
        <v>473</v>
      </c>
      <c r="P186" s="70" t="s">
        <v>474</v>
      </c>
      <c r="Q186" s="70" t="s">
        <v>475</v>
      </c>
      <c r="R186" s="70" t="s">
        <v>39</v>
      </c>
      <c r="S186" s="70">
        <v>53</v>
      </c>
      <c r="T186" s="70" t="s">
        <v>40</v>
      </c>
    </row>
    <row r="187" spans="15:20" ht="18" hidden="1" customHeight="1" x14ac:dyDescent="0.35">
      <c r="O187" s="70" t="s">
        <v>476</v>
      </c>
      <c r="P187" s="70" t="s">
        <v>477</v>
      </c>
      <c r="Q187" s="70" t="s">
        <v>478</v>
      </c>
      <c r="R187" s="70" t="s">
        <v>39</v>
      </c>
      <c r="S187" s="70">
        <v>41</v>
      </c>
      <c r="T187" s="70" t="s">
        <v>40</v>
      </c>
    </row>
    <row r="188" spans="15:20" ht="18" hidden="1" customHeight="1" x14ac:dyDescent="0.35">
      <c r="O188" s="70" t="s">
        <v>479</v>
      </c>
      <c r="P188" s="70" t="s">
        <v>480</v>
      </c>
      <c r="Q188" s="70" t="s">
        <v>481</v>
      </c>
      <c r="R188" s="70" t="s">
        <v>39</v>
      </c>
      <c r="S188" s="70">
        <v>60</v>
      </c>
      <c r="T188" s="70" t="s">
        <v>44</v>
      </c>
    </row>
    <row r="189" spans="15:20" ht="18" hidden="1" customHeight="1" x14ac:dyDescent="0.35">
      <c r="O189" s="70" t="s">
        <v>482</v>
      </c>
      <c r="P189" s="70" t="s">
        <v>483</v>
      </c>
      <c r="Q189" s="70" t="s">
        <v>484</v>
      </c>
      <c r="R189" s="70" t="s">
        <v>44</v>
      </c>
      <c r="S189" s="70">
        <v>80</v>
      </c>
      <c r="T189" s="70" t="s">
        <v>44</v>
      </c>
    </row>
    <row r="190" spans="15:20" ht="18" hidden="1" customHeight="1" x14ac:dyDescent="0.35">
      <c r="O190" s="70" t="s">
        <v>485</v>
      </c>
      <c r="P190" s="70" t="s">
        <v>486</v>
      </c>
      <c r="Q190" s="70" t="s">
        <v>487</v>
      </c>
      <c r="R190" s="70" t="s">
        <v>44</v>
      </c>
      <c r="S190" s="70">
        <v>61</v>
      </c>
      <c r="T190" s="70" t="s">
        <v>44</v>
      </c>
    </row>
    <row r="191" spans="15:20" ht="18" hidden="1" customHeight="1" x14ac:dyDescent="0.35">
      <c r="O191" s="70" t="s">
        <v>488</v>
      </c>
      <c r="P191" s="70" t="s">
        <v>489</v>
      </c>
      <c r="Q191" s="70" t="s">
        <v>490</v>
      </c>
      <c r="R191" s="70" t="s">
        <v>44</v>
      </c>
      <c r="S191" s="70">
        <v>80</v>
      </c>
      <c r="T191" s="70" t="s">
        <v>36</v>
      </c>
    </row>
    <row r="192" spans="15:20" ht="18" hidden="1" customHeight="1" x14ac:dyDescent="0.35">
      <c r="O192" s="70" t="s">
        <v>491</v>
      </c>
      <c r="P192" s="70" t="s">
        <v>492</v>
      </c>
      <c r="Q192" s="70" t="s">
        <v>493</v>
      </c>
      <c r="R192" s="70" t="s">
        <v>62</v>
      </c>
      <c r="S192" s="70">
        <v>30</v>
      </c>
      <c r="T192" s="70" t="s">
        <v>40</v>
      </c>
    </row>
    <row r="193" spans="15:20" ht="18" hidden="1" customHeight="1" x14ac:dyDescent="0.35">
      <c r="O193" s="70" t="s">
        <v>494</v>
      </c>
      <c r="P193" s="70" t="s">
        <v>495</v>
      </c>
      <c r="Q193" s="70" t="s">
        <v>496</v>
      </c>
      <c r="R193" s="70" t="s">
        <v>39</v>
      </c>
      <c r="S193" s="70">
        <v>48</v>
      </c>
      <c r="T193" s="70" t="s">
        <v>44</v>
      </c>
    </row>
    <row r="194" spans="15:20" ht="18" hidden="1" customHeight="1" x14ac:dyDescent="0.35">
      <c r="O194" s="70" t="s">
        <v>497</v>
      </c>
      <c r="P194" s="70" t="s">
        <v>498</v>
      </c>
      <c r="Q194" s="70" t="s">
        <v>499</v>
      </c>
      <c r="R194" s="70" t="s">
        <v>39</v>
      </c>
      <c r="S194" s="70">
        <v>47</v>
      </c>
      <c r="T194" s="70" t="s">
        <v>40</v>
      </c>
    </row>
    <row r="195" spans="15:20" ht="18" hidden="1" customHeight="1" x14ac:dyDescent="0.35">
      <c r="O195" s="70" t="s">
        <v>500</v>
      </c>
      <c r="P195" s="70" t="s">
        <v>501</v>
      </c>
      <c r="Q195" s="70" t="s">
        <v>502</v>
      </c>
      <c r="R195" s="70" t="s">
        <v>39</v>
      </c>
      <c r="S195" s="70">
        <v>54</v>
      </c>
      <c r="T195" s="70" t="s">
        <v>44</v>
      </c>
    </row>
    <row r="196" spans="15:20" ht="18" hidden="1" customHeight="1" x14ac:dyDescent="0.35">
      <c r="O196" s="70" t="s">
        <v>503</v>
      </c>
      <c r="P196" s="70" t="s">
        <v>504</v>
      </c>
      <c r="Q196" s="70" t="s">
        <v>505</v>
      </c>
      <c r="R196" s="70" t="s">
        <v>62</v>
      </c>
      <c r="S196" s="70">
        <v>29</v>
      </c>
      <c r="T196" s="70" t="s">
        <v>40</v>
      </c>
    </row>
    <row r="197" spans="15:20" ht="18" hidden="1" customHeight="1" x14ac:dyDescent="0.35">
      <c r="O197" s="70" t="s">
        <v>506</v>
      </c>
      <c r="P197" s="70" t="s">
        <v>507</v>
      </c>
      <c r="Q197" s="70"/>
      <c r="R197" s="70"/>
      <c r="S197" s="70">
        <v>100</v>
      </c>
      <c r="T197" s="70" t="s">
        <v>40</v>
      </c>
    </row>
    <row r="198" spans="15:20" ht="18" hidden="1" customHeight="1" x14ac:dyDescent="0.35">
      <c r="O198" s="70" t="s">
        <v>508</v>
      </c>
      <c r="P198" s="70" t="s">
        <v>509</v>
      </c>
      <c r="Q198" s="70" t="s">
        <v>510</v>
      </c>
      <c r="R198" s="70" t="s">
        <v>62</v>
      </c>
      <c r="S198" s="70">
        <v>29</v>
      </c>
      <c r="T198" s="70" t="s">
        <v>40</v>
      </c>
    </row>
    <row r="199" spans="15:20" ht="18" hidden="1" customHeight="1" x14ac:dyDescent="0.35">
      <c r="O199" s="70" t="s">
        <v>511</v>
      </c>
      <c r="P199" s="70" t="s">
        <v>512</v>
      </c>
      <c r="Q199" s="70" t="s">
        <v>513</v>
      </c>
      <c r="R199" s="70" t="s">
        <v>44</v>
      </c>
      <c r="S199" s="70">
        <v>63</v>
      </c>
      <c r="T199" s="70" t="s">
        <v>44</v>
      </c>
    </row>
    <row r="200" spans="15:20" ht="18" hidden="1" customHeight="1" x14ac:dyDescent="0.35">
      <c r="O200" s="70" t="s">
        <v>514</v>
      </c>
      <c r="P200" s="70" t="s">
        <v>515</v>
      </c>
      <c r="Q200" s="70" t="s">
        <v>516</v>
      </c>
      <c r="R200" s="70" t="s">
        <v>44</v>
      </c>
      <c r="S200" s="70">
        <v>72</v>
      </c>
      <c r="T200" s="70" t="s">
        <v>44</v>
      </c>
    </row>
    <row r="201" spans="15:20" ht="18" hidden="1" customHeight="1" x14ac:dyDescent="0.35">
      <c r="O201" s="70" t="s">
        <v>517</v>
      </c>
      <c r="P201" s="70" t="s">
        <v>518</v>
      </c>
      <c r="Q201" s="70" t="s">
        <v>519</v>
      </c>
      <c r="R201" s="70" t="s">
        <v>44</v>
      </c>
      <c r="S201" s="70">
        <v>66</v>
      </c>
      <c r="T201" s="70" t="s">
        <v>44</v>
      </c>
    </row>
    <row r="202" spans="15:20" ht="18" hidden="1" customHeight="1" x14ac:dyDescent="0.35">
      <c r="O202" s="70" t="s">
        <v>520</v>
      </c>
      <c r="P202" s="70" t="s">
        <v>521</v>
      </c>
      <c r="Q202" s="70" t="s">
        <v>522</v>
      </c>
      <c r="R202" s="70" t="s">
        <v>39</v>
      </c>
      <c r="S202" s="70">
        <v>45</v>
      </c>
      <c r="T202" s="70" t="s">
        <v>40</v>
      </c>
    </row>
    <row r="203" spans="15:20" ht="18" hidden="1" customHeight="1" x14ac:dyDescent="0.35">
      <c r="O203" s="70" t="s">
        <v>523</v>
      </c>
      <c r="P203" s="70" t="s">
        <v>524</v>
      </c>
      <c r="Q203" s="70" t="s">
        <v>525</v>
      </c>
      <c r="R203" s="70" t="s">
        <v>39</v>
      </c>
      <c r="S203" s="70">
        <v>37</v>
      </c>
      <c r="T203" s="70" t="s">
        <v>40</v>
      </c>
    </row>
    <row r="204" spans="15:20" ht="18" hidden="1" customHeight="1" x14ac:dyDescent="0.35">
      <c r="O204" s="70" t="s">
        <v>526</v>
      </c>
      <c r="P204" s="70" t="s">
        <v>527</v>
      </c>
      <c r="Q204" s="70" t="s">
        <v>528</v>
      </c>
      <c r="R204" s="70" t="s">
        <v>62</v>
      </c>
      <c r="S204" s="70">
        <v>26</v>
      </c>
      <c r="T204" s="70" t="s">
        <v>40</v>
      </c>
    </row>
    <row r="205" spans="15:20" ht="18" hidden="1" customHeight="1" x14ac:dyDescent="0.35">
      <c r="O205" s="70" t="s">
        <v>529</v>
      </c>
      <c r="P205" s="70" t="s">
        <v>529</v>
      </c>
      <c r="Q205" s="70" t="s">
        <v>530</v>
      </c>
      <c r="R205" s="70" t="s">
        <v>62</v>
      </c>
      <c r="S205" s="70">
        <v>26</v>
      </c>
      <c r="T205" s="70" t="s">
        <v>40</v>
      </c>
    </row>
    <row r="206" spans="15:20" ht="18" hidden="1" customHeight="1" x14ac:dyDescent="0.35">
      <c r="O206" s="70" t="s">
        <v>531</v>
      </c>
      <c r="P206" s="70" t="s">
        <v>532</v>
      </c>
      <c r="Q206" s="70" t="s">
        <v>533</v>
      </c>
      <c r="R206" s="70" t="s">
        <v>39</v>
      </c>
      <c r="S206" s="70">
        <v>52</v>
      </c>
      <c r="T206" s="70" t="s">
        <v>40</v>
      </c>
    </row>
    <row r="207" spans="15:20" ht="18" hidden="1" customHeight="1" x14ac:dyDescent="0.35">
      <c r="O207" s="70" t="s">
        <v>534</v>
      </c>
      <c r="P207" s="70" t="s">
        <v>535</v>
      </c>
      <c r="Q207" s="70" t="s">
        <v>536</v>
      </c>
      <c r="R207" s="70" t="s">
        <v>44</v>
      </c>
      <c r="S207" s="70">
        <v>76</v>
      </c>
      <c r="T207" s="70" t="s">
        <v>44</v>
      </c>
    </row>
    <row r="208" spans="15:20" ht="18" hidden="1" customHeight="1" x14ac:dyDescent="0.35">
      <c r="O208" s="70" t="s">
        <v>537</v>
      </c>
      <c r="P208" s="70" t="s">
        <v>538</v>
      </c>
      <c r="Q208" s="70" t="s">
        <v>539</v>
      </c>
      <c r="R208" s="70" t="s">
        <v>39</v>
      </c>
      <c r="S208" s="70">
        <v>48</v>
      </c>
      <c r="T208" s="70" t="s">
        <v>40</v>
      </c>
    </row>
    <row r="209" spans="15:20" ht="18" hidden="1" customHeight="1" x14ac:dyDescent="0.35">
      <c r="O209" s="70" t="s">
        <v>540</v>
      </c>
      <c r="P209" s="70" t="s">
        <v>541</v>
      </c>
      <c r="Q209" s="70" t="s">
        <v>542</v>
      </c>
      <c r="R209" s="70" t="s">
        <v>44</v>
      </c>
      <c r="S209" s="70">
        <v>80</v>
      </c>
      <c r="T209" s="70" t="s">
        <v>44</v>
      </c>
    </row>
    <row r="210" spans="15:20" ht="18" hidden="1" customHeight="1" x14ac:dyDescent="0.35">
      <c r="O210" s="70" t="s">
        <v>543</v>
      </c>
      <c r="P210" s="70" t="s">
        <v>544</v>
      </c>
      <c r="Q210" s="70" t="s">
        <v>545</v>
      </c>
      <c r="R210" s="70" t="s">
        <v>39</v>
      </c>
      <c r="S210" s="70">
        <v>52</v>
      </c>
      <c r="T210" s="70" t="s">
        <v>40</v>
      </c>
    </row>
    <row r="211" spans="15:20" ht="18" hidden="1" customHeight="1" x14ac:dyDescent="0.35">
      <c r="O211" s="70" t="s">
        <v>546</v>
      </c>
      <c r="P211" s="70" t="s">
        <v>547</v>
      </c>
      <c r="Q211" s="70" t="s">
        <v>548</v>
      </c>
      <c r="R211" s="70" t="s">
        <v>44</v>
      </c>
      <c r="S211" s="70">
        <v>80</v>
      </c>
      <c r="T211" s="70" t="s">
        <v>44</v>
      </c>
    </row>
    <row r="212" spans="15:20" ht="18" hidden="1" customHeight="1" x14ac:dyDescent="0.35">
      <c r="O212" s="70" t="s">
        <v>549</v>
      </c>
      <c r="P212" s="70" t="s">
        <v>550</v>
      </c>
      <c r="Q212" s="70" t="s">
        <v>551</v>
      </c>
      <c r="R212" s="70" t="s">
        <v>39</v>
      </c>
      <c r="S212" s="70">
        <v>49</v>
      </c>
      <c r="T212" s="70" t="s">
        <v>40</v>
      </c>
    </row>
    <row r="213" spans="15:20" ht="18" hidden="1" customHeight="1" x14ac:dyDescent="0.35">
      <c r="O213" s="70" t="s">
        <v>552</v>
      </c>
      <c r="P213" s="70" t="s">
        <v>553</v>
      </c>
      <c r="Q213" s="70" t="s">
        <v>554</v>
      </c>
      <c r="R213" s="70" t="s">
        <v>39</v>
      </c>
      <c r="S213" s="70">
        <v>60</v>
      </c>
      <c r="T213" s="70" t="s">
        <v>44</v>
      </c>
    </row>
    <row r="214" spans="15:20" ht="18" hidden="1" customHeight="1" x14ac:dyDescent="0.35">
      <c r="O214" s="70" t="s">
        <v>555</v>
      </c>
      <c r="P214" s="70" t="s">
        <v>556</v>
      </c>
      <c r="Q214" s="70" t="s">
        <v>557</v>
      </c>
      <c r="R214" s="70" t="s">
        <v>62</v>
      </c>
      <c r="S214" s="70">
        <v>28</v>
      </c>
      <c r="T214" s="70" t="s">
        <v>40</v>
      </c>
    </row>
    <row r="215" spans="15:20" ht="18" hidden="1" customHeight="1" x14ac:dyDescent="0.35">
      <c r="O215" s="70" t="s">
        <v>558</v>
      </c>
      <c r="P215" s="70" t="s">
        <v>559</v>
      </c>
      <c r="Q215" s="70" t="s">
        <v>560</v>
      </c>
      <c r="R215" s="70" t="s">
        <v>39</v>
      </c>
      <c r="S215" s="70">
        <v>60</v>
      </c>
      <c r="T215" s="70" t="s">
        <v>40</v>
      </c>
    </row>
    <row r="216" spans="15:20" ht="18" hidden="1" customHeight="1" x14ac:dyDescent="0.35">
      <c r="O216" s="70" t="s">
        <v>561</v>
      </c>
      <c r="P216" s="70" t="s">
        <v>562</v>
      </c>
      <c r="Q216" s="70" t="s">
        <v>563</v>
      </c>
      <c r="R216" s="70" t="s">
        <v>62</v>
      </c>
      <c r="S216" s="70">
        <v>30</v>
      </c>
      <c r="T216" s="70" t="s">
        <v>40</v>
      </c>
    </row>
    <row r="217" spans="15:20" ht="18" hidden="1" customHeight="1" x14ac:dyDescent="0.35">
      <c r="O217" s="70" t="s">
        <v>564</v>
      </c>
      <c r="P217" s="70" t="s">
        <v>565</v>
      </c>
      <c r="Q217" s="70" t="s">
        <v>566</v>
      </c>
      <c r="R217" s="70" t="s">
        <v>39</v>
      </c>
      <c r="S217" s="70">
        <v>48</v>
      </c>
      <c r="T217" s="70" t="s">
        <v>40</v>
      </c>
    </row>
    <row r="218" spans="15:20" ht="18" hidden="1" customHeight="1" x14ac:dyDescent="0.35">
      <c r="O218" s="70" t="s">
        <v>567</v>
      </c>
      <c r="P218" s="70" t="s">
        <v>568</v>
      </c>
      <c r="Q218" s="70" t="s">
        <v>569</v>
      </c>
      <c r="R218" s="70" t="s">
        <v>39</v>
      </c>
      <c r="S218" s="70">
        <v>45</v>
      </c>
      <c r="T218" s="70" t="s">
        <v>40</v>
      </c>
    </row>
    <row r="219" spans="15:20" ht="18" hidden="1" customHeight="1" x14ac:dyDescent="0.35">
      <c r="O219" s="70" t="s">
        <v>570</v>
      </c>
      <c r="P219" s="70" t="s">
        <v>571</v>
      </c>
      <c r="Q219" s="70" t="s">
        <v>572</v>
      </c>
      <c r="R219" s="70" t="s">
        <v>39</v>
      </c>
      <c r="S219" s="70">
        <v>38</v>
      </c>
      <c r="T219" s="70" t="s">
        <v>40</v>
      </c>
    </row>
    <row r="220" spans="15:20" ht="18" hidden="1" customHeight="1" x14ac:dyDescent="0.35">
      <c r="O220" s="70" t="s">
        <v>573</v>
      </c>
      <c r="P220" s="70" t="s">
        <v>574</v>
      </c>
      <c r="Q220" s="70" t="s">
        <v>575</v>
      </c>
      <c r="R220" s="70" t="s">
        <v>39</v>
      </c>
      <c r="S220" s="70">
        <v>37</v>
      </c>
      <c r="T220" s="70" t="s">
        <v>40</v>
      </c>
    </row>
    <row r="221" spans="15:20" ht="18" hidden="1" customHeight="1" x14ac:dyDescent="0.35">
      <c r="O221" s="70" t="s">
        <v>576</v>
      </c>
      <c r="P221" s="70" t="s">
        <v>577</v>
      </c>
      <c r="Q221" s="70" t="s">
        <v>578</v>
      </c>
      <c r="R221" s="70" t="s">
        <v>44</v>
      </c>
      <c r="S221" s="70">
        <v>80</v>
      </c>
      <c r="T221" s="70" t="s">
        <v>36</v>
      </c>
    </row>
    <row r="222" spans="15:20" ht="18" hidden="1" customHeight="1" x14ac:dyDescent="0.35">
      <c r="O222" s="70" t="s">
        <v>579</v>
      </c>
      <c r="P222" s="70" t="s">
        <v>580</v>
      </c>
      <c r="Q222" s="70" t="s">
        <v>581</v>
      </c>
      <c r="R222" s="70" t="s">
        <v>39</v>
      </c>
      <c r="S222" s="70">
        <v>42</v>
      </c>
      <c r="T222" s="70" t="s">
        <v>40</v>
      </c>
    </row>
    <row r="223" spans="15:20" ht="18" hidden="1" customHeight="1" x14ac:dyDescent="0.35">
      <c r="O223" s="70" t="s">
        <v>582</v>
      </c>
      <c r="P223" s="70" t="s">
        <v>583</v>
      </c>
      <c r="Q223" s="70" t="s">
        <v>584</v>
      </c>
      <c r="R223" s="70" t="s">
        <v>39</v>
      </c>
      <c r="S223" s="70">
        <v>47</v>
      </c>
      <c r="T223" s="70" t="s">
        <v>40</v>
      </c>
    </row>
    <row r="224" spans="15:20" ht="18" hidden="1" customHeight="1" x14ac:dyDescent="0.35">
      <c r="O224" s="70" t="s">
        <v>585</v>
      </c>
      <c r="P224" s="70" t="s">
        <v>586</v>
      </c>
      <c r="Q224" s="70"/>
      <c r="R224" s="70" t="s">
        <v>39</v>
      </c>
      <c r="S224" s="70">
        <v>38</v>
      </c>
      <c r="T224" s="70" t="s">
        <v>40</v>
      </c>
    </row>
    <row r="225" spans="15:20" ht="18" hidden="1" customHeight="1" x14ac:dyDescent="0.35">
      <c r="O225" s="70" t="s">
        <v>587</v>
      </c>
      <c r="P225" s="70" t="s">
        <v>588</v>
      </c>
      <c r="Q225" s="70" t="s">
        <v>589</v>
      </c>
      <c r="R225" s="70" t="s">
        <v>39</v>
      </c>
      <c r="S225" s="70">
        <v>46</v>
      </c>
      <c r="T225" s="70" t="s">
        <v>40</v>
      </c>
    </row>
    <row r="226" spans="15:20" ht="18" hidden="1" customHeight="1" x14ac:dyDescent="0.35">
      <c r="O226" s="70" t="s">
        <v>590</v>
      </c>
      <c r="P226" s="70" t="s">
        <v>591</v>
      </c>
      <c r="Q226" s="70" t="s">
        <v>592</v>
      </c>
      <c r="R226" s="70" t="s">
        <v>39</v>
      </c>
      <c r="S226" s="70">
        <v>44</v>
      </c>
      <c r="T226" s="70" t="s">
        <v>40</v>
      </c>
    </row>
    <row r="227" spans="15:20" ht="18" hidden="1" customHeight="1" x14ac:dyDescent="0.35">
      <c r="O227" s="70" t="s">
        <v>593</v>
      </c>
      <c r="P227" s="70" t="s">
        <v>594</v>
      </c>
      <c r="Q227" s="70" t="s">
        <v>595</v>
      </c>
      <c r="R227" s="70" t="s">
        <v>39</v>
      </c>
      <c r="S227" s="70">
        <v>44</v>
      </c>
      <c r="T227" s="70" t="s">
        <v>40</v>
      </c>
    </row>
    <row r="228" spans="15:20" ht="18" hidden="1" customHeight="1" x14ac:dyDescent="0.35">
      <c r="O228" s="70" t="s">
        <v>596</v>
      </c>
      <c r="P228" s="70" t="s">
        <v>597</v>
      </c>
      <c r="Q228" s="70" t="s">
        <v>598</v>
      </c>
      <c r="R228" s="70" t="s">
        <v>39</v>
      </c>
      <c r="S228" s="70">
        <v>47</v>
      </c>
      <c r="T228" s="70" t="s">
        <v>40</v>
      </c>
    </row>
    <row r="229" spans="15:20" ht="18" hidden="1" customHeight="1" x14ac:dyDescent="0.35">
      <c r="O229" s="70" t="s">
        <v>599</v>
      </c>
      <c r="P229" s="70" t="s">
        <v>600</v>
      </c>
      <c r="Q229" s="70" t="s">
        <v>601</v>
      </c>
      <c r="R229" s="70" t="s">
        <v>39</v>
      </c>
      <c r="S229" s="70">
        <v>54</v>
      </c>
      <c r="T229" s="70" t="s">
        <v>40</v>
      </c>
    </row>
    <row r="230" spans="15:20" ht="18" hidden="1" customHeight="1" x14ac:dyDescent="0.35">
      <c r="O230" s="70" t="s">
        <v>602</v>
      </c>
      <c r="P230" s="70" t="s">
        <v>603</v>
      </c>
      <c r="Q230" s="70" t="s">
        <v>604</v>
      </c>
      <c r="R230" s="70" t="s">
        <v>39</v>
      </c>
      <c r="S230" s="70">
        <v>52</v>
      </c>
      <c r="T230" s="70" t="s">
        <v>40</v>
      </c>
    </row>
    <row r="231" spans="15:20" ht="18" hidden="1" customHeight="1" x14ac:dyDescent="0.35">
      <c r="O231" s="70" t="s">
        <v>605</v>
      </c>
      <c r="P231" s="70" t="s">
        <v>606</v>
      </c>
      <c r="Q231" s="70" t="s">
        <v>607</v>
      </c>
      <c r="R231" s="70" t="s">
        <v>36</v>
      </c>
      <c r="S231" s="70">
        <v>100</v>
      </c>
      <c r="T231" s="70" t="s">
        <v>36</v>
      </c>
    </row>
    <row r="232" spans="15:20" ht="18" hidden="1" customHeight="1" x14ac:dyDescent="0.35">
      <c r="O232" s="70" t="s">
        <v>608</v>
      </c>
      <c r="P232" s="70" t="s">
        <v>609</v>
      </c>
      <c r="Q232" s="70" t="s">
        <v>610</v>
      </c>
      <c r="R232" s="70" t="s">
        <v>39</v>
      </c>
      <c r="S232" s="70">
        <v>52</v>
      </c>
      <c r="T232" s="70" t="s">
        <v>40</v>
      </c>
    </row>
    <row r="233" spans="15:20" ht="18" hidden="1" customHeight="1" x14ac:dyDescent="0.35">
      <c r="O233" s="70" t="s">
        <v>611</v>
      </c>
      <c r="P233" s="70" t="s">
        <v>612</v>
      </c>
      <c r="Q233" s="70" t="s">
        <v>613</v>
      </c>
      <c r="R233" s="70" t="s">
        <v>44</v>
      </c>
      <c r="S233" s="70">
        <v>64</v>
      </c>
      <c r="T233" s="70" t="s">
        <v>44</v>
      </c>
    </row>
    <row r="234" spans="15:20" ht="18" hidden="1" customHeight="1" x14ac:dyDescent="0.35">
      <c r="O234" s="70" t="s">
        <v>614</v>
      </c>
      <c r="P234" s="70" t="s">
        <v>615</v>
      </c>
      <c r="Q234" s="70" t="s">
        <v>616</v>
      </c>
      <c r="R234" s="70" t="s">
        <v>62</v>
      </c>
      <c r="S234" s="70">
        <v>26</v>
      </c>
      <c r="T234" s="70" t="s">
        <v>40</v>
      </c>
    </row>
    <row r="235" spans="15:20" ht="18" hidden="1" customHeight="1" x14ac:dyDescent="0.35">
      <c r="O235" s="70" t="s">
        <v>617</v>
      </c>
      <c r="P235" s="70" t="s">
        <v>618</v>
      </c>
      <c r="Q235" s="70" t="s">
        <v>619</v>
      </c>
      <c r="R235" s="70" t="s">
        <v>39</v>
      </c>
      <c r="S235" s="70">
        <v>45</v>
      </c>
      <c r="T235" s="70" t="s">
        <v>40</v>
      </c>
    </row>
    <row r="236" spans="15:20" ht="18" hidden="1" customHeight="1" x14ac:dyDescent="0.35">
      <c r="O236" s="70" t="s">
        <v>620</v>
      </c>
      <c r="P236" s="70" t="s">
        <v>621</v>
      </c>
      <c r="Q236" s="70" t="s">
        <v>622</v>
      </c>
      <c r="R236" s="70" t="s">
        <v>39</v>
      </c>
      <c r="S236" s="70">
        <v>39</v>
      </c>
      <c r="T236" s="70" t="s">
        <v>40</v>
      </c>
    </row>
    <row r="237" spans="15:20" ht="18" hidden="1" customHeight="1" x14ac:dyDescent="0.35">
      <c r="O237" s="70" t="s">
        <v>623</v>
      </c>
      <c r="P237" s="70" t="s">
        <v>624</v>
      </c>
      <c r="Q237" s="70" t="s">
        <v>625</v>
      </c>
      <c r="R237" s="70" t="s">
        <v>39</v>
      </c>
      <c r="S237" s="70">
        <v>43</v>
      </c>
      <c r="T237" s="70" t="s">
        <v>40</v>
      </c>
    </row>
    <row r="238" spans="15:20" ht="18" hidden="1" customHeight="1" x14ac:dyDescent="0.35">
      <c r="O238" s="70" t="s">
        <v>626</v>
      </c>
      <c r="P238" s="70" t="s">
        <v>627</v>
      </c>
      <c r="Q238" s="70" t="s">
        <v>628</v>
      </c>
      <c r="R238" s="70" t="s">
        <v>44</v>
      </c>
      <c r="S238" s="70">
        <v>80</v>
      </c>
      <c r="T238" s="70" t="s">
        <v>44</v>
      </c>
    </row>
    <row r="239" spans="15:20" ht="18" hidden="1" customHeight="1" x14ac:dyDescent="0.35">
      <c r="O239" s="70" t="s">
        <v>629</v>
      </c>
      <c r="P239" s="70" t="s">
        <v>630</v>
      </c>
      <c r="Q239" s="70" t="s">
        <v>631</v>
      </c>
      <c r="R239" s="70" t="s">
        <v>36</v>
      </c>
      <c r="S239" s="70">
        <v>100</v>
      </c>
      <c r="T239" s="70" t="s">
        <v>36</v>
      </c>
    </row>
    <row r="240" spans="15:20" ht="18" hidden="1" customHeight="1" x14ac:dyDescent="0.35">
      <c r="O240" s="70" t="s">
        <v>632</v>
      </c>
      <c r="P240" s="70" t="s">
        <v>633</v>
      </c>
      <c r="Q240" s="70" t="s">
        <v>634</v>
      </c>
      <c r="R240" s="70" t="s">
        <v>44</v>
      </c>
      <c r="S240" s="70">
        <v>63</v>
      </c>
      <c r="T240" s="70" t="s">
        <v>44</v>
      </c>
    </row>
    <row r="241" spans="15:20" ht="18" hidden="1" customHeight="1" x14ac:dyDescent="0.35">
      <c r="O241" s="70" t="s">
        <v>635</v>
      </c>
      <c r="P241" s="70" t="s">
        <v>636</v>
      </c>
      <c r="Q241" s="70" t="s">
        <v>637</v>
      </c>
      <c r="R241" s="70" t="s">
        <v>36</v>
      </c>
      <c r="S241" s="70">
        <v>100</v>
      </c>
      <c r="T241" s="70" t="s">
        <v>36</v>
      </c>
    </row>
    <row r="242" spans="15:20" ht="18" hidden="1" customHeight="1" x14ac:dyDescent="0.35">
      <c r="O242" s="70" t="s">
        <v>638</v>
      </c>
      <c r="P242" s="70" t="s">
        <v>639</v>
      </c>
      <c r="Q242" s="70" t="s">
        <v>640</v>
      </c>
      <c r="R242" s="70" t="s">
        <v>39</v>
      </c>
      <c r="S242" s="70">
        <v>60</v>
      </c>
      <c r="T242" s="70" t="s">
        <v>40</v>
      </c>
    </row>
    <row r="243" spans="15:20" ht="18" hidden="1" customHeight="1" x14ac:dyDescent="0.35">
      <c r="O243" s="70" t="s">
        <v>641</v>
      </c>
      <c r="P243" s="70" t="s">
        <v>642</v>
      </c>
      <c r="Q243" s="70" t="s">
        <v>643</v>
      </c>
      <c r="R243" s="70" t="s">
        <v>44</v>
      </c>
      <c r="S243" s="70">
        <v>80</v>
      </c>
      <c r="T243" s="70" t="s">
        <v>44</v>
      </c>
    </row>
    <row r="244" spans="15:20" ht="18" hidden="1" customHeight="1" x14ac:dyDescent="0.35">
      <c r="O244" s="70" t="s">
        <v>644</v>
      </c>
      <c r="P244" s="70" t="s">
        <v>645</v>
      </c>
      <c r="Q244" s="70" t="s">
        <v>646</v>
      </c>
      <c r="R244" s="70" t="s">
        <v>62</v>
      </c>
      <c r="S244" s="70">
        <v>30</v>
      </c>
      <c r="T244" s="70" t="s">
        <v>40</v>
      </c>
    </row>
    <row r="245" spans="15:20" ht="18" hidden="1" customHeight="1" x14ac:dyDescent="0.35">
      <c r="O245" s="70" t="s">
        <v>647</v>
      </c>
      <c r="P245" s="70" t="s">
        <v>648</v>
      </c>
      <c r="Q245" s="70" t="s">
        <v>649</v>
      </c>
      <c r="R245" s="70" t="s">
        <v>39</v>
      </c>
      <c r="S245" s="70">
        <v>44</v>
      </c>
      <c r="T245" s="70" t="s">
        <v>40</v>
      </c>
    </row>
    <row r="246" spans="15:20" ht="18" hidden="1" customHeight="1" x14ac:dyDescent="0.35">
      <c r="O246" s="70" t="s">
        <v>650</v>
      </c>
      <c r="P246" s="70" t="s">
        <v>651</v>
      </c>
      <c r="Q246" s="70" t="s">
        <v>652</v>
      </c>
      <c r="R246" s="70" t="s">
        <v>39</v>
      </c>
      <c r="S246" s="70">
        <v>44</v>
      </c>
      <c r="T246" s="70" t="s">
        <v>40</v>
      </c>
    </row>
    <row r="247" spans="15:20" ht="18" hidden="1" customHeight="1" x14ac:dyDescent="0.35">
      <c r="O247" s="70" t="s">
        <v>653</v>
      </c>
      <c r="P247" s="70" t="s">
        <v>654</v>
      </c>
      <c r="Q247" s="70" t="s">
        <v>655</v>
      </c>
      <c r="R247" s="70" t="s">
        <v>39</v>
      </c>
      <c r="S247" s="70">
        <v>42</v>
      </c>
      <c r="T247" s="70" t="s">
        <v>40</v>
      </c>
    </row>
    <row r="248" spans="15:20" ht="18" hidden="1" customHeight="1" x14ac:dyDescent="0.35">
      <c r="O248" s="70" t="s">
        <v>656</v>
      </c>
      <c r="P248" s="70" t="s">
        <v>657</v>
      </c>
      <c r="Q248" s="70" t="s">
        <v>658</v>
      </c>
      <c r="R248" s="70" t="s">
        <v>39</v>
      </c>
      <c r="S248" s="70">
        <v>45</v>
      </c>
      <c r="T248" s="70" t="s">
        <v>40</v>
      </c>
    </row>
    <row r="249" spans="15:20" ht="18" hidden="1" customHeight="1" x14ac:dyDescent="0.35">
      <c r="O249" s="70" t="s">
        <v>659</v>
      </c>
      <c r="P249" s="70" t="s">
        <v>660</v>
      </c>
      <c r="Q249" s="70" t="s">
        <v>661</v>
      </c>
      <c r="R249" s="70" t="s">
        <v>44</v>
      </c>
      <c r="S249" s="70">
        <v>74</v>
      </c>
      <c r="T249" s="70" t="s">
        <v>44</v>
      </c>
    </row>
    <row r="250" spans="15:20" ht="18" hidden="1" customHeight="1" x14ac:dyDescent="0.35">
      <c r="O250" s="70" t="s">
        <v>662</v>
      </c>
      <c r="P250" s="70" t="s">
        <v>663</v>
      </c>
      <c r="Q250" s="70" t="s">
        <v>664</v>
      </c>
      <c r="R250" s="70" t="s">
        <v>36</v>
      </c>
      <c r="S250" s="70">
        <v>100</v>
      </c>
      <c r="T250" s="70" t="s">
        <v>36</v>
      </c>
    </row>
    <row r="251" spans="15:20" ht="18" hidden="1" customHeight="1" x14ac:dyDescent="0.35">
      <c r="O251" s="70" t="s">
        <v>665</v>
      </c>
      <c r="P251" s="70" t="s">
        <v>666</v>
      </c>
      <c r="Q251" s="70" t="s">
        <v>667</v>
      </c>
      <c r="R251" s="70" t="s">
        <v>39</v>
      </c>
      <c r="S251" s="70">
        <v>53</v>
      </c>
      <c r="T251" s="70" t="s">
        <v>40</v>
      </c>
    </row>
    <row r="252" spans="15:20" ht="18" hidden="1" customHeight="1" x14ac:dyDescent="0.35">
      <c r="O252" s="70" t="s">
        <v>668</v>
      </c>
      <c r="P252" s="70" t="s">
        <v>669</v>
      </c>
      <c r="Q252" s="70" t="s">
        <v>670</v>
      </c>
      <c r="R252" s="70" t="s">
        <v>39</v>
      </c>
      <c r="S252" s="70">
        <v>41</v>
      </c>
      <c r="T252" s="70" t="s">
        <v>40</v>
      </c>
    </row>
    <row r="253" spans="15:20" ht="18" hidden="1" customHeight="1" x14ac:dyDescent="0.35">
      <c r="O253" s="70" t="s">
        <v>671</v>
      </c>
      <c r="P253" s="70" t="s">
        <v>672</v>
      </c>
      <c r="Q253" s="70" t="s">
        <v>673</v>
      </c>
      <c r="R253" s="70" t="s">
        <v>39</v>
      </c>
      <c r="S253" s="70">
        <v>47</v>
      </c>
      <c r="T253" s="70" t="s">
        <v>40</v>
      </c>
    </row>
    <row r="254" spans="15:20" ht="18" hidden="1" customHeight="1" x14ac:dyDescent="0.35">
      <c r="O254" s="70" t="s">
        <v>674</v>
      </c>
      <c r="P254" s="70" t="s">
        <v>675</v>
      </c>
      <c r="Q254" s="70" t="s">
        <v>676</v>
      </c>
      <c r="R254" s="70" t="s">
        <v>62</v>
      </c>
      <c r="S254" s="70">
        <v>29</v>
      </c>
      <c r="T254" s="70" t="s">
        <v>40</v>
      </c>
    </row>
    <row r="255" spans="15:20" ht="18" hidden="1" customHeight="1" x14ac:dyDescent="0.35">
      <c r="O255" s="70" t="s">
        <v>677</v>
      </c>
      <c r="P255" s="70" t="s">
        <v>678</v>
      </c>
      <c r="Q255" s="70" t="s">
        <v>679</v>
      </c>
      <c r="R255" s="70" t="s">
        <v>62</v>
      </c>
      <c r="S255" s="70">
        <v>30</v>
      </c>
      <c r="T255" s="70" t="s">
        <v>40</v>
      </c>
    </row>
    <row r="256" spans="15:20" ht="18" hidden="1" customHeight="1" x14ac:dyDescent="0.35">
      <c r="O256" s="70" t="s">
        <v>680</v>
      </c>
      <c r="P256" s="70" t="s">
        <v>681</v>
      </c>
      <c r="Q256" s="70" t="s">
        <v>682</v>
      </c>
      <c r="R256" s="70" t="s">
        <v>36</v>
      </c>
      <c r="S256" s="70">
        <v>100</v>
      </c>
      <c r="T256" s="70" t="s">
        <v>36</v>
      </c>
    </row>
    <row r="257" spans="15:20" ht="18" hidden="1" customHeight="1" x14ac:dyDescent="0.35">
      <c r="O257" s="70" t="s">
        <v>683</v>
      </c>
      <c r="P257" s="70" t="s">
        <v>684</v>
      </c>
      <c r="Q257" s="70" t="s">
        <v>685</v>
      </c>
      <c r="R257" s="70" t="s">
        <v>39</v>
      </c>
      <c r="S257" s="70">
        <v>46</v>
      </c>
      <c r="T257" s="70" t="s">
        <v>40</v>
      </c>
    </row>
    <row r="258" spans="15:20" ht="18" hidden="1" customHeight="1" x14ac:dyDescent="0.35">
      <c r="O258" s="70" t="s">
        <v>686</v>
      </c>
      <c r="P258" s="70" t="s">
        <v>687</v>
      </c>
      <c r="Q258" s="70" t="s">
        <v>688</v>
      </c>
      <c r="R258" s="70" t="s">
        <v>44</v>
      </c>
      <c r="S258" s="70">
        <v>65</v>
      </c>
      <c r="T258" s="70" t="s">
        <v>44</v>
      </c>
    </row>
    <row r="259" spans="15:20" ht="18" hidden="1" customHeight="1" x14ac:dyDescent="0.35">
      <c r="O259" s="70" t="s">
        <v>689</v>
      </c>
      <c r="P259" s="70" t="s">
        <v>690</v>
      </c>
      <c r="Q259" s="70" t="s">
        <v>691</v>
      </c>
      <c r="R259" s="70" t="s">
        <v>39</v>
      </c>
      <c r="S259" s="70">
        <v>54</v>
      </c>
      <c r="T259" s="70" t="s">
        <v>44</v>
      </c>
    </row>
    <row r="260" spans="15:20" ht="18" hidden="1" customHeight="1" x14ac:dyDescent="0.35">
      <c r="O260" s="70" t="s">
        <v>692</v>
      </c>
      <c r="P260" s="70" t="s">
        <v>693</v>
      </c>
      <c r="Q260" s="70" t="s">
        <v>694</v>
      </c>
      <c r="R260" s="70" t="s">
        <v>39</v>
      </c>
      <c r="S260" s="70">
        <v>49</v>
      </c>
      <c r="T260" s="70" t="s">
        <v>40</v>
      </c>
    </row>
    <row r="261" spans="15:20" ht="18" hidden="1" customHeight="1" x14ac:dyDescent="0.35">
      <c r="O261" s="70" t="s">
        <v>695</v>
      </c>
      <c r="P261" s="70" t="s">
        <v>696</v>
      </c>
      <c r="Q261" s="70" t="s">
        <v>697</v>
      </c>
      <c r="R261" s="70" t="s">
        <v>44</v>
      </c>
      <c r="S261" s="70">
        <v>67</v>
      </c>
      <c r="T261" s="70" t="s">
        <v>44</v>
      </c>
    </row>
    <row r="262" spans="15:20" ht="18" hidden="1" customHeight="1" x14ac:dyDescent="0.35">
      <c r="O262" s="70" t="s">
        <v>698</v>
      </c>
      <c r="P262" s="70" t="s">
        <v>699</v>
      </c>
      <c r="Q262" s="70" t="s">
        <v>700</v>
      </c>
      <c r="R262" s="70" t="s">
        <v>39</v>
      </c>
      <c r="S262" s="70">
        <v>48</v>
      </c>
      <c r="T262" s="70" t="s">
        <v>40</v>
      </c>
    </row>
    <row r="263" spans="15:20" ht="18" hidden="1" customHeight="1" x14ac:dyDescent="0.35">
      <c r="O263" s="70" t="s">
        <v>701</v>
      </c>
      <c r="P263" s="70" t="s">
        <v>702</v>
      </c>
      <c r="Q263" s="70" t="s">
        <v>703</v>
      </c>
      <c r="R263" s="70" t="s">
        <v>62</v>
      </c>
      <c r="S263" s="70">
        <v>30</v>
      </c>
      <c r="T263" s="70" t="s">
        <v>36</v>
      </c>
    </row>
    <row r="264" spans="15:20" ht="18" hidden="1" customHeight="1" x14ac:dyDescent="0.35">
      <c r="O264" s="70" t="s">
        <v>704</v>
      </c>
      <c r="P264" s="70" t="s">
        <v>705</v>
      </c>
      <c r="Q264" s="70" t="s">
        <v>706</v>
      </c>
      <c r="R264" s="70" t="s">
        <v>39</v>
      </c>
      <c r="S264" s="70">
        <v>46</v>
      </c>
      <c r="T264" s="70" t="s">
        <v>40</v>
      </c>
    </row>
    <row r="265" spans="15:20" ht="18" hidden="1" customHeight="1" x14ac:dyDescent="0.35">
      <c r="O265" s="70" t="s">
        <v>707</v>
      </c>
      <c r="P265" s="70" t="s">
        <v>708</v>
      </c>
      <c r="Q265" s="70" t="s">
        <v>709</v>
      </c>
      <c r="R265" s="70" t="s">
        <v>44</v>
      </c>
      <c r="S265" s="70">
        <v>61</v>
      </c>
      <c r="T265" s="70" t="s">
        <v>44</v>
      </c>
    </row>
    <row r="266" spans="15:20" ht="18" hidden="1" customHeight="1" x14ac:dyDescent="0.35">
      <c r="O266" s="70" t="s">
        <v>710</v>
      </c>
      <c r="P266" s="70" t="s">
        <v>711</v>
      </c>
      <c r="Q266" s="70" t="s">
        <v>712</v>
      </c>
      <c r="R266" s="70" t="s">
        <v>44</v>
      </c>
      <c r="S266" s="70">
        <v>80</v>
      </c>
      <c r="T266" s="70" t="s">
        <v>44</v>
      </c>
    </row>
    <row r="267" spans="15:20" ht="18" hidden="1" customHeight="1" x14ac:dyDescent="0.35">
      <c r="O267" s="70" t="s">
        <v>713</v>
      </c>
      <c r="P267" s="70" t="s">
        <v>714</v>
      </c>
      <c r="Q267" s="70" t="s">
        <v>715</v>
      </c>
      <c r="R267" s="70" t="s">
        <v>44</v>
      </c>
      <c r="S267" s="70">
        <v>61</v>
      </c>
      <c r="T267" s="70" t="s">
        <v>44</v>
      </c>
    </row>
    <row r="268" spans="15:20" ht="18" hidden="1" customHeight="1" x14ac:dyDescent="0.35">
      <c r="O268" s="70" t="s">
        <v>716</v>
      </c>
      <c r="P268" s="70" t="s">
        <v>717</v>
      </c>
      <c r="Q268" s="70" t="s">
        <v>718</v>
      </c>
      <c r="R268" s="70" t="s">
        <v>44</v>
      </c>
      <c r="S268" s="70">
        <v>65</v>
      </c>
      <c r="T268" s="70" t="s">
        <v>44</v>
      </c>
    </row>
    <row r="269" spans="15:20" ht="18" hidden="1" customHeight="1" x14ac:dyDescent="0.35">
      <c r="O269" s="70" t="s">
        <v>719</v>
      </c>
      <c r="P269" s="70" t="s">
        <v>720</v>
      </c>
      <c r="Q269" s="70" t="s">
        <v>721</v>
      </c>
      <c r="R269" s="70" t="s">
        <v>39</v>
      </c>
      <c r="S269" s="70">
        <v>43</v>
      </c>
      <c r="T269" s="70" t="s">
        <v>40</v>
      </c>
    </row>
    <row r="270" spans="15:20" ht="18" hidden="1" customHeight="1" x14ac:dyDescent="0.35">
      <c r="O270" s="70" t="s">
        <v>722</v>
      </c>
      <c r="P270" s="70" t="s">
        <v>723</v>
      </c>
      <c r="Q270" s="70" t="s">
        <v>724</v>
      </c>
      <c r="R270" s="70" t="s">
        <v>39</v>
      </c>
      <c r="S270" s="70">
        <v>38</v>
      </c>
      <c r="T270" s="70" t="s">
        <v>40</v>
      </c>
    </row>
    <row r="271" spans="15:20" ht="18" hidden="1" customHeight="1" x14ac:dyDescent="0.35">
      <c r="O271" s="70" t="s">
        <v>725</v>
      </c>
      <c r="P271" s="70" t="s">
        <v>726</v>
      </c>
      <c r="Q271" s="70" t="s">
        <v>727</v>
      </c>
      <c r="R271" s="70" t="s">
        <v>39</v>
      </c>
      <c r="S271" s="70">
        <v>60</v>
      </c>
      <c r="T271" s="70" t="s">
        <v>44</v>
      </c>
    </row>
    <row r="272" spans="15:20" ht="18" hidden="1" customHeight="1" x14ac:dyDescent="0.35">
      <c r="O272" s="70" t="s">
        <v>728</v>
      </c>
      <c r="P272" s="70" t="s">
        <v>729</v>
      </c>
      <c r="Q272" s="70" t="s">
        <v>730</v>
      </c>
      <c r="R272" s="70" t="s">
        <v>44</v>
      </c>
      <c r="S272" s="70">
        <v>80</v>
      </c>
      <c r="T272" s="70" t="s">
        <v>44</v>
      </c>
    </row>
    <row r="273" spans="15:20" ht="18" hidden="1" customHeight="1" x14ac:dyDescent="0.35">
      <c r="O273" s="70" t="s">
        <v>731</v>
      </c>
      <c r="P273" s="70" t="s">
        <v>732</v>
      </c>
      <c r="Q273" s="70" t="s">
        <v>733</v>
      </c>
      <c r="R273" s="70" t="s">
        <v>36</v>
      </c>
      <c r="S273" s="70">
        <v>100</v>
      </c>
      <c r="T273" s="70" t="s">
        <v>36</v>
      </c>
    </row>
    <row r="274" spans="15:20" ht="18" hidden="1" customHeight="1" x14ac:dyDescent="0.35">
      <c r="O274" s="70" t="s">
        <v>734</v>
      </c>
      <c r="P274" s="70" t="s">
        <v>735</v>
      </c>
      <c r="Q274" s="70" t="s">
        <v>736</v>
      </c>
      <c r="R274" s="70" t="s">
        <v>62</v>
      </c>
      <c r="S274" s="70">
        <v>28</v>
      </c>
      <c r="T274" s="70" t="s">
        <v>40</v>
      </c>
    </row>
    <row r="275" spans="15:20" ht="18" hidden="1" customHeight="1" x14ac:dyDescent="0.35">
      <c r="O275" s="70" t="s">
        <v>737</v>
      </c>
      <c r="P275" s="70" t="s">
        <v>738</v>
      </c>
      <c r="Q275" s="70"/>
      <c r="R275" s="70" t="s">
        <v>44</v>
      </c>
      <c r="S275" s="70">
        <v>100</v>
      </c>
      <c r="T275" s="70" t="s">
        <v>40</v>
      </c>
    </row>
    <row r="276" spans="15:20" ht="18" hidden="1" customHeight="1" x14ac:dyDescent="0.35">
      <c r="O276" s="70" t="s">
        <v>739</v>
      </c>
      <c r="P276" s="70" t="s">
        <v>740</v>
      </c>
      <c r="Q276" s="70" t="s">
        <v>741</v>
      </c>
      <c r="R276" s="70" t="s">
        <v>39</v>
      </c>
      <c r="S276" s="70">
        <v>47</v>
      </c>
      <c r="T276" s="70" t="s">
        <v>40</v>
      </c>
    </row>
    <row r="277" spans="15:20" ht="18" hidden="1" customHeight="1" x14ac:dyDescent="0.35">
      <c r="O277" s="70" t="s">
        <v>742</v>
      </c>
      <c r="P277" s="70" t="s">
        <v>743</v>
      </c>
      <c r="Q277" s="70" t="s">
        <v>744</v>
      </c>
      <c r="R277" s="70" t="s">
        <v>39</v>
      </c>
      <c r="S277" s="70">
        <v>43</v>
      </c>
      <c r="T277" s="70" t="s">
        <v>40</v>
      </c>
    </row>
    <row r="278" spans="15:20" ht="18" hidden="1" customHeight="1" x14ac:dyDescent="0.35">
      <c r="O278" s="70" t="s">
        <v>745</v>
      </c>
      <c r="P278" s="70" t="s">
        <v>746</v>
      </c>
      <c r="Q278" s="70" t="s">
        <v>745</v>
      </c>
      <c r="R278" s="70" t="s">
        <v>62</v>
      </c>
      <c r="S278" s="70">
        <v>30</v>
      </c>
      <c r="T278" s="70" t="s">
        <v>40</v>
      </c>
    </row>
    <row r="279" spans="15:20" ht="18" hidden="1" customHeight="1" x14ac:dyDescent="0.35">
      <c r="O279" s="70" t="s">
        <v>747</v>
      </c>
      <c r="P279" s="70" t="s">
        <v>748</v>
      </c>
      <c r="Q279" s="70" t="s">
        <v>749</v>
      </c>
      <c r="R279" s="70" t="s">
        <v>44</v>
      </c>
      <c r="S279" s="70">
        <v>67</v>
      </c>
      <c r="T279" s="70" t="s">
        <v>44</v>
      </c>
    </row>
    <row r="280" spans="15:20" ht="18" hidden="1" customHeight="1" x14ac:dyDescent="0.35">
      <c r="O280" s="70" t="s">
        <v>750</v>
      </c>
      <c r="P280" s="70" t="s">
        <v>751</v>
      </c>
      <c r="Q280" s="70" t="s">
        <v>752</v>
      </c>
      <c r="R280" s="70" t="s">
        <v>39</v>
      </c>
      <c r="S280" s="70">
        <v>52</v>
      </c>
      <c r="T280" s="70" t="s">
        <v>40</v>
      </c>
    </row>
    <row r="281" spans="15:20" ht="18" hidden="1" customHeight="1" x14ac:dyDescent="0.35">
      <c r="O281" s="70" t="s">
        <v>753</v>
      </c>
      <c r="P281" s="70" t="s">
        <v>754</v>
      </c>
      <c r="Q281" s="70"/>
      <c r="R281" s="70" t="s">
        <v>62</v>
      </c>
      <c r="S281" s="70">
        <v>29</v>
      </c>
      <c r="T281" s="70" t="s">
        <v>40</v>
      </c>
    </row>
    <row r="282" spans="15:20" ht="18" hidden="1" customHeight="1" x14ac:dyDescent="0.35">
      <c r="O282" s="70" t="s">
        <v>755</v>
      </c>
      <c r="P282" s="70" t="s">
        <v>756</v>
      </c>
      <c r="Q282" s="70" t="s">
        <v>757</v>
      </c>
      <c r="R282" s="70" t="s">
        <v>44</v>
      </c>
      <c r="S282" s="70">
        <v>80</v>
      </c>
      <c r="T282" s="70" t="s">
        <v>44</v>
      </c>
    </row>
    <row r="283" spans="15:20" ht="18" hidden="1" customHeight="1" x14ac:dyDescent="0.35">
      <c r="O283" s="70" t="s">
        <v>758</v>
      </c>
      <c r="P283" s="70" t="s">
        <v>759</v>
      </c>
      <c r="Q283" s="70" t="s">
        <v>760</v>
      </c>
      <c r="R283" s="70" t="s">
        <v>39</v>
      </c>
      <c r="S283" s="70">
        <v>48</v>
      </c>
      <c r="T283" s="70" t="s">
        <v>40</v>
      </c>
    </row>
    <row r="284" spans="15:20" ht="18" hidden="1" customHeight="1" x14ac:dyDescent="0.35">
      <c r="O284" s="70" t="s">
        <v>761</v>
      </c>
      <c r="P284" s="70" t="s">
        <v>762</v>
      </c>
      <c r="Q284" s="70" t="s">
        <v>763</v>
      </c>
      <c r="R284" s="70" t="s">
        <v>39</v>
      </c>
      <c r="S284" s="70">
        <v>60</v>
      </c>
      <c r="T284" s="70" t="s">
        <v>44</v>
      </c>
    </row>
    <row r="285" spans="15:20" ht="18" hidden="1" customHeight="1" x14ac:dyDescent="0.35">
      <c r="O285" s="70" t="s">
        <v>764</v>
      </c>
      <c r="P285" s="70" t="s">
        <v>765</v>
      </c>
      <c r="Q285" s="70" t="s">
        <v>766</v>
      </c>
      <c r="R285" s="70" t="s">
        <v>39</v>
      </c>
      <c r="S285" s="70">
        <v>54</v>
      </c>
      <c r="T285" s="70" t="s">
        <v>40</v>
      </c>
    </row>
    <row r="286" spans="15:20" ht="18" hidden="1" customHeight="1" x14ac:dyDescent="0.35">
      <c r="O286" s="70" t="s">
        <v>767</v>
      </c>
      <c r="P286" s="70" t="s">
        <v>768</v>
      </c>
      <c r="Q286" s="70" t="s">
        <v>769</v>
      </c>
      <c r="R286" s="70" t="s">
        <v>39</v>
      </c>
      <c r="S286" s="70">
        <v>60</v>
      </c>
      <c r="T286" s="70" t="s">
        <v>36</v>
      </c>
    </row>
    <row r="287" spans="15:20" ht="18" hidden="1" customHeight="1" x14ac:dyDescent="0.35">
      <c r="O287" s="70" t="s">
        <v>770</v>
      </c>
      <c r="P287" s="70" t="s">
        <v>771</v>
      </c>
      <c r="Q287" s="70" t="s">
        <v>772</v>
      </c>
      <c r="R287" s="70" t="s">
        <v>44</v>
      </c>
      <c r="S287" s="70">
        <v>64</v>
      </c>
      <c r="T287" s="70" t="s">
        <v>44</v>
      </c>
    </row>
    <row r="288" spans="15:20" ht="18" hidden="1" customHeight="1" x14ac:dyDescent="0.35">
      <c r="O288" s="70" t="s">
        <v>773</v>
      </c>
      <c r="P288" s="70" t="s">
        <v>774</v>
      </c>
      <c r="Q288" s="70" t="s">
        <v>775</v>
      </c>
      <c r="R288" s="70" t="s">
        <v>36</v>
      </c>
      <c r="S288" s="70">
        <v>100</v>
      </c>
      <c r="T288" s="70" t="s">
        <v>36</v>
      </c>
    </row>
    <row r="289" spans="15:20" ht="18" hidden="1" customHeight="1" x14ac:dyDescent="0.35">
      <c r="O289" s="70" t="s">
        <v>776</v>
      </c>
      <c r="P289" s="70" t="s">
        <v>777</v>
      </c>
      <c r="Q289" s="70" t="s">
        <v>778</v>
      </c>
      <c r="R289" s="70" t="s">
        <v>39</v>
      </c>
      <c r="S289" s="70">
        <v>48</v>
      </c>
      <c r="T289" s="70" t="s">
        <v>40</v>
      </c>
    </row>
    <row r="290" spans="15:20" ht="18" hidden="1" customHeight="1" x14ac:dyDescent="0.35">
      <c r="O290" s="70" t="s">
        <v>779</v>
      </c>
      <c r="P290" s="70" t="s">
        <v>780</v>
      </c>
      <c r="Q290" s="70" t="s">
        <v>781</v>
      </c>
      <c r="R290" s="70" t="s">
        <v>44</v>
      </c>
      <c r="S290" s="70">
        <v>71</v>
      </c>
      <c r="T290" s="70" t="s">
        <v>44</v>
      </c>
    </row>
  </sheetData>
  <sheetProtection algorithmName="SHA-512" hashValue="lnVwSA89IwVQEBvpK+U3V6NPgj1Gk7mF3xmcOqezUYLjhfjWX6sdV/kbA4m9FflayuOt/lo1x+omUKHkCx9sqg==" saltValue="8d1Y5sYFR+LeqcQaa/hpmg==" spinCount="100000" sheet="1" objects="1" scenarios="1"/>
  <mergeCells count="58">
    <mergeCell ref="A4:A29"/>
    <mergeCell ref="G20:I20"/>
    <mergeCell ref="R27:S27"/>
    <mergeCell ref="G27:K27"/>
    <mergeCell ref="G17:I17"/>
    <mergeCell ref="J13:T13"/>
    <mergeCell ref="G29:I29"/>
    <mergeCell ref="G5:I5"/>
    <mergeCell ref="G4:T4"/>
    <mergeCell ref="B4:E4"/>
    <mergeCell ref="J20:S20"/>
    <mergeCell ref="L26:N26"/>
    <mergeCell ref="J9:T9"/>
    <mergeCell ref="J5:T5"/>
    <mergeCell ref="G9:I9"/>
    <mergeCell ref="G16:T16"/>
    <mergeCell ref="J7:T7"/>
    <mergeCell ref="J29:S29"/>
    <mergeCell ref="G21:I21"/>
    <mergeCell ref="J10:T10"/>
    <mergeCell ref="L27:N27"/>
    <mergeCell ref="G12:T12"/>
    <mergeCell ref="P26:Q26"/>
    <mergeCell ref="P27:Q27"/>
    <mergeCell ref="G18:I18"/>
    <mergeCell ref="J18:S18"/>
    <mergeCell ref="J23:S23"/>
    <mergeCell ref="G10:I10"/>
    <mergeCell ref="G26:K26"/>
    <mergeCell ref="G22:I22"/>
    <mergeCell ref="J19:S19"/>
    <mergeCell ref="AD14:AZ14"/>
    <mergeCell ref="B16:E16"/>
    <mergeCell ref="R26:S26"/>
    <mergeCell ref="G8:I8"/>
    <mergeCell ref="J6:T6"/>
    <mergeCell ref="G14:I14"/>
    <mergeCell ref="G23:I23"/>
    <mergeCell ref="J17:S17"/>
    <mergeCell ref="J8:T8"/>
    <mergeCell ref="G13:I13"/>
    <mergeCell ref="J22:S22"/>
    <mergeCell ref="J14:T14"/>
    <mergeCell ref="G19:I19"/>
    <mergeCell ref="J21:S21"/>
    <mergeCell ref="G7:I7"/>
    <mergeCell ref="G6:I6"/>
    <mergeCell ref="A35:T35"/>
    <mergeCell ref="G34:I34"/>
    <mergeCell ref="J34:S34"/>
    <mergeCell ref="J32:S32"/>
    <mergeCell ref="G30:I30"/>
    <mergeCell ref="J30:S30"/>
    <mergeCell ref="G31:I31"/>
    <mergeCell ref="G33:I33"/>
    <mergeCell ref="G32:I32"/>
    <mergeCell ref="J31:S31"/>
    <mergeCell ref="J33:S33"/>
  </mergeCells>
  <conditionalFormatting sqref="T27:T28">
    <cfRule type="containsText" dxfId="6" priority="4" operator="containsText" text="Low">
      <formula>NOT(ISERROR(SEARCH("Low",T27)))</formula>
    </cfRule>
    <cfRule type="containsText" dxfId="5" priority="5" operator="containsText" text="Medium">
      <formula>NOT(ISERROR(SEARCH("Medium",T27)))</formula>
    </cfRule>
    <cfRule type="containsText" dxfId="4" priority="6" operator="containsText" text="High">
      <formula>NOT(ISERROR(SEARCH("High",T27)))</formula>
    </cfRule>
    <cfRule type="containsText" dxfId="3" priority="7" operator="containsText" text="Prohibited">
      <formula>NOT(ISERROR(SEARCH("Prohibited",T27)))</formula>
    </cfRule>
  </conditionalFormatting>
  <conditionalFormatting sqref="R27:S28">
    <cfRule type="containsText" dxfId="2" priority="1" operator="containsText" text="N/A">
      <formula>NOT(ISERROR(SEARCH("N/A",R27)))</formula>
    </cfRule>
    <cfRule type="containsText" dxfId="1" priority="2" operator="containsText" text="High">
      <formula>NOT(ISERROR(SEARCH("High",R27)))</formula>
    </cfRule>
    <cfRule type="containsText" dxfId="0" priority="3" operator="containsText" text="Prohibited">
      <formula>NOT(ISERROR(SEARCH("Prohibited",R27)))</formula>
    </cfRule>
  </conditionalFormatting>
  <dataValidations count="5">
    <dataValidation type="list" allowBlank="1" showInputMessage="1" showErrorMessage="1" sqref="J5:T5" xr:uid="{00000000-0002-0000-0000-000000000000}">
      <formula1>"Escalation, Non-Escalation, RFI"</formula1>
    </dataValidation>
    <dataValidation type="list" allowBlank="1" showInputMessage="1" showErrorMessage="1" sqref="G27:K27" xr:uid="{00000000-0002-0000-0000-000001000000}">
      <formula1>$O$37:$O$290</formula1>
    </dataValidation>
    <dataValidation type="list" allowBlank="1" showInputMessage="1" showErrorMessage="1" sqref="J6:T6" xr:uid="{B38546C6-E2F9-484D-A566-ECCDFB0BDED5}">
      <formula1>IF($J$5="RFI", TemplatesRFI, TemplatesStandard)</formula1>
    </dataValidation>
    <dataValidation type="list" allowBlank="1" showInputMessage="1" showErrorMessage="1" sqref="L27:N27" xr:uid="{6DE73C55-82B8-4E35-BBBB-A88B3AD4BB63}">
      <formula1>$P$37:$P$290</formula1>
    </dataValidation>
    <dataValidation type="list" allowBlank="1" showInputMessage="1" showErrorMessage="1" sqref="O27" xr:uid="{C4204911-3A41-43F4-9491-12FEC8BFF79A}">
      <formula1>$Q$37:$Q$290</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xr:uid="{9C5027AB-F585-4A63-8C3F-2654CE760CFF}">
          <x14:formula1>
            <xm:f>IF($J$5&amp;"_"&amp;$J$6="Escalation_Wise", ScenarioOptions, Sheet7!$Z$1)</xm:f>
          </x14:formula1>
          <xm:sqref>J8:T8</xm:sqref>
        </x14:dataValidation>
        <x14:dataValidation type="list" allowBlank="1" showInputMessage="1" showErrorMessage="1" xr:uid="{1743BB59-8485-4BDD-B762-95F371D54FB3}">
          <x14:formula1>
            <xm:f>IF($J$5="RFI", Sheet7!$Z$1, Program_Library!$A1:$A97)</xm:f>
          </x14:formula1>
          <xm:sqref>J7:T7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4582E-29E4-45F9-9E50-7339C0D030E7}">
  <sheetPr codeName="Sheet10">
    <tabColor theme="8" tint="0.39997558519241921"/>
  </sheetPr>
  <dimension ref="A1:Z37"/>
  <sheetViews>
    <sheetView zoomScale="70" zoomScaleNormal="70" workbookViewId="0">
      <pane ySplit="1" topLeftCell="A2" activePane="bottomLeft" state="frozen"/>
      <selection pane="bottomLeft" activeCell="E6" sqref="E6"/>
    </sheetView>
  </sheetViews>
  <sheetFormatPr defaultColWidth="0" defaultRowHeight="14.5" zeroHeight="1" x14ac:dyDescent="0.35"/>
  <cols>
    <col min="1" max="1" width="29.1796875" style="45" bestFit="1" customWidth="1"/>
    <col min="2" max="2" width="34" style="45" customWidth="1"/>
    <col min="3" max="3" width="75" style="45" customWidth="1"/>
    <col min="4" max="4" width="48" style="45" customWidth="1"/>
    <col min="5" max="5" width="11.81640625" style="45" customWidth="1"/>
    <col min="6" max="6" width="0.1796875" style="45" hidden="1" customWidth="1"/>
    <col min="7" max="7" width="1.1796875" style="45" hidden="1" customWidth="1"/>
    <col min="8" max="8" width="0.1796875" style="45" hidden="1" customWidth="1"/>
    <col min="9" max="10" width="14" style="45" hidden="1" customWidth="1"/>
    <col min="11" max="11" width="0.54296875" style="45" hidden="1" customWidth="1"/>
    <col min="12" max="14" width="14" style="45" hidden="1" customWidth="1"/>
    <col min="15" max="15" width="8.54296875" style="45" customWidth="1"/>
    <col min="16" max="19" width="8.54296875" style="45" hidden="1" customWidth="1"/>
    <col min="20" max="24" width="15.54296875" style="45" hidden="1" customWidth="1"/>
    <col min="25" max="25" width="16.1796875" style="45" hidden="1" customWidth="1"/>
    <col min="26" max="26" width="13.1796875" style="45" hidden="1" customWidth="1"/>
    <col min="27" max="16384" width="8.54296875" style="45" hidden="1"/>
  </cols>
  <sheetData>
    <row r="1" spans="1:14" ht="30" customHeight="1" x14ac:dyDescent="0.35">
      <c r="A1" s="49" t="s">
        <v>782</v>
      </c>
      <c r="B1" s="50" t="s">
        <v>783</v>
      </c>
      <c r="C1" s="50" t="s">
        <v>784</v>
      </c>
      <c r="D1" s="50" t="s">
        <v>785</v>
      </c>
      <c r="E1" s="51" t="s">
        <v>786</v>
      </c>
      <c r="F1" s="52"/>
      <c r="G1" s="52"/>
      <c r="H1" s="52"/>
      <c r="I1" s="52"/>
      <c r="J1" s="52"/>
      <c r="K1" s="52"/>
      <c r="L1" s="52"/>
      <c r="M1" s="52"/>
      <c r="N1" s="52"/>
    </row>
    <row r="2" spans="1:14" ht="15" customHeight="1" x14ac:dyDescent="0.35">
      <c r="A2" s="53" t="str">
        <f>IF(Sheet1!$J$13="","Customer",Sheet1!$J$13&amp;" (Customer)")</f>
        <v>Steeve Tremblay (Customer)</v>
      </c>
      <c r="B2" s="47" t="s">
        <v>787</v>
      </c>
      <c r="C2" s="47" t="str">
        <f t="shared" ref="C2:C36" si="0">IF(L2="","",L2)</f>
        <v>https://www.google.com/search?q=Steeve+Tremblay&amp;num=100&amp;hl=en</v>
      </c>
      <c r="D2" s="47" t="str">
        <f>IF(F2="","",Sheet1!$J$9&amp;"_"&amp;Sheet1!$J$10&amp;"_Customer_"&amp;N2&amp;"_Google.pdf")</f>
        <v>__Customer_1_Google.pdf</v>
      </c>
      <c r="E2" s="46" t="s">
        <v>788</v>
      </c>
      <c r="F2" s="52" t="str">
        <f>IF(Sheet1!$J$13="","",Sheet1!$J$13)</f>
        <v>Steeve Tremblay</v>
      </c>
      <c r="G2" s="52" t="str">
        <f t="shared" ref="G2:G36" si="1">IF(F2="","",SUBSTITUTE(F2,CHAR(34),"%22"))</f>
        <v>Steeve Tremblay</v>
      </c>
      <c r="H2" s="52" t="str">
        <f t="shared" ref="H2:H36" si="2">IF(G2="","",SUBSTITUTE(G2,"&amp;","%26"))</f>
        <v>Steeve Tremblay</v>
      </c>
      <c r="I2" s="52" t="str">
        <f t="shared" ref="I2:I36" si="3">IF(H2="","",SUBSTITUTE(H2,"(","%28"))</f>
        <v>Steeve Tremblay</v>
      </c>
      <c r="J2" s="52" t="str">
        <f t="shared" ref="J2:J36" si="4">IF(I2="","",SUBSTITUTE(I2,")","%29"))</f>
        <v>Steeve Tremblay</v>
      </c>
      <c r="K2" s="52" t="str">
        <f t="shared" ref="K2:K36" si="5">IF(J2="","",SUBSTITUTE(J2," ","+"))</f>
        <v>Steeve+Tremblay</v>
      </c>
      <c r="L2" s="52" t="str">
        <f>IF(K2="","","https://www.google.com/search?q="&amp;K2&amp;"&amp;num=100&amp;hl=en")</f>
        <v>https://www.google.com/search?q=Steeve+Tremblay&amp;num=100&amp;hl=en</v>
      </c>
      <c r="M2" s="52">
        <f t="shared" ref="M2:M36" si="6">IF(F2="",0,1)</f>
        <v>1</v>
      </c>
      <c r="N2" s="52">
        <f>SUM($M$2:M2)</f>
        <v>1</v>
      </c>
    </row>
    <row r="3" spans="1:14" ht="15" customHeight="1" x14ac:dyDescent="0.35">
      <c r="A3" s="54" t="str">
        <f>IF(Sheet1!$J$13="","Customer",Sheet1!$J$13&amp;" (Customer)")</f>
        <v>Steeve Tremblay (Customer)</v>
      </c>
      <c r="B3" s="48" t="s">
        <v>789</v>
      </c>
      <c r="C3" s="48" t="str">
        <f t="shared" si="0"/>
        <v/>
      </c>
      <c r="D3" s="48" t="str">
        <f>IF(F3="","",Sheet1!$J$9&amp;"_"&amp;Sheet1!$J$10&amp;"_Customer_"&amp;N3&amp;"_Address.pdf")</f>
        <v/>
      </c>
      <c r="E3" s="46"/>
      <c r="F3" s="52" t="str">
        <f>IF(Sheet1!$J$14="","",Sheet1!$J$14)</f>
        <v/>
      </c>
      <c r="G3" s="52" t="str">
        <f t="shared" si="1"/>
        <v/>
      </c>
      <c r="H3" s="52" t="str">
        <f t="shared" si="2"/>
        <v/>
      </c>
      <c r="I3" s="52" t="str">
        <f t="shared" si="3"/>
        <v/>
      </c>
      <c r="J3" s="52" t="str">
        <f t="shared" si="4"/>
        <v/>
      </c>
      <c r="K3" s="52" t="str">
        <f t="shared" si="5"/>
        <v/>
      </c>
      <c r="L3" s="52" t="str">
        <f>IF(K3="","","https://www.google.com/search?q="&amp;K3&amp;"&amp;num=100&amp;hl=en")</f>
        <v/>
      </c>
      <c r="M3" s="52">
        <f t="shared" si="6"/>
        <v>0</v>
      </c>
      <c r="N3" s="52">
        <f>SUM($M$2:M3)</f>
        <v>1</v>
      </c>
    </row>
    <row r="4" spans="1:14" ht="15" customHeight="1" x14ac:dyDescent="0.35">
      <c r="A4" s="53" t="str">
        <f>IF(Sheet1!$J$13="","Customer",Sheet1!$J$13&amp;" (Customer)")</f>
        <v>Steeve Tremblay (Customer)</v>
      </c>
      <c r="B4" s="47" t="s">
        <v>790</v>
      </c>
      <c r="C4" s="47" t="str">
        <f t="shared" si="0"/>
        <v/>
      </c>
      <c r="D4" s="47" t="str">
        <f>IF(F4="","",Sheet1!$J$9&amp;"_"&amp;Sheet1!$J$10&amp;"_Customer_"&amp;N4&amp;"_Google+Address.pdf")</f>
        <v/>
      </c>
      <c r="E4" s="46"/>
      <c r="F4" s="52" t="str">
        <f>IF(OR(Sheet1!$J$13="",Sheet1!$J$14=""),"",Sheet1!$J$13&amp;" "&amp;Sheet1!$J$14)</f>
        <v/>
      </c>
      <c r="G4" s="52" t="str">
        <f t="shared" si="1"/>
        <v/>
      </c>
      <c r="H4" s="52" t="str">
        <f t="shared" si="2"/>
        <v/>
      </c>
      <c r="I4" s="52" t="str">
        <f t="shared" si="3"/>
        <v/>
      </c>
      <c r="J4" s="52" t="str">
        <f t="shared" si="4"/>
        <v/>
      </c>
      <c r="K4" s="52" t="str">
        <f t="shared" si="5"/>
        <v/>
      </c>
      <c r="L4" s="52" t="str">
        <f>IF(K4="","","https://www.google.com/search?q="&amp;K4&amp;"&amp;num=100&amp;hl=en")</f>
        <v/>
      </c>
      <c r="M4" s="52">
        <f t="shared" si="6"/>
        <v>0</v>
      </c>
      <c r="N4" s="52">
        <f>SUM($M$2:M4)</f>
        <v>1</v>
      </c>
    </row>
    <row r="5" spans="1:14" ht="15" customHeight="1" x14ac:dyDescent="0.35">
      <c r="A5" s="54" t="str">
        <f>IF(Sheet1!$J$13="","Customer",Sheet1!$J$13&amp;" (Customer)")</f>
        <v>Steeve Tremblay (Customer)</v>
      </c>
      <c r="B5" s="48" t="s">
        <v>791</v>
      </c>
      <c r="C5" s="48" t="str">
        <f t="shared" si="0"/>
        <v>https://www.google.com/search?q=%22Steeve+Tremblay%22+AND+%28arrest+OR+corruption+OR+sentencing+OR+money+laundering+OR+AML+OR+launder+OR+embezzle+OR+evas+OR+evad+OR+crime+OR+corrupt+OR+bribe+OR+theft+OR+extort+OR+drug+OR+traffic+OR+trafficking+OR+felony+OR+sanction+OR+counterfeit+OR+terror%29&amp;num=100&amp;hl=en</v>
      </c>
      <c r="D5" s="48" t="str">
        <f>IF(F5="","",Sheet1!$J$9&amp;"_"&amp;Sheet1!$J$10&amp;"_Customer_"&amp;N5&amp;"_Negative News 1.pdf")</f>
        <v>__Customer_2_Negative News 1.pdf</v>
      </c>
      <c r="E5" s="46" t="s">
        <v>788</v>
      </c>
      <c r="F5" s="52"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"Steeve Tremblay" AND (arrest OR corruption OR sentencing OR money laundering OR AML OR launder OR embezzle OR evas OR evad OR crime OR corrupt OR bribe OR theft OR extort OR drug OR traffic OR trafficking OR felony OR sanction OR counterfeit OR terror)</v>
      </c>
      <c r="G5" s="52" t="str">
        <f t="shared" si="1"/>
        <v>%22Steeve Tremblay%22 AND (arrest OR corruption OR sentencing OR money laundering OR AML OR launder OR embezzle OR evas OR evad OR crime OR corrupt OR bribe OR theft OR extort OR drug OR traffic OR trafficking OR felony OR sanction OR counterfeit OR terror)</v>
      </c>
      <c r="H5" s="52" t="str">
        <f t="shared" si="2"/>
        <v>%22Steeve Tremblay%22 AND (arrest OR corruption OR sentencing OR money laundering OR AML OR launder OR embezzle OR evas OR evad OR crime OR corrupt OR bribe OR theft OR extort OR drug OR traffic OR trafficking OR felony OR sanction OR counterfeit OR terror)</v>
      </c>
      <c r="I5" s="52" t="str">
        <f t="shared" si="3"/>
        <v>%22Steeve Tremblay%22 AND %28arrest OR corruption OR sentencing OR money laundering OR AML OR launder OR embezzle OR evas OR evad OR crime OR corrupt OR bribe OR theft OR extort OR drug OR traffic OR trafficking OR felony OR sanction OR counterfeit OR terror)</v>
      </c>
      <c r="J5" s="52" t="str">
        <f t="shared" si="4"/>
        <v>%22Steeve Tremblay%22 AND %28arrest OR corruption OR sentencing OR money laundering OR AML OR launder OR embezzle OR evas OR evad OR crime OR corrupt OR bribe OR theft OR extort OR drug OR traffic OR trafficking OR felony OR sanction OR counterfeit OR terror%29</v>
      </c>
      <c r="K5" s="52" t="str">
        <f t="shared" si="5"/>
        <v>%22Steeve+Tremblay%22+AND+%28arrest+OR+corruption+OR+sentencing+OR+money+laundering+OR+AML+OR+launder+OR+embezzle+OR+evas+OR+evad+OR+crime+OR+corrupt+OR+bribe+OR+theft+OR+extort+OR+drug+OR+traffic+OR+trafficking+OR+felony+OR+sanction+OR+counterfeit+OR+terror%29</v>
      </c>
      <c r="L5" s="52" t="str">
        <f>IF(K5="","","https://www.google.com/search?q="&amp;K5&amp;"&amp;num=100&amp;hl=en")</f>
        <v>https://www.google.com/search?q=%22Steeve+Tremblay%22+AND+%28arrest+OR+corruption+OR+sentencing+OR+money+laundering+OR+AML+OR+launder+OR+embezzle+OR+evas+OR+evad+OR+crime+OR+corrupt+OR+bribe+OR+theft+OR+extort+OR+drug+OR+traffic+OR+trafficking+OR+felony+OR+sanction+OR+counterfeit+OR+terror%29&amp;num=100&amp;hl=en</v>
      </c>
      <c r="M5" s="52">
        <f t="shared" si="6"/>
        <v>1</v>
      </c>
      <c r="N5" s="52">
        <f>SUM($M$2:M5)</f>
        <v>2</v>
      </c>
    </row>
    <row r="6" spans="1:14" ht="15" customHeight="1" x14ac:dyDescent="0.35">
      <c r="A6" s="53" t="str">
        <f>IF(Sheet1!$J$13="","Customer",Sheet1!$J$13&amp;" (Customer)")</f>
        <v>Steeve Tremblay (Customer)</v>
      </c>
      <c r="B6" s="47" t="s">
        <v>792</v>
      </c>
      <c r="C6" s="47" t="str">
        <f t="shared" si="0"/>
        <v>https://www.google.com/search?q=%22Steeve+Tremblay%22+AND+%28arrest+OR+corruption+OR+sentencing+OR+money+laundering+OR+AML+OR+launder+OR+embezzle+OR+evas+OR+evad+OR+crime+OR+corrupt+OR+bribe+OR+theft+OR+extort+OR+drug+OR+traffic+OR+trafficking+OR+felony+OR+sanction+OR+counterfeit+OR+terror%29&amp;num=100&amp;hl=en&amp;start=100</v>
      </c>
      <c r="D6" s="47" t="str">
        <f>IF(F6="","",Sheet1!$J$9&amp;"_"&amp;Sheet1!$J$10&amp;"_Customer_"&amp;N6&amp;"_Negative News 2.pdf")</f>
        <v>__Customer_3_Negative News 2.pdf</v>
      </c>
      <c r="E6" s="46" t="s">
        <v>788</v>
      </c>
      <c r="F6" s="52" t="str">
        <f>IF(Sheet1!$J$13="","",CHAR(34)&amp;Sheet1!$J$13&amp;CHAR(34)&amp;" AND (arrest OR corruption OR sentencing OR money laundering OR AML OR launder OR embezzle OR evas OR evad OR crime OR corrupt OR bribe OR theft OR extort OR drug OR traffic OR trafficking OR felony OR sanction OR counterfeit OR terror)")</f>
        <v>"Steeve Tremblay" AND (arrest OR corruption OR sentencing OR money laundering OR AML OR launder OR embezzle OR evas OR evad OR crime OR corrupt OR bribe OR theft OR extort OR drug OR traffic OR trafficking OR felony OR sanction OR counterfeit OR terror)</v>
      </c>
      <c r="G6" s="52" t="str">
        <f t="shared" si="1"/>
        <v>%22Steeve Tremblay%22 AND (arrest OR corruption OR sentencing OR money laundering OR AML OR launder OR embezzle OR evas OR evad OR crime OR corrupt OR bribe OR theft OR extort OR drug OR traffic OR trafficking OR felony OR sanction OR counterfeit OR terror)</v>
      </c>
      <c r="H6" s="52" t="str">
        <f t="shared" si="2"/>
        <v>%22Steeve Tremblay%22 AND (arrest OR corruption OR sentencing OR money laundering OR AML OR launder OR embezzle OR evas OR evad OR crime OR corrupt OR bribe OR theft OR extort OR drug OR traffic OR trafficking OR felony OR sanction OR counterfeit OR terror)</v>
      </c>
      <c r="I6" s="52" t="str">
        <f t="shared" si="3"/>
        <v>%22Steeve Tremblay%22 AND %28arrest OR corruption OR sentencing OR money laundering OR AML OR launder OR embezzle OR evas OR evad OR crime OR corrupt OR bribe OR theft OR extort OR drug OR traffic OR trafficking OR felony OR sanction OR counterfeit OR terror)</v>
      </c>
      <c r="J6" s="52" t="str">
        <f t="shared" si="4"/>
        <v>%22Steeve Tremblay%22 AND %28arrest OR corruption OR sentencing OR money laundering OR AML OR launder OR embezzle OR evas OR evad OR crime OR corrupt OR bribe OR theft OR extort OR drug OR traffic OR trafficking OR felony OR sanction OR counterfeit OR terror%29</v>
      </c>
      <c r="K6" s="52" t="str">
        <f t="shared" si="5"/>
        <v>%22Steeve+Tremblay%22+AND+%28arrest+OR+corruption+OR+sentencing+OR+money+laundering+OR+AML+OR+launder+OR+embezzle+OR+evas+OR+evad+OR+crime+OR+corrupt+OR+bribe+OR+theft+OR+extort+OR+drug+OR+traffic+OR+trafficking+OR+felony+OR+sanction+OR+counterfeit+OR+terror%29</v>
      </c>
      <c r="L6" s="52" t="str">
        <f>IF(K6="","","https://www.google.com/search?q="&amp;K6&amp;"&amp;num=100&amp;hl=en&amp;start=100")</f>
        <v>https://www.google.com/search?q=%22Steeve+Tremblay%22+AND+%28arrest+OR+corruption+OR+sentencing+OR+money+laundering+OR+AML+OR+launder+OR+embezzle+OR+evas+OR+evad+OR+crime+OR+corrupt+OR+bribe+OR+theft+OR+extort+OR+drug+OR+traffic+OR+trafficking+OR+felony+OR+sanction+OR+counterfeit+OR+terror%29&amp;num=100&amp;hl=en&amp;start=100</v>
      </c>
      <c r="M6" s="52">
        <f t="shared" si="6"/>
        <v>1</v>
      </c>
      <c r="N6" s="52">
        <f>SUM($M$2:M6)</f>
        <v>3</v>
      </c>
    </row>
    <row r="7" spans="1:14" ht="15" customHeight="1" x14ac:dyDescent="0.35">
      <c r="A7" s="54" t="str">
        <f>IF(Sheet1!$J$18="","Counterparty 1",Sheet1!$J$18&amp;" (CP1)")</f>
        <v>Amazon (CP1)</v>
      </c>
      <c r="B7" s="48" t="s">
        <v>787</v>
      </c>
      <c r="C7" s="48" t="str">
        <f t="shared" si="0"/>
        <v>https://www.google.com/search?q=Amazon&amp;num=100&amp;hl=en</v>
      </c>
      <c r="D7" s="48" t="str">
        <f>IF(F7="","",Sheet1!$J$9&amp;"_"&amp;Sheet1!$J$10&amp;"_CP1_"&amp;N7&amp;"_Google.pdf")</f>
        <v>__CP1_1_Google.pdf</v>
      </c>
      <c r="E7" s="46" t="s">
        <v>788</v>
      </c>
      <c r="F7" s="52" t="str">
        <f>IF(Sheet1!$J$18="","",Sheet1!$J$18)</f>
        <v>Amazon</v>
      </c>
      <c r="G7" s="52" t="str">
        <f t="shared" si="1"/>
        <v>Amazon</v>
      </c>
      <c r="H7" s="52" t="str">
        <f t="shared" si="2"/>
        <v>Amazon</v>
      </c>
      <c r="I7" s="52" t="str">
        <f t="shared" si="3"/>
        <v>Amazon</v>
      </c>
      <c r="J7" s="52" t="str">
        <f t="shared" si="4"/>
        <v>Amazon</v>
      </c>
      <c r="K7" s="52" t="str">
        <f t="shared" si="5"/>
        <v>Amazon</v>
      </c>
      <c r="L7" s="52" t="str">
        <f>IF(K7="","","https://www.google.com/search?q="&amp;K7&amp;"&amp;num=100&amp;hl=en")</f>
        <v>https://www.google.com/search?q=Amazon&amp;num=100&amp;hl=en</v>
      </c>
      <c r="M7" s="52">
        <f t="shared" si="6"/>
        <v>1</v>
      </c>
      <c r="N7" s="52">
        <f>SUM($M$7:M7)</f>
        <v>1</v>
      </c>
    </row>
    <row r="8" spans="1:14" ht="15" customHeight="1" x14ac:dyDescent="0.35">
      <c r="A8" s="53" t="str">
        <f>IF(Sheet1!$J$18="","Counterparty 1",Sheet1!$J$18&amp;" (CP1)")</f>
        <v>Amazon (CP1)</v>
      </c>
      <c r="B8" s="47" t="s">
        <v>789</v>
      </c>
      <c r="C8" s="47" t="str">
        <f t="shared" si="0"/>
        <v/>
      </c>
      <c r="D8" s="47" t="str">
        <f>IF(F8="","",Sheet1!$J$9&amp;"_"&amp;Sheet1!$J$10&amp;"_CP1_"&amp;N8&amp;"_Address.pdf")</f>
        <v/>
      </c>
      <c r="E8" s="46"/>
      <c r="F8" s="52" t="str">
        <f>IF(Sheet1!$T$18="","",Sheet1!$T$18)</f>
        <v/>
      </c>
      <c r="G8" s="52" t="str">
        <f t="shared" si="1"/>
        <v/>
      </c>
      <c r="H8" s="52" t="str">
        <f t="shared" si="2"/>
        <v/>
      </c>
      <c r="I8" s="52" t="str">
        <f t="shared" si="3"/>
        <v/>
      </c>
      <c r="J8" s="52" t="str">
        <f t="shared" si="4"/>
        <v/>
      </c>
      <c r="K8" s="52" t="str">
        <f t="shared" si="5"/>
        <v/>
      </c>
      <c r="L8" s="52" t="str">
        <f>IF(K8="","","https://www.google.com/search?q="&amp;K8&amp;"&amp;num=100&amp;hl=en")</f>
        <v/>
      </c>
      <c r="M8" s="52">
        <f t="shared" si="6"/>
        <v>0</v>
      </c>
      <c r="N8" s="52">
        <f>SUM($M$7:M8)</f>
        <v>1</v>
      </c>
    </row>
    <row r="9" spans="1:14" ht="15" customHeight="1" x14ac:dyDescent="0.35">
      <c r="A9" s="54" t="str">
        <f>IF(Sheet1!$J$18="","Counterparty 1",Sheet1!$J$18&amp;" (CP1)")</f>
        <v>Amazon (CP1)</v>
      </c>
      <c r="B9" s="48" t="s">
        <v>790</v>
      </c>
      <c r="C9" s="48" t="str">
        <f t="shared" si="0"/>
        <v/>
      </c>
      <c r="D9" s="48" t="str">
        <f>IF(F9="","",Sheet1!$J$9&amp;"_"&amp;Sheet1!$J$10&amp;"_CP1_"&amp;N9&amp;"_Google+Address.pdf")</f>
        <v/>
      </c>
      <c r="E9" s="46"/>
      <c r="F9" s="52" t="str">
        <f>IF(OR(Sheet1!$J$18="",Sheet1!$T$18=""),"",Sheet1!$J$18&amp;" "&amp;Sheet1!$T$18)</f>
        <v/>
      </c>
      <c r="G9" s="52" t="str">
        <f t="shared" si="1"/>
        <v/>
      </c>
      <c r="H9" s="52" t="str">
        <f t="shared" si="2"/>
        <v/>
      </c>
      <c r="I9" s="52" t="str">
        <f t="shared" si="3"/>
        <v/>
      </c>
      <c r="J9" s="52" t="str">
        <f t="shared" si="4"/>
        <v/>
      </c>
      <c r="K9" s="52" t="str">
        <f t="shared" si="5"/>
        <v/>
      </c>
      <c r="L9" s="52" t="str">
        <f>IF(K9="","","https://www.google.com/search?q="&amp;K9&amp;"&amp;num=100&amp;hl=en")</f>
        <v/>
      </c>
      <c r="M9" s="52">
        <f t="shared" si="6"/>
        <v>0</v>
      </c>
      <c r="N9" s="52">
        <f>SUM($M$7:M9)</f>
        <v>1</v>
      </c>
    </row>
    <row r="10" spans="1:14" ht="15" customHeight="1" x14ac:dyDescent="0.35">
      <c r="A10" s="53" t="str">
        <f>IF(Sheet1!$J$18="","Counterparty 1",Sheet1!$J$18&amp;" (CP1)")</f>
        <v>Amazon (CP1)</v>
      </c>
      <c r="B10" s="47" t="s">
        <v>791</v>
      </c>
      <c r="C10" s="47" t="str">
        <f t="shared" si="0"/>
        <v>https://www.google.com/search?q=%22Amazon%22+AND+%28arrest+OR+corruption+OR+sentencing+OR+money+laundering+OR+AML+OR+launder+OR+embezzle+OR+evas+OR+evad+OR+crime+OR+corrupt+OR+bribe+OR+theft+OR+extort+OR+drug+OR+traffic+OR+trafficking+OR+felony+OR+sanction+OR+counterfeit+OR+terror%29&amp;num=100&amp;hl=en</v>
      </c>
      <c r="D10" s="47" t="str">
        <f>IF(F10="","",Sheet1!$J$9&amp;"_"&amp;Sheet1!$J$10&amp;"_CP1_"&amp;N10&amp;"_Negative News 1.pdf")</f>
        <v>__CP1_2_Negative News 1.pdf</v>
      </c>
      <c r="E10" s="46" t="s">
        <v>788</v>
      </c>
      <c r="F10" s="52"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"Amazon" AND (arrest OR corruption OR sentencing OR money laundering OR AML OR launder OR embezzle OR evas OR evad OR crime OR corrupt OR bribe OR theft OR extort OR drug OR traffic OR trafficking OR felony OR sanction OR counterfeit OR terror)</v>
      </c>
      <c r="G10" s="52" t="str">
        <f t="shared" si="1"/>
        <v>%22Amazon%22 AND (arrest OR corruption OR sentencing OR money laundering OR AML OR launder OR embezzle OR evas OR evad OR crime OR corrupt OR bribe OR theft OR extort OR drug OR traffic OR trafficking OR felony OR sanction OR counterfeit OR terror)</v>
      </c>
      <c r="H10" s="52" t="str">
        <f t="shared" si="2"/>
        <v>%22Amazon%22 AND (arrest OR corruption OR sentencing OR money laundering OR AML OR launder OR embezzle OR evas OR evad OR crime OR corrupt OR bribe OR theft OR extort OR drug OR traffic OR trafficking OR felony OR sanction OR counterfeit OR terror)</v>
      </c>
      <c r="I10" s="52" t="str">
        <f t="shared" si="3"/>
        <v>%22Amazon%22 AND %28arrest OR corruption OR sentencing OR money laundering OR AML OR launder OR embezzle OR evas OR evad OR crime OR corrupt OR bribe OR theft OR extort OR drug OR traffic OR trafficking OR felony OR sanction OR counterfeit OR terror)</v>
      </c>
      <c r="J10" s="52" t="str">
        <f t="shared" si="4"/>
        <v>%22Amazon%22 AND %28arrest OR corruption OR sentencing OR money laundering OR AML OR launder OR embezzle OR evas OR evad OR crime OR corrupt OR bribe OR theft OR extort OR drug OR traffic OR trafficking OR felony OR sanction OR counterfeit OR terror%29</v>
      </c>
      <c r="K10" s="52" t="str">
        <f t="shared" si="5"/>
        <v>%22Amazon%22+AND+%28arrest+OR+corruption+OR+sentencing+OR+money+laundering+OR+AML+OR+launder+OR+embezzle+OR+evas+OR+evad+OR+crime+OR+corrupt+OR+bribe+OR+theft+OR+extort+OR+drug+OR+traffic+OR+trafficking+OR+felony+OR+sanction+OR+counterfeit+OR+terror%29</v>
      </c>
      <c r="L10" s="52" t="str">
        <f>IF(K10="","","https://www.google.com/search?q="&amp;K10&amp;"&amp;num=100&amp;hl=en")</f>
        <v>https://www.google.com/search?q=%22Amazon%22+AND+%28arrest+OR+corruption+OR+sentencing+OR+money+laundering+OR+AML+OR+launder+OR+embezzle+OR+evas+OR+evad+OR+crime+OR+corrupt+OR+bribe+OR+theft+OR+extort+OR+drug+OR+traffic+OR+trafficking+OR+felony+OR+sanction+OR+counterfeit+OR+terror%29&amp;num=100&amp;hl=en</v>
      </c>
      <c r="M10" s="52">
        <f t="shared" si="6"/>
        <v>1</v>
      </c>
      <c r="N10" s="52">
        <f>SUM($M$7:M10)</f>
        <v>2</v>
      </c>
    </row>
    <row r="11" spans="1:14" ht="15" customHeight="1" x14ac:dyDescent="0.35">
      <c r="A11" s="54" t="str">
        <f>IF(Sheet1!$J$18="","Counterparty 1",Sheet1!$J$18&amp;" (CP1)")</f>
        <v>Amazon (CP1)</v>
      </c>
      <c r="B11" s="48" t="s">
        <v>792</v>
      </c>
      <c r="C11" s="48" t="str">
        <f t="shared" si="0"/>
        <v>https://www.google.com/search?q=%22Amazon%22+AND+%28arrest+OR+corruption+OR+sentencing+OR+money+laundering+OR+AML+OR+launder+OR+embezzle+OR+evas+OR+evad+OR+crime+OR+corrupt+OR+bribe+OR+theft+OR+extort+OR+drug+OR+traffic+OR+trafficking+OR+felony+OR+sanction+OR+counterfeit+OR+terror%29&amp;num=100&amp;hl=en&amp;start=100</v>
      </c>
      <c r="D11" s="48" t="str">
        <f>IF(F11="","",Sheet1!$J$9&amp;"_"&amp;Sheet1!$J$10&amp;"_CP1_"&amp;N11&amp;"_Negative News 2.pdf")</f>
        <v>__CP1_3_Negative News 2.pdf</v>
      </c>
      <c r="E11" s="46" t="s">
        <v>788</v>
      </c>
      <c r="F11" s="52" t="str">
        <f>IF(Sheet1!$J$18="","",CHAR(34)&amp;Sheet1!$J$18&amp;CHAR(34)&amp;" AND (arrest OR corruption OR sentencing OR money laundering OR AML OR launder OR embezzle OR evas OR evad OR crime OR corrupt OR bribe OR theft OR extort OR drug OR traffic OR trafficking OR felony OR sanction OR counterfeit OR terror)")</f>
        <v>"Amazon" AND (arrest OR corruption OR sentencing OR money laundering OR AML OR launder OR embezzle OR evas OR evad OR crime OR corrupt OR bribe OR theft OR extort OR drug OR traffic OR trafficking OR felony OR sanction OR counterfeit OR terror)</v>
      </c>
      <c r="G11" s="52" t="str">
        <f t="shared" si="1"/>
        <v>%22Amazon%22 AND (arrest OR corruption OR sentencing OR money laundering OR AML OR launder OR embezzle OR evas OR evad OR crime OR corrupt OR bribe OR theft OR extort OR drug OR traffic OR trafficking OR felony OR sanction OR counterfeit OR terror)</v>
      </c>
      <c r="H11" s="52" t="str">
        <f t="shared" si="2"/>
        <v>%22Amazon%22 AND (arrest OR corruption OR sentencing OR money laundering OR AML OR launder OR embezzle OR evas OR evad OR crime OR corrupt OR bribe OR theft OR extort OR drug OR traffic OR trafficking OR felony OR sanction OR counterfeit OR terror)</v>
      </c>
      <c r="I11" s="52" t="str">
        <f t="shared" si="3"/>
        <v>%22Amazon%22 AND %28arrest OR corruption OR sentencing OR money laundering OR AML OR launder OR embezzle OR evas OR evad OR crime OR corrupt OR bribe OR theft OR extort OR drug OR traffic OR trafficking OR felony OR sanction OR counterfeit OR terror)</v>
      </c>
      <c r="J11" s="52" t="str">
        <f t="shared" si="4"/>
        <v>%22Amazon%22 AND %28arrest OR corruption OR sentencing OR money laundering OR AML OR launder OR embezzle OR evas OR evad OR crime OR corrupt OR bribe OR theft OR extort OR drug OR traffic OR trafficking OR felony OR sanction OR counterfeit OR terror%29</v>
      </c>
      <c r="K11" s="52" t="str">
        <f t="shared" si="5"/>
        <v>%22Amazon%22+AND+%28arrest+OR+corruption+OR+sentencing+OR+money+laundering+OR+AML+OR+launder+OR+embezzle+OR+evas+OR+evad+OR+crime+OR+corrupt+OR+bribe+OR+theft+OR+extort+OR+drug+OR+traffic+OR+trafficking+OR+felony+OR+sanction+OR+counterfeit+OR+terror%29</v>
      </c>
      <c r="L11" s="52" t="str">
        <f>IF(K11="","","https://www.google.com/search?q="&amp;K11&amp;"&amp;num=100&amp;hl=en&amp;start=100")</f>
        <v>https://www.google.com/search?q=%22Amazon%22+AND+%28arrest+OR+corruption+OR+sentencing+OR+money+laundering+OR+AML+OR+launder+OR+embezzle+OR+evas+OR+evad+OR+crime+OR+corrupt+OR+bribe+OR+theft+OR+extort+OR+drug+OR+traffic+OR+trafficking+OR+felony+OR+sanction+OR+counterfeit+OR+terror%29&amp;num=100&amp;hl=en&amp;start=100</v>
      </c>
      <c r="M11" s="52">
        <f t="shared" si="6"/>
        <v>1</v>
      </c>
      <c r="N11" s="52">
        <f>SUM($M$7:M11)</f>
        <v>3</v>
      </c>
    </row>
    <row r="12" spans="1:14" ht="15" customHeight="1" x14ac:dyDescent="0.35">
      <c r="A12" s="53" t="str">
        <f>IF(Sheet1!$J$19="","Counterparty 2",Sheet1!$J$19&amp;" (CP2)")</f>
        <v>Counterparty 2</v>
      </c>
      <c r="B12" s="47" t="s">
        <v>787</v>
      </c>
      <c r="C12" s="47" t="str">
        <f t="shared" si="0"/>
        <v/>
      </c>
      <c r="D12" s="47" t="str">
        <f>IF(F12="","",Sheet1!$J$9&amp;"_"&amp;Sheet1!$J$10&amp;"_CP2_"&amp;N12&amp;"_Google.pdf")</f>
        <v/>
      </c>
      <c r="E12" s="46" t="s">
        <v>788</v>
      </c>
      <c r="F12" s="52" t="str">
        <f>IF(Sheet1!$J$19="","",Sheet1!$J$19)</f>
        <v/>
      </c>
      <c r="G12" s="52" t="str">
        <f t="shared" si="1"/>
        <v/>
      </c>
      <c r="H12" s="52" t="str">
        <f t="shared" si="2"/>
        <v/>
      </c>
      <c r="I12" s="52" t="str">
        <f t="shared" si="3"/>
        <v/>
      </c>
      <c r="J12" s="52" t="str">
        <f t="shared" si="4"/>
        <v/>
      </c>
      <c r="K12" s="52" t="str">
        <f t="shared" si="5"/>
        <v/>
      </c>
      <c r="L12" s="52" t="str">
        <f>IF(K12="","","https://www.google.com/search?q="&amp;K12&amp;"&amp;num=100&amp;hl=en")</f>
        <v/>
      </c>
      <c r="M12" s="52">
        <f t="shared" si="6"/>
        <v>0</v>
      </c>
      <c r="N12" s="52">
        <f>SUM($M$12:M12)</f>
        <v>0</v>
      </c>
    </row>
    <row r="13" spans="1:14" ht="15" customHeight="1" x14ac:dyDescent="0.35">
      <c r="A13" s="54" t="str">
        <f>IF(Sheet1!$J$19="","Counterparty 2",Sheet1!$J$19&amp;" (CP2)")</f>
        <v>Counterparty 2</v>
      </c>
      <c r="B13" s="48" t="s">
        <v>789</v>
      </c>
      <c r="C13" s="48" t="str">
        <f t="shared" si="0"/>
        <v/>
      </c>
      <c r="D13" s="48" t="str">
        <f>IF(F13="","",Sheet1!$J$9&amp;"_"&amp;Sheet1!$J$10&amp;"_CP2_"&amp;N13&amp;"_Address.pdf")</f>
        <v/>
      </c>
      <c r="E13" s="46"/>
      <c r="F13" s="52" t="str">
        <f>IF(Sheet1!$T$19="","",Sheet1!$T$19)</f>
        <v/>
      </c>
      <c r="G13" s="52" t="str">
        <f t="shared" si="1"/>
        <v/>
      </c>
      <c r="H13" s="52" t="str">
        <f t="shared" si="2"/>
        <v/>
      </c>
      <c r="I13" s="52" t="str">
        <f t="shared" si="3"/>
        <v/>
      </c>
      <c r="J13" s="52" t="str">
        <f t="shared" si="4"/>
        <v/>
      </c>
      <c r="K13" s="52" t="str">
        <f t="shared" si="5"/>
        <v/>
      </c>
      <c r="L13" s="52" t="str">
        <f>IF(K13="","","https://www.google.com/search?q="&amp;K13&amp;"&amp;num=100&amp;hl=en")</f>
        <v/>
      </c>
      <c r="M13" s="52">
        <f t="shared" si="6"/>
        <v>0</v>
      </c>
      <c r="N13" s="52">
        <f>SUM($M$12:M13)</f>
        <v>0</v>
      </c>
    </row>
    <row r="14" spans="1:14" ht="15" customHeight="1" x14ac:dyDescent="0.35">
      <c r="A14" s="53" t="str">
        <f>IF(Sheet1!$J$19="","Counterparty 2",Sheet1!$J$19&amp;" (CP2)")</f>
        <v>Counterparty 2</v>
      </c>
      <c r="B14" s="47" t="s">
        <v>790</v>
      </c>
      <c r="C14" s="47" t="str">
        <f t="shared" si="0"/>
        <v/>
      </c>
      <c r="D14" s="47" t="str">
        <f>IF(F14="","",Sheet1!$J$9&amp;"_"&amp;Sheet1!$J$10&amp;"_CP2_"&amp;N14&amp;"_Google+Address.pdf")</f>
        <v/>
      </c>
      <c r="E14" s="46"/>
      <c r="F14" s="52" t="str">
        <f>IF(OR(Sheet1!$J$19="",Sheet1!$T$19=""),"",Sheet1!$J$19&amp;" "&amp;Sheet1!$T$19)</f>
        <v/>
      </c>
      <c r="G14" s="52" t="str">
        <f t="shared" si="1"/>
        <v/>
      </c>
      <c r="H14" s="52" t="str">
        <f t="shared" si="2"/>
        <v/>
      </c>
      <c r="I14" s="52" t="str">
        <f t="shared" si="3"/>
        <v/>
      </c>
      <c r="J14" s="52" t="str">
        <f t="shared" si="4"/>
        <v/>
      </c>
      <c r="K14" s="52" t="str">
        <f t="shared" si="5"/>
        <v/>
      </c>
      <c r="L14" s="52" t="str">
        <f>IF(K14="","","https://www.google.com/search?q="&amp;K14&amp;"&amp;num=100&amp;hl=en")</f>
        <v/>
      </c>
      <c r="M14" s="52">
        <f t="shared" si="6"/>
        <v>0</v>
      </c>
      <c r="N14" s="52">
        <f>SUM($M$12:M14)</f>
        <v>0</v>
      </c>
    </row>
    <row r="15" spans="1:14" ht="15" customHeight="1" x14ac:dyDescent="0.35">
      <c r="A15" s="54" t="str">
        <f>IF(Sheet1!$J$19="","Counterparty 2",Sheet1!$J$19&amp;" (CP2)")</f>
        <v>Counterparty 2</v>
      </c>
      <c r="B15" s="48" t="s">
        <v>791</v>
      </c>
      <c r="C15" s="48" t="str">
        <f t="shared" si="0"/>
        <v/>
      </c>
      <c r="D15" s="48" t="str">
        <f>IF(F15="","",Sheet1!$J$9&amp;"_"&amp;Sheet1!$J$10&amp;"_CP2_"&amp;N15&amp;"_Negative News 1.pdf")</f>
        <v/>
      </c>
      <c r="E15" s="46" t="s">
        <v>788</v>
      </c>
      <c r="F15" s="52"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5" s="52" t="str">
        <f t="shared" si="1"/>
        <v/>
      </c>
      <c r="H15" s="52" t="str">
        <f t="shared" si="2"/>
        <v/>
      </c>
      <c r="I15" s="52" t="str">
        <f t="shared" si="3"/>
        <v/>
      </c>
      <c r="J15" s="52" t="str">
        <f t="shared" si="4"/>
        <v/>
      </c>
      <c r="K15" s="52" t="str">
        <f t="shared" si="5"/>
        <v/>
      </c>
      <c r="L15" s="52" t="str">
        <f>IF(K15="","","https://www.google.com/search?q="&amp;K15&amp;"&amp;num=100&amp;hl=en")</f>
        <v/>
      </c>
      <c r="M15" s="52">
        <f t="shared" si="6"/>
        <v>0</v>
      </c>
      <c r="N15" s="52">
        <f>SUM($M$12:M15)</f>
        <v>0</v>
      </c>
    </row>
    <row r="16" spans="1:14" ht="15" customHeight="1" x14ac:dyDescent="0.35">
      <c r="A16" s="53" t="str">
        <f>IF(Sheet1!$J$19="","Counterparty 2",Sheet1!$J$19&amp;" (CP2)")</f>
        <v>Counterparty 2</v>
      </c>
      <c r="B16" s="47" t="s">
        <v>792</v>
      </c>
      <c r="C16" s="47" t="str">
        <f t="shared" si="0"/>
        <v/>
      </c>
      <c r="D16" s="47" t="str">
        <f>IF(F16="","",Sheet1!$J$9&amp;"_"&amp;Sheet1!$J$10&amp;"_CP2_"&amp;N16&amp;"_Negative News 2.pdf")</f>
        <v/>
      </c>
      <c r="E16" s="46" t="s">
        <v>788</v>
      </c>
      <c r="F16" s="52" t="str">
        <f>IF(Sheet1!$J$19="","",CHAR(34)&amp;Sheet1!$J$19&amp;CHAR(34)&amp;" AND (arrest OR corruption OR sentencing OR money laundering OR AML OR launder OR embezzle OR evas OR evad OR crime OR corrupt OR bribe OR theft OR extort OR drug OR traffic OR trafficking OR felony OR sanction OR counterfeit OR terror)")</f>
        <v/>
      </c>
      <c r="G16" s="52" t="str">
        <f t="shared" si="1"/>
        <v/>
      </c>
      <c r="H16" s="52" t="str">
        <f t="shared" si="2"/>
        <v/>
      </c>
      <c r="I16" s="52" t="str">
        <f t="shared" si="3"/>
        <v/>
      </c>
      <c r="J16" s="52" t="str">
        <f t="shared" si="4"/>
        <v/>
      </c>
      <c r="K16" s="52" t="str">
        <f t="shared" si="5"/>
        <v/>
      </c>
      <c r="L16" s="52" t="str">
        <f>IF(K16="","","https://www.google.com/search?q="&amp;K16&amp;"&amp;num=100&amp;hl=en&amp;start=100")</f>
        <v/>
      </c>
      <c r="M16" s="52">
        <f t="shared" si="6"/>
        <v>0</v>
      </c>
      <c r="N16" s="52">
        <f>SUM($M$12:M16)</f>
        <v>0</v>
      </c>
    </row>
    <row r="17" spans="1:14" ht="15" customHeight="1" x14ac:dyDescent="0.35">
      <c r="A17" s="54" t="str">
        <f>IF(Sheet1!$J$20="","Counterparty 3",Sheet1!$J$20&amp;" (CP3)")</f>
        <v>Counterparty 3</v>
      </c>
      <c r="B17" s="48" t="s">
        <v>787</v>
      </c>
      <c r="C17" s="48" t="str">
        <f t="shared" si="0"/>
        <v/>
      </c>
      <c r="D17" s="48" t="str">
        <f>IF(F17="","",Sheet1!$J$9&amp;"_"&amp;Sheet1!$J$10&amp;"_CP3_"&amp;N17&amp;"_Google.pdf")</f>
        <v/>
      </c>
      <c r="E17" s="46"/>
      <c r="F17" s="52" t="str">
        <f>IF(Sheet1!$J$20="","",Sheet1!$J$20)</f>
        <v/>
      </c>
      <c r="G17" s="52" t="str">
        <f t="shared" si="1"/>
        <v/>
      </c>
      <c r="H17" s="52" t="str">
        <f t="shared" si="2"/>
        <v/>
      </c>
      <c r="I17" s="52" t="str">
        <f t="shared" si="3"/>
        <v/>
      </c>
      <c r="J17" s="52" t="str">
        <f t="shared" si="4"/>
        <v/>
      </c>
      <c r="K17" s="52" t="str">
        <f t="shared" si="5"/>
        <v/>
      </c>
      <c r="L17" s="52" t="str">
        <f>IF(K17="","","https://www.google.com/search?q="&amp;K17&amp;"&amp;num=100&amp;hl=en")</f>
        <v/>
      </c>
      <c r="M17" s="52">
        <f t="shared" si="6"/>
        <v>0</v>
      </c>
      <c r="N17" s="52">
        <f>SUM($M$17:M17)</f>
        <v>0</v>
      </c>
    </row>
    <row r="18" spans="1:14" ht="15" customHeight="1" x14ac:dyDescent="0.35">
      <c r="A18" s="53" t="str">
        <f>IF(Sheet1!$J$20="","Counterparty 3",Sheet1!$J$20&amp;" (CP3)")</f>
        <v>Counterparty 3</v>
      </c>
      <c r="B18" s="47" t="s">
        <v>789</v>
      </c>
      <c r="C18" s="47" t="str">
        <f t="shared" si="0"/>
        <v/>
      </c>
      <c r="D18" s="47" t="str">
        <f>IF(F18="","",Sheet1!$J$9&amp;"_"&amp;Sheet1!$J$10&amp;"_CP3_"&amp;N18&amp;"_Address.pdf")</f>
        <v/>
      </c>
      <c r="E18" s="46"/>
      <c r="F18" s="52" t="str">
        <f>IF(Sheet1!$T$20="","",Sheet1!$T$20)</f>
        <v/>
      </c>
      <c r="G18" s="52" t="str">
        <f t="shared" si="1"/>
        <v/>
      </c>
      <c r="H18" s="52" t="str">
        <f t="shared" si="2"/>
        <v/>
      </c>
      <c r="I18" s="52" t="str">
        <f t="shared" si="3"/>
        <v/>
      </c>
      <c r="J18" s="52" t="str">
        <f t="shared" si="4"/>
        <v/>
      </c>
      <c r="K18" s="52" t="str">
        <f t="shared" si="5"/>
        <v/>
      </c>
      <c r="L18" s="52" t="str">
        <f>IF(K18="","","https://www.google.com/search?q="&amp;K18&amp;"&amp;num=100&amp;hl=en")</f>
        <v/>
      </c>
      <c r="M18" s="52">
        <f t="shared" si="6"/>
        <v>0</v>
      </c>
      <c r="N18" s="52">
        <f>SUM($M$17:M18)</f>
        <v>0</v>
      </c>
    </row>
    <row r="19" spans="1:14" ht="15" customHeight="1" x14ac:dyDescent="0.35">
      <c r="A19" s="54" t="str">
        <f>IF(Sheet1!$J$20="","Counterparty 3",Sheet1!$J$20&amp;" (CP3)")</f>
        <v>Counterparty 3</v>
      </c>
      <c r="B19" s="48" t="s">
        <v>790</v>
      </c>
      <c r="C19" s="48" t="str">
        <f t="shared" si="0"/>
        <v/>
      </c>
      <c r="D19" s="48" t="str">
        <f>IF(F19="","",Sheet1!$J$9&amp;"_"&amp;Sheet1!$J$10&amp;"_CP3_"&amp;N19&amp;"_Google+Address.pdf")</f>
        <v/>
      </c>
      <c r="E19" s="46"/>
      <c r="F19" s="52" t="str">
        <f>IF(OR(Sheet1!$J$20="",Sheet1!$T$20=""),"",Sheet1!$J$20&amp;" "&amp;Sheet1!$T$20)</f>
        <v/>
      </c>
      <c r="G19" s="52" t="str">
        <f t="shared" si="1"/>
        <v/>
      </c>
      <c r="H19" s="52" t="str">
        <f t="shared" si="2"/>
        <v/>
      </c>
      <c r="I19" s="52" t="str">
        <f t="shared" si="3"/>
        <v/>
      </c>
      <c r="J19" s="52" t="str">
        <f t="shared" si="4"/>
        <v/>
      </c>
      <c r="K19" s="52" t="str">
        <f t="shared" si="5"/>
        <v/>
      </c>
      <c r="L19" s="52" t="str">
        <f>IF(K19="","","https://www.google.com/search?q="&amp;K19&amp;"&amp;num=100&amp;hl=en")</f>
        <v/>
      </c>
      <c r="M19" s="52">
        <f t="shared" si="6"/>
        <v>0</v>
      </c>
      <c r="N19" s="52">
        <f>SUM($M$17:M19)</f>
        <v>0</v>
      </c>
    </row>
    <row r="20" spans="1:14" ht="15" customHeight="1" x14ac:dyDescent="0.35">
      <c r="A20" s="53" t="str">
        <f>IF(Sheet1!$J$20="","Counterparty 3",Sheet1!$J$20&amp;" (CP3)")</f>
        <v>Counterparty 3</v>
      </c>
      <c r="B20" s="47" t="s">
        <v>791</v>
      </c>
      <c r="C20" s="47" t="str">
        <f t="shared" si="0"/>
        <v/>
      </c>
      <c r="D20" s="47" t="str">
        <f>IF(F20="","",Sheet1!$J$9&amp;"_"&amp;Sheet1!$J$10&amp;"_CP3_"&amp;N20&amp;"_Negative News 1.pdf")</f>
        <v/>
      </c>
      <c r="E20" s="46"/>
      <c r="F20" s="52"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0" s="52" t="str">
        <f t="shared" si="1"/>
        <v/>
      </c>
      <c r="H20" s="52" t="str">
        <f t="shared" si="2"/>
        <v/>
      </c>
      <c r="I20" s="52" t="str">
        <f t="shared" si="3"/>
        <v/>
      </c>
      <c r="J20" s="52" t="str">
        <f t="shared" si="4"/>
        <v/>
      </c>
      <c r="K20" s="52" t="str">
        <f t="shared" si="5"/>
        <v/>
      </c>
      <c r="L20" s="52" t="str">
        <f>IF(K20="","","https://www.google.com/search?q="&amp;K20&amp;"&amp;num=100&amp;hl=en")</f>
        <v/>
      </c>
      <c r="M20" s="52">
        <f t="shared" si="6"/>
        <v>0</v>
      </c>
      <c r="N20" s="52">
        <f>SUM($M$17:M20)</f>
        <v>0</v>
      </c>
    </row>
    <row r="21" spans="1:14" ht="15" customHeight="1" x14ac:dyDescent="0.35">
      <c r="A21" s="54" t="str">
        <f>IF(Sheet1!$J$20="","Counterparty 3",Sheet1!$J$20&amp;" (CP3)")</f>
        <v>Counterparty 3</v>
      </c>
      <c r="B21" s="48" t="s">
        <v>792</v>
      </c>
      <c r="C21" s="48" t="str">
        <f t="shared" si="0"/>
        <v/>
      </c>
      <c r="D21" s="48" t="str">
        <f>IF(F21="","",Sheet1!$J$9&amp;"_"&amp;Sheet1!$J$10&amp;"_CP3_"&amp;N21&amp;"_Negative News 2.pdf")</f>
        <v/>
      </c>
      <c r="E21" s="46"/>
      <c r="F21" s="52" t="str">
        <f>IF(Sheet1!$J$20="","",CHAR(34)&amp;Sheet1!$J$20&amp;CHAR(34)&amp;" AND (arrest OR corruption OR sentencing OR money laundering OR AML OR launder OR embezzle OR evas OR evad OR crime OR corrupt OR bribe OR theft OR extort OR drug OR traffic OR trafficking OR felony OR sanction OR counterfeit OR terror)")</f>
        <v/>
      </c>
      <c r="G21" s="52" t="str">
        <f t="shared" si="1"/>
        <v/>
      </c>
      <c r="H21" s="52" t="str">
        <f t="shared" si="2"/>
        <v/>
      </c>
      <c r="I21" s="52" t="str">
        <f t="shared" si="3"/>
        <v/>
      </c>
      <c r="J21" s="52" t="str">
        <f t="shared" si="4"/>
        <v/>
      </c>
      <c r="K21" s="52" t="str">
        <f t="shared" si="5"/>
        <v/>
      </c>
      <c r="L21" s="52" t="str">
        <f>IF(K21="","","https://www.google.com/search?q="&amp;K21&amp;"&amp;num=100&amp;hl=en&amp;start=100")</f>
        <v/>
      </c>
      <c r="M21" s="52">
        <f t="shared" si="6"/>
        <v>0</v>
      </c>
      <c r="N21" s="52">
        <f>SUM($M$17:M21)</f>
        <v>0</v>
      </c>
    </row>
    <row r="22" spans="1:14" ht="15" customHeight="1" x14ac:dyDescent="0.35">
      <c r="A22" s="53" t="str">
        <f>IF(Sheet1!$J$21="","Counterparty 4",Sheet1!$J$21&amp;" (CP4)")</f>
        <v>Counterparty 4</v>
      </c>
      <c r="B22" s="47" t="s">
        <v>787</v>
      </c>
      <c r="C22" s="47" t="str">
        <f t="shared" si="0"/>
        <v/>
      </c>
      <c r="D22" s="47" t="str">
        <f>IF(F22="","",Sheet1!$J$9&amp;"_"&amp;Sheet1!$J$10&amp;"_CP4_"&amp;N22&amp;"_Google.pdf")</f>
        <v/>
      </c>
      <c r="E22" s="46"/>
      <c r="F22" s="52" t="str">
        <f>IF(Sheet1!$J$21="","",Sheet1!$J$21)</f>
        <v/>
      </c>
      <c r="G22" s="52" t="str">
        <f t="shared" si="1"/>
        <v/>
      </c>
      <c r="H22" s="52" t="str">
        <f t="shared" si="2"/>
        <v/>
      </c>
      <c r="I22" s="52" t="str">
        <f t="shared" si="3"/>
        <v/>
      </c>
      <c r="J22" s="52" t="str">
        <f t="shared" si="4"/>
        <v/>
      </c>
      <c r="K22" s="52" t="str">
        <f t="shared" si="5"/>
        <v/>
      </c>
      <c r="L22" s="52" t="str">
        <f>IF(K22="","","https://www.google.com/search?q="&amp;K22&amp;"&amp;num=100&amp;hl=en")</f>
        <v/>
      </c>
      <c r="M22" s="52">
        <f t="shared" si="6"/>
        <v>0</v>
      </c>
      <c r="N22" s="52">
        <f>SUM($M$22:M22)</f>
        <v>0</v>
      </c>
    </row>
    <row r="23" spans="1:14" ht="15" customHeight="1" x14ac:dyDescent="0.35">
      <c r="A23" s="54" t="str">
        <f>IF(Sheet1!$J$21="","Counterparty 4",Sheet1!$J$21&amp;" (CP4)")</f>
        <v>Counterparty 4</v>
      </c>
      <c r="B23" s="48" t="s">
        <v>789</v>
      </c>
      <c r="C23" s="48" t="str">
        <f t="shared" si="0"/>
        <v/>
      </c>
      <c r="D23" s="48" t="str">
        <f>IF(F23="","",Sheet1!$J$9&amp;"_"&amp;Sheet1!$J$10&amp;"_CP4_"&amp;N23&amp;"_Address.pdf")</f>
        <v/>
      </c>
      <c r="E23" s="46"/>
      <c r="F23" s="52" t="str">
        <f>IF(Sheet1!$T$21="","",Sheet1!$T$21)</f>
        <v/>
      </c>
      <c r="G23" s="52" t="str">
        <f t="shared" si="1"/>
        <v/>
      </c>
      <c r="H23" s="52" t="str">
        <f t="shared" si="2"/>
        <v/>
      </c>
      <c r="I23" s="52" t="str">
        <f t="shared" si="3"/>
        <v/>
      </c>
      <c r="J23" s="52" t="str">
        <f t="shared" si="4"/>
        <v/>
      </c>
      <c r="K23" s="52" t="str">
        <f t="shared" si="5"/>
        <v/>
      </c>
      <c r="L23" s="52" t="str">
        <f>IF(K23="","","https://www.google.com/search?q="&amp;K23&amp;"&amp;num=100&amp;hl=en")</f>
        <v/>
      </c>
      <c r="M23" s="52">
        <f t="shared" si="6"/>
        <v>0</v>
      </c>
      <c r="N23" s="52">
        <f>SUM($M$22:M23)</f>
        <v>0</v>
      </c>
    </row>
    <row r="24" spans="1:14" ht="15" customHeight="1" x14ac:dyDescent="0.35">
      <c r="A24" s="53" t="str">
        <f>IF(Sheet1!$J$21="","Counterparty 4",Sheet1!$J$21&amp;" (CP4)")</f>
        <v>Counterparty 4</v>
      </c>
      <c r="B24" s="47" t="s">
        <v>790</v>
      </c>
      <c r="C24" s="47" t="str">
        <f t="shared" si="0"/>
        <v/>
      </c>
      <c r="D24" s="47" t="str">
        <f>IF(F24="","",Sheet1!$J$9&amp;"_"&amp;Sheet1!$J$10&amp;"_CP4_"&amp;N24&amp;"_Google+Address.pdf")</f>
        <v/>
      </c>
      <c r="E24" s="46"/>
      <c r="F24" s="52" t="str">
        <f>IF(OR(Sheet1!$J$21="",Sheet1!$T$21=""),"",Sheet1!$J$21&amp;" "&amp;Sheet1!$T$21)</f>
        <v/>
      </c>
      <c r="G24" s="52" t="str">
        <f t="shared" si="1"/>
        <v/>
      </c>
      <c r="H24" s="52" t="str">
        <f t="shared" si="2"/>
        <v/>
      </c>
      <c r="I24" s="52" t="str">
        <f t="shared" si="3"/>
        <v/>
      </c>
      <c r="J24" s="52" t="str">
        <f t="shared" si="4"/>
        <v/>
      </c>
      <c r="K24" s="52" t="str">
        <f t="shared" si="5"/>
        <v/>
      </c>
      <c r="L24" s="52" t="str">
        <f>IF(K24="","","https://www.google.com/search?q="&amp;K24&amp;"&amp;num=100&amp;hl=en")</f>
        <v/>
      </c>
      <c r="M24" s="52">
        <f t="shared" si="6"/>
        <v>0</v>
      </c>
      <c r="N24" s="52">
        <f>SUM($M$22:M24)</f>
        <v>0</v>
      </c>
    </row>
    <row r="25" spans="1:14" ht="15" customHeight="1" x14ac:dyDescent="0.35">
      <c r="A25" s="54" t="str">
        <f>IF(Sheet1!$J$21="","Counterparty 4",Sheet1!$J$21&amp;" (CP4)")</f>
        <v>Counterparty 4</v>
      </c>
      <c r="B25" s="48" t="s">
        <v>791</v>
      </c>
      <c r="C25" s="48" t="str">
        <f t="shared" si="0"/>
        <v/>
      </c>
      <c r="D25" s="48" t="str">
        <f>IF(F25="","",Sheet1!$J$9&amp;"_"&amp;Sheet1!$J$10&amp;"_CP4_"&amp;N25&amp;"_Negative News 1.pdf")</f>
        <v/>
      </c>
      <c r="E25" s="46"/>
      <c r="F25" s="52"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5" s="52" t="str">
        <f t="shared" si="1"/>
        <v/>
      </c>
      <c r="H25" s="52" t="str">
        <f t="shared" si="2"/>
        <v/>
      </c>
      <c r="I25" s="52" t="str">
        <f t="shared" si="3"/>
        <v/>
      </c>
      <c r="J25" s="52" t="str">
        <f t="shared" si="4"/>
        <v/>
      </c>
      <c r="K25" s="52" t="str">
        <f t="shared" si="5"/>
        <v/>
      </c>
      <c r="L25" s="52" t="str">
        <f>IF(K25="","","https://www.google.com/search?q="&amp;K25&amp;"&amp;num=100&amp;hl=en")</f>
        <v/>
      </c>
      <c r="M25" s="52">
        <f t="shared" si="6"/>
        <v>0</v>
      </c>
      <c r="N25" s="52">
        <f>SUM($M$22:M25)</f>
        <v>0</v>
      </c>
    </row>
    <row r="26" spans="1:14" ht="15" customHeight="1" x14ac:dyDescent="0.35">
      <c r="A26" s="53" t="str">
        <f>IF(Sheet1!$J$21="","Counterparty 4",Sheet1!$J$21&amp;" (CP4)")</f>
        <v>Counterparty 4</v>
      </c>
      <c r="B26" s="47" t="s">
        <v>792</v>
      </c>
      <c r="C26" s="47" t="str">
        <f t="shared" si="0"/>
        <v/>
      </c>
      <c r="D26" s="47" t="str">
        <f>IF(F26="","",Sheet1!$J$9&amp;"_"&amp;Sheet1!$J$10&amp;"_CP4_"&amp;N26&amp;"_Negative News 2.pdf")</f>
        <v/>
      </c>
      <c r="E26" s="46"/>
      <c r="F26" s="52" t="str">
        <f>IF(Sheet1!$J$21="","",CHAR(34)&amp;Sheet1!$J$21&amp;CHAR(34)&amp;" AND (arrest OR corruption OR sentencing OR money laundering OR AML OR launder OR embezzle OR evas OR evad OR crime OR corrupt OR bribe OR theft OR extort OR drug OR traffic OR trafficking OR felony OR sanction OR counterfeit OR terror)")</f>
        <v/>
      </c>
      <c r="G26" s="52" t="str">
        <f t="shared" si="1"/>
        <v/>
      </c>
      <c r="H26" s="52" t="str">
        <f t="shared" si="2"/>
        <v/>
      </c>
      <c r="I26" s="52" t="str">
        <f t="shared" si="3"/>
        <v/>
      </c>
      <c r="J26" s="52" t="str">
        <f t="shared" si="4"/>
        <v/>
      </c>
      <c r="K26" s="52" t="str">
        <f t="shared" si="5"/>
        <v/>
      </c>
      <c r="L26" s="52" t="str">
        <f>IF(K26="","","https://www.google.com/search?q="&amp;K26&amp;"&amp;num=100&amp;hl=en&amp;start=100")</f>
        <v/>
      </c>
      <c r="M26" s="52">
        <f t="shared" si="6"/>
        <v>0</v>
      </c>
      <c r="N26" s="52">
        <f>SUM($M$22:M26)</f>
        <v>0</v>
      </c>
    </row>
    <row r="27" spans="1:14" ht="15" customHeight="1" x14ac:dyDescent="0.35">
      <c r="A27" s="54" t="str">
        <f>IF(Sheet1!$J$22="","Counterparty 5",Sheet1!$J$22&amp;" (CP5)")</f>
        <v>Counterparty 5</v>
      </c>
      <c r="B27" s="48" t="s">
        <v>787</v>
      </c>
      <c r="C27" s="48" t="str">
        <f t="shared" si="0"/>
        <v/>
      </c>
      <c r="D27" s="48" t="str">
        <f>IF(F27="","",Sheet1!$J$9&amp;"_"&amp;Sheet1!$J$10&amp;"_CP5_"&amp;N27&amp;"_Google.pdf")</f>
        <v/>
      </c>
      <c r="E27" s="46"/>
      <c r="F27" s="52" t="str">
        <f>IF(Sheet1!$J$22="","",Sheet1!$J$22)</f>
        <v/>
      </c>
      <c r="G27" s="52" t="str">
        <f t="shared" si="1"/>
        <v/>
      </c>
      <c r="H27" s="52" t="str">
        <f t="shared" si="2"/>
        <v/>
      </c>
      <c r="I27" s="52" t="str">
        <f t="shared" si="3"/>
        <v/>
      </c>
      <c r="J27" s="52" t="str">
        <f t="shared" si="4"/>
        <v/>
      </c>
      <c r="K27" s="52" t="str">
        <f t="shared" si="5"/>
        <v/>
      </c>
      <c r="L27" s="52" t="str">
        <f>IF(K27="","","https://www.google.com/search?q="&amp;K27&amp;"&amp;num=100&amp;hl=en")</f>
        <v/>
      </c>
      <c r="M27" s="52">
        <f t="shared" si="6"/>
        <v>0</v>
      </c>
      <c r="N27" s="52">
        <f>SUM($M$27:M27)</f>
        <v>0</v>
      </c>
    </row>
    <row r="28" spans="1:14" ht="15" customHeight="1" x14ac:dyDescent="0.35">
      <c r="A28" s="53" t="str">
        <f>IF(Sheet1!$J$22="","Counterparty 5",Sheet1!$J$22&amp;" (CP5)")</f>
        <v>Counterparty 5</v>
      </c>
      <c r="B28" s="47" t="s">
        <v>789</v>
      </c>
      <c r="C28" s="47" t="str">
        <f t="shared" si="0"/>
        <v/>
      </c>
      <c r="D28" s="47" t="str">
        <f>IF(F28="","",Sheet1!$J$9&amp;"_"&amp;Sheet1!$J$10&amp;"_CP5_"&amp;N28&amp;"_Address.pdf")</f>
        <v/>
      </c>
      <c r="E28" s="55"/>
      <c r="F28" s="52" t="str">
        <f>IF(Sheet1!$T$22="","",Sheet1!$T$22)</f>
        <v/>
      </c>
      <c r="G28" s="52" t="str">
        <f t="shared" si="1"/>
        <v/>
      </c>
      <c r="H28" s="52" t="str">
        <f t="shared" si="2"/>
        <v/>
      </c>
      <c r="I28" s="52" t="str">
        <f t="shared" si="3"/>
        <v/>
      </c>
      <c r="J28" s="52" t="str">
        <f t="shared" si="4"/>
        <v/>
      </c>
      <c r="K28" s="52" t="str">
        <f t="shared" si="5"/>
        <v/>
      </c>
      <c r="L28" s="52" t="str">
        <f>IF(K28="","","https://www.google.com/search?q="&amp;K28&amp;"&amp;num=100&amp;hl=en")</f>
        <v/>
      </c>
      <c r="M28" s="52">
        <f t="shared" si="6"/>
        <v>0</v>
      </c>
      <c r="N28" s="52">
        <f>SUM($M$27:M28)</f>
        <v>0</v>
      </c>
    </row>
    <row r="29" spans="1:14" ht="15" customHeight="1" x14ac:dyDescent="0.35">
      <c r="A29" s="54" t="str">
        <f>IF(Sheet1!$J$22="","Counterparty 5",Sheet1!$J$22&amp;" (CP5)")</f>
        <v>Counterparty 5</v>
      </c>
      <c r="B29" s="48" t="s">
        <v>790</v>
      </c>
      <c r="C29" s="48" t="str">
        <f t="shared" si="0"/>
        <v/>
      </c>
      <c r="D29" s="48" t="str">
        <f>IF(F29="","",Sheet1!$J$9&amp;"_"&amp;Sheet1!$J$10&amp;"_CP5_"&amp;N29&amp;"_Google+Address.pdf")</f>
        <v/>
      </c>
      <c r="E29" s="56"/>
      <c r="F29" s="52" t="str">
        <f>IF(OR(Sheet1!$J$22="",Sheet1!$T$22=""),"",Sheet1!$J$22&amp;" "&amp;Sheet1!$T$22)</f>
        <v/>
      </c>
      <c r="G29" s="52" t="str">
        <f t="shared" si="1"/>
        <v/>
      </c>
      <c r="H29" s="52" t="str">
        <f t="shared" si="2"/>
        <v/>
      </c>
      <c r="I29" s="52" t="str">
        <f t="shared" si="3"/>
        <v/>
      </c>
      <c r="J29" s="52" t="str">
        <f t="shared" si="4"/>
        <v/>
      </c>
      <c r="K29" s="52" t="str">
        <f t="shared" si="5"/>
        <v/>
      </c>
      <c r="L29" s="52" t="str">
        <f>IF(K29="","","https://www.google.com/search?q="&amp;K29&amp;"&amp;num=100&amp;hl=en")</f>
        <v/>
      </c>
      <c r="M29" s="52">
        <f t="shared" si="6"/>
        <v>0</v>
      </c>
      <c r="N29" s="52">
        <f>SUM($M$27:M29)</f>
        <v>0</v>
      </c>
    </row>
    <row r="30" spans="1:14" ht="15" customHeight="1" x14ac:dyDescent="0.35">
      <c r="A30" s="53" t="str">
        <f>IF(Sheet1!$J$22="","Counterparty 5",Sheet1!$J$22&amp;" (CP5)")</f>
        <v>Counterparty 5</v>
      </c>
      <c r="B30" s="47" t="s">
        <v>791</v>
      </c>
      <c r="C30" s="47" t="str">
        <f t="shared" si="0"/>
        <v/>
      </c>
      <c r="D30" s="47" t="str">
        <f>IF(F30="","",Sheet1!$J$9&amp;"_"&amp;Sheet1!$J$10&amp;"_CP5_"&amp;N30&amp;"_Negative News 1.pdf")</f>
        <v/>
      </c>
      <c r="E30" s="46"/>
      <c r="F30" s="52"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0" s="52" t="str">
        <f t="shared" si="1"/>
        <v/>
      </c>
      <c r="H30" s="52" t="str">
        <f t="shared" si="2"/>
        <v/>
      </c>
      <c r="I30" s="52" t="str">
        <f t="shared" si="3"/>
        <v/>
      </c>
      <c r="J30" s="52" t="str">
        <f t="shared" si="4"/>
        <v/>
      </c>
      <c r="K30" s="52" t="str">
        <f t="shared" si="5"/>
        <v/>
      </c>
      <c r="L30" s="52" t="str">
        <f>IF(K30="","","https://www.google.com/search?q="&amp;K30&amp;"&amp;num=100&amp;hl=en")</f>
        <v/>
      </c>
      <c r="M30" s="52">
        <f t="shared" si="6"/>
        <v>0</v>
      </c>
      <c r="N30" s="52">
        <f>SUM($M$27:M30)</f>
        <v>0</v>
      </c>
    </row>
    <row r="31" spans="1:14" ht="15" customHeight="1" x14ac:dyDescent="0.35">
      <c r="A31" s="54" t="str">
        <f>IF(Sheet1!$J$22="","Counterparty 5",Sheet1!$J$22&amp;" (CP5)")</f>
        <v>Counterparty 5</v>
      </c>
      <c r="B31" s="48" t="s">
        <v>792</v>
      </c>
      <c r="C31" s="48" t="str">
        <f t="shared" si="0"/>
        <v/>
      </c>
      <c r="D31" s="48" t="str">
        <f>IF(F31="","",Sheet1!$J$9&amp;"_"&amp;Sheet1!$J$10&amp;"_CP5_"&amp;N31&amp;"_Negative News 2.pdf")</f>
        <v/>
      </c>
      <c r="E31" s="46"/>
      <c r="F31" s="52" t="str">
        <f>IF(Sheet1!$J$22="","",CHAR(34)&amp;Sheet1!$J$22&amp;CHAR(34)&amp;" AND (arrest OR corruption OR sentencing OR money laundering OR AML OR launder OR embezzle OR evas OR evad OR crime OR corrupt OR bribe OR theft OR extort OR drug OR traffic OR trafficking OR felony OR sanction OR counterfeit OR terror)")</f>
        <v/>
      </c>
      <c r="G31" s="52" t="str">
        <f t="shared" si="1"/>
        <v/>
      </c>
      <c r="H31" s="52" t="str">
        <f t="shared" si="2"/>
        <v/>
      </c>
      <c r="I31" s="52" t="str">
        <f t="shared" si="3"/>
        <v/>
      </c>
      <c r="J31" s="52" t="str">
        <f t="shared" si="4"/>
        <v/>
      </c>
      <c r="K31" s="52" t="str">
        <f t="shared" si="5"/>
        <v/>
      </c>
      <c r="L31" s="52" t="str">
        <f>IF(K31="","","https://www.google.com/search?q="&amp;K31&amp;"&amp;num=100&amp;hl=en&amp;start=100")</f>
        <v/>
      </c>
      <c r="M31" s="52">
        <f t="shared" si="6"/>
        <v>0</v>
      </c>
      <c r="N31" s="52">
        <f>SUM($M$27:M31)</f>
        <v>0</v>
      </c>
    </row>
    <row r="32" spans="1:14" ht="15" customHeight="1" x14ac:dyDescent="0.35">
      <c r="A32" s="53" t="str">
        <f>IF(Sheet1!$J$23="","Counterparty 6",Sheet1!$J$23&amp;" (CP6)")</f>
        <v>Counterparty 6</v>
      </c>
      <c r="B32" s="47" t="s">
        <v>787</v>
      </c>
      <c r="C32" s="47" t="str">
        <f t="shared" si="0"/>
        <v/>
      </c>
      <c r="D32" s="47" t="str">
        <f>IF(F32="","",Sheet1!$J$9&amp;"_"&amp;Sheet1!$J$10&amp;"_CP6_"&amp;N32&amp;"_Google.pdf")</f>
        <v/>
      </c>
      <c r="E32" s="46"/>
      <c r="F32" s="52" t="str">
        <f>IF(Sheet1!$J$23="","",Sheet1!$J$23)</f>
        <v/>
      </c>
      <c r="G32" s="52" t="str">
        <f t="shared" si="1"/>
        <v/>
      </c>
      <c r="H32" s="52" t="str">
        <f t="shared" si="2"/>
        <v/>
      </c>
      <c r="I32" s="52" t="str">
        <f t="shared" si="3"/>
        <v/>
      </c>
      <c r="J32" s="52" t="str">
        <f t="shared" si="4"/>
        <v/>
      </c>
      <c r="K32" s="52" t="str">
        <f t="shared" si="5"/>
        <v/>
      </c>
      <c r="L32" s="52" t="str">
        <f>IF(K32="","","https://www.google.com/search?q="&amp;K32&amp;"&amp;num=100&amp;hl=en")</f>
        <v/>
      </c>
      <c r="M32" s="52">
        <f t="shared" si="6"/>
        <v>0</v>
      </c>
      <c r="N32" s="52">
        <f>SUM($M$32:M32)</f>
        <v>0</v>
      </c>
    </row>
    <row r="33" spans="1:14" ht="15" customHeight="1" x14ac:dyDescent="0.35">
      <c r="A33" s="54" t="str">
        <f>IF(Sheet1!$J$23="","Counterparty 6",Sheet1!$J$23&amp;" (CP6)")</f>
        <v>Counterparty 6</v>
      </c>
      <c r="B33" s="48" t="s">
        <v>789</v>
      </c>
      <c r="C33" s="48" t="str">
        <f t="shared" si="0"/>
        <v/>
      </c>
      <c r="D33" s="48" t="str">
        <f>IF(F33="","",Sheet1!$J$9&amp;"_"&amp;Sheet1!$J$10&amp;"_CP6_"&amp;N33&amp;"_Address.pdf")</f>
        <v/>
      </c>
      <c r="E33" s="56"/>
      <c r="F33" s="52" t="str">
        <f>IF(Sheet1!$T$23="","",Sheet1!$T$23)</f>
        <v/>
      </c>
      <c r="G33" s="52" t="str">
        <f t="shared" si="1"/>
        <v/>
      </c>
      <c r="H33" s="52" t="str">
        <f t="shared" si="2"/>
        <v/>
      </c>
      <c r="I33" s="52" t="str">
        <f t="shared" si="3"/>
        <v/>
      </c>
      <c r="J33" s="52" t="str">
        <f t="shared" si="4"/>
        <v/>
      </c>
      <c r="K33" s="52" t="str">
        <f t="shared" si="5"/>
        <v/>
      </c>
      <c r="L33" s="52" t="str">
        <f>IF(K33="","","https://www.google.com/search?q="&amp;K33&amp;"&amp;num=100&amp;hl=en")</f>
        <v/>
      </c>
      <c r="M33" s="52">
        <f t="shared" si="6"/>
        <v>0</v>
      </c>
      <c r="N33" s="52">
        <f>SUM($M$32:M33)</f>
        <v>0</v>
      </c>
    </row>
    <row r="34" spans="1:14" ht="15" customHeight="1" x14ac:dyDescent="0.35">
      <c r="A34" s="53" t="str">
        <f>IF(Sheet1!$J$23="","Counterparty 6",Sheet1!$J$23&amp;" (CP6)")</f>
        <v>Counterparty 6</v>
      </c>
      <c r="B34" s="47" t="s">
        <v>790</v>
      </c>
      <c r="C34" s="47" t="str">
        <f t="shared" si="0"/>
        <v/>
      </c>
      <c r="D34" s="47" t="str">
        <f>IF(F34="","",Sheet1!$J$9&amp;"_"&amp;Sheet1!$J$10&amp;"_CP6_"&amp;N34&amp;"_Google+Address.pdf")</f>
        <v/>
      </c>
      <c r="E34" s="55"/>
      <c r="F34" s="52" t="str">
        <f>IF(OR(Sheet1!$J$23="",Sheet1!$T$23=""),"",Sheet1!$J$23&amp;" "&amp;Sheet1!$T$23)</f>
        <v/>
      </c>
      <c r="G34" s="52" t="str">
        <f t="shared" si="1"/>
        <v/>
      </c>
      <c r="H34" s="52" t="str">
        <f t="shared" si="2"/>
        <v/>
      </c>
      <c r="I34" s="52" t="str">
        <f t="shared" si="3"/>
        <v/>
      </c>
      <c r="J34" s="52" t="str">
        <f t="shared" si="4"/>
        <v/>
      </c>
      <c r="K34" s="52" t="str">
        <f t="shared" si="5"/>
        <v/>
      </c>
      <c r="L34" s="52" t="str">
        <f>IF(K34="","","https://www.google.com/search?q="&amp;K34&amp;"&amp;num=100&amp;hl=en")</f>
        <v/>
      </c>
      <c r="M34" s="52">
        <f t="shared" si="6"/>
        <v>0</v>
      </c>
      <c r="N34" s="52">
        <f>SUM($M$32:M34)</f>
        <v>0</v>
      </c>
    </row>
    <row r="35" spans="1:14" ht="15" customHeight="1" x14ac:dyDescent="0.35">
      <c r="A35" s="54" t="str">
        <f>IF(Sheet1!$J$23="","Counterparty 6",Sheet1!$J$23&amp;" (CP6)")</f>
        <v>Counterparty 6</v>
      </c>
      <c r="B35" s="48" t="s">
        <v>791</v>
      </c>
      <c r="C35" s="48" t="str">
        <f t="shared" si="0"/>
        <v/>
      </c>
      <c r="D35" s="48" t="str">
        <f>IF(F35="","",Sheet1!$J$9&amp;"_"&amp;Sheet1!$J$10&amp;"_CP6_"&amp;N35&amp;"_Negative News 1.pdf")</f>
        <v/>
      </c>
      <c r="E35" s="46"/>
      <c r="F35" s="52"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5" s="52" t="str">
        <f t="shared" si="1"/>
        <v/>
      </c>
      <c r="H35" s="52" t="str">
        <f t="shared" si="2"/>
        <v/>
      </c>
      <c r="I35" s="52" t="str">
        <f t="shared" si="3"/>
        <v/>
      </c>
      <c r="J35" s="52" t="str">
        <f t="shared" si="4"/>
        <v/>
      </c>
      <c r="K35" s="52" t="str">
        <f t="shared" si="5"/>
        <v/>
      </c>
      <c r="L35" s="52" t="str">
        <f>IF(K35="","","https://www.google.com/search?q="&amp;K35&amp;"&amp;num=100&amp;hl=en")</f>
        <v/>
      </c>
      <c r="M35" s="52">
        <f t="shared" si="6"/>
        <v>0</v>
      </c>
      <c r="N35" s="52">
        <f>SUM($M$32:M35)</f>
        <v>0</v>
      </c>
    </row>
    <row r="36" spans="1:14" ht="15" customHeight="1" thickBot="1" x14ac:dyDescent="0.4">
      <c r="A36" s="57" t="str">
        <f>IF(Sheet1!$J$23="","Counterparty 6",Sheet1!$J$23&amp;" (CP6)")</f>
        <v>Counterparty 6</v>
      </c>
      <c r="B36" s="58" t="s">
        <v>792</v>
      </c>
      <c r="C36" s="58" t="str">
        <f t="shared" si="0"/>
        <v/>
      </c>
      <c r="D36" s="58" t="str">
        <f>IF(F36="","",Sheet1!$J$9&amp;"_"&amp;Sheet1!$J$10&amp;"_CP6_"&amp;N36&amp;"_Negative News 2.pdf")</f>
        <v/>
      </c>
      <c r="E36" s="46"/>
      <c r="F36" s="52" t="str">
        <f>IF(Sheet1!$J$23="","",CHAR(34)&amp;Sheet1!$J$23&amp;CHAR(34)&amp;" AND (arrest OR corruption OR sentencing OR money laundering OR AML OR launder OR embezzle OR evas OR evad OR crime OR corrupt OR bribe OR theft OR extort OR drug OR traffic OR trafficking OR felony OR sanction OR counterfeit OR terror)")</f>
        <v/>
      </c>
      <c r="G36" s="52" t="str">
        <f t="shared" si="1"/>
        <v/>
      </c>
      <c r="H36" s="52" t="str">
        <f t="shared" si="2"/>
        <v/>
      </c>
      <c r="I36" s="52" t="str">
        <f t="shared" si="3"/>
        <v/>
      </c>
      <c r="J36" s="52" t="str">
        <f t="shared" si="4"/>
        <v/>
      </c>
      <c r="K36" s="52" t="str">
        <f t="shared" si="5"/>
        <v/>
      </c>
      <c r="L36" s="52" t="str">
        <f>IF(K36="","","https://www.google.com/search?q="&amp;K36&amp;"&amp;num=100&amp;hl=en&amp;start=100")</f>
        <v/>
      </c>
      <c r="M36" s="52">
        <f t="shared" si="6"/>
        <v>0</v>
      </c>
      <c r="N36" s="52">
        <f>SUM($M$32:M36)</f>
        <v>0</v>
      </c>
    </row>
    <row r="37" spans="1:14" x14ac:dyDescent="0.35"/>
  </sheetData>
  <hyperlinks>
    <hyperlink ref="E2" r:id="rId1" xr:uid="{6CE63B99-91CC-476A-ADF4-264A9F75D096}"/>
    <hyperlink ref="E5" r:id="rId2" xr:uid="{D4DFF506-B009-40D3-8527-BBCDCA661777}"/>
    <hyperlink ref="E6" r:id="rId3" xr:uid="{BCAB331A-9FA2-4AFD-9205-EA12AADCDEF1}"/>
    <hyperlink ref="E7" r:id="rId4" xr:uid="{D7F7EE0F-EB8F-48F2-B7E1-798E41EDFF82}"/>
    <hyperlink ref="E10" r:id="rId5" xr:uid="{B7EC8A95-A1B8-46AC-98A4-9FF78DE260BF}"/>
    <hyperlink ref="E11" r:id="rId6" xr:uid="{652F3599-1533-4757-8C7F-1642E02C632D}"/>
    <hyperlink ref="E12" r:id="rId7" xr:uid="{BD6A26DE-84BD-4F2F-BE39-3A377F8EE639}"/>
    <hyperlink ref="E15" r:id="rId8" xr:uid="{012CBA90-B2A5-429E-A707-34C7CC700386}"/>
    <hyperlink ref="E16" r:id="rId9" xr:uid="{4848C0C6-4C3E-4177-8D15-7F6A8F3F0AB1}"/>
  </hyperlinks>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4" tint="0.39997558519241921"/>
  </sheetPr>
  <dimension ref="A1:M4"/>
  <sheetViews>
    <sheetView showGridLines="0" zoomScale="90" zoomScaleNormal="90" workbookViewId="0">
      <selection activeCell="B4" sqref="B4"/>
    </sheetView>
  </sheetViews>
  <sheetFormatPr defaultColWidth="0" defaultRowHeight="14.5" zeroHeight="1" x14ac:dyDescent="0.35"/>
  <cols>
    <col min="1" max="1" width="32.453125" style="30" bestFit="1" customWidth="1"/>
    <col min="2" max="2" width="149.453125" style="30" bestFit="1" customWidth="1"/>
    <col min="3" max="3" width="4.81640625" style="30" customWidth="1"/>
    <col min="4" max="13" width="4.81640625" style="30" hidden="1" customWidth="1"/>
    <col min="14" max="14" width="8.81640625" style="30" hidden="1" customWidth="1"/>
    <col min="15" max="16384" width="8.81640625" style="30" hidden="1"/>
  </cols>
  <sheetData>
    <row r="1" spans="1:2" ht="24.65" customHeight="1" x14ac:dyDescent="0.35">
      <c r="A1" s="114"/>
      <c r="B1" s="113"/>
    </row>
    <row r="2" spans="1:2" ht="20.5" customHeight="1" x14ac:dyDescent="0.35">
      <c r="A2" s="112"/>
      <c r="B2" s="113"/>
    </row>
    <row r="3" spans="1:2" s="32" customFormat="1" ht="20.5" hidden="1" customHeight="1" x14ac:dyDescent="0.35">
      <c r="A3" s="31" t="s">
        <v>793</v>
      </c>
      <c r="B3" s="29" t="s">
        <v>794</v>
      </c>
    </row>
    <row r="4" spans="1:2" x14ac:dyDescent="0.35">
      <c r="A4" s="33" t="s">
        <v>795</v>
      </c>
      <c r="B4" s="29" t="s">
        <v>796</v>
      </c>
    </row>
  </sheetData>
  <mergeCells count="2">
    <mergeCell ref="A2:B2"/>
    <mergeCell ref="A1:B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4" tint="0.59999389629810485"/>
  </sheetPr>
  <dimension ref="A1:AE5"/>
  <sheetViews>
    <sheetView zoomScale="85" zoomScaleNormal="85" workbookViewId="0">
      <selection activeCell="AE2" sqref="AE2:AE3"/>
    </sheetView>
  </sheetViews>
  <sheetFormatPr defaultColWidth="8.81640625" defaultRowHeight="14.5" x14ac:dyDescent="0.35"/>
  <cols>
    <col min="1" max="1" width="12.08984375" style="27" bestFit="1" customWidth="1"/>
    <col min="2" max="2" width="13.6328125" style="27" bestFit="1" customWidth="1"/>
    <col min="3" max="3" width="29" style="27" bestFit="1" customWidth="1"/>
    <col min="4" max="4" width="8.90625" style="27" bestFit="1" customWidth="1"/>
    <col min="5" max="5" width="18.7265625" style="27" bestFit="1" customWidth="1"/>
    <col min="6" max="6" width="12.90625" style="27" bestFit="1" customWidth="1"/>
    <col min="7" max="7" width="20" style="27" bestFit="1" customWidth="1"/>
    <col min="8" max="8" width="14.36328125" style="27" bestFit="1" customWidth="1"/>
    <col min="9" max="9" width="23.81640625" style="27" bestFit="1" customWidth="1"/>
    <col min="10" max="10" width="7.7265625" style="27" bestFit="1" customWidth="1"/>
    <col min="11" max="11" width="16.7265625" style="27" bestFit="1" customWidth="1"/>
    <col min="12" max="12" width="14.08984375" style="27" bestFit="1" customWidth="1"/>
    <col min="13" max="13" width="4.81640625" style="27" bestFit="1" customWidth="1"/>
    <col min="14" max="14" width="11.7265625" style="27" bestFit="1" customWidth="1"/>
    <col min="15" max="15" width="14.6328125" style="27" bestFit="1" customWidth="1"/>
    <col min="16" max="16" width="18.453125" style="27" bestFit="1" customWidth="1"/>
    <col min="17" max="17" width="18.26953125" style="27" bestFit="1" customWidth="1"/>
    <col min="18" max="18" width="20.54296875" style="27" bestFit="1" customWidth="1"/>
    <col min="19" max="20" width="16.26953125" style="27" bestFit="1" customWidth="1"/>
    <col min="21" max="21" width="13.90625" style="27" bestFit="1" customWidth="1"/>
    <col min="22" max="22" width="34" style="27" bestFit="1" customWidth="1"/>
    <col min="23" max="23" width="12.90625" style="27" bestFit="1" customWidth="1"/>
    <col min="24" max="24" width="13.90625" style="27" bestFit="1" customWidth="1"/>
    <col min="25" max="25" width="17.7265625" style="27" bestFit="1" customWidth="1"/>
    <col min="26" max="26" width="17.54296875" style="27" bestFit="1" customWidth="1"/>
    <col min="27" max="27" width="19.81640625" style="27" bestFit="1" customWidth="1"/>
    <col min="28" max="28" width="41.81640625" style="27" bestFit="1" customWidth="1"/>
    <col min="29" max="29" width="15.54296875" style="27" bestFit="1" customWidth="1"/>
    <col min="30" max="30" width="33.1796875" style="27" bestFit="1" customWidth="1"/>
    <col min="31" max="31" width="11.08984375" style="27" bestFit="1" customWidth="1"/>
    <col min="32" max="32" width="13.453125" style="27" bestFit="1" customWidth="1"/>
    <col min="33" max="33" width="52.90625" style="27" bestFit="1" customWidth="1"/>
    <col min="34" max="34" width="10.08984375" style="27" bestFit="1" customWidth="1"/>
    <col min="35" max="35" width="18.81640625" style="27" bestFit="1" customWidth="1"/>
    <col min="36" max="36" width="26.26953125" style="27" bestFit="1" customWidth="1"/>
    <col min="37" max="37" width="10.08984375" style="27" bestFit="1" customWidth="1"/>
    <col min="38" max="38" width="10.81640625" style="27" bestFit="1" customWidth="1"/>
    <col min="39" max="39" width="12.453125" style="27" bestFit="1" customWidth="1"/>
    <col min="40" max="40" width="10.08984375" style="27" bestFit="1" customWidth="1"/>
    <col min="41" max="41" width="10.81640625" style="27" bestFit="1" customWidth="1"/>
    <col min="42" max="43" width="12.453125" style="27" bestFit="1" customWidth="1"/>
    <col min="44" max="44" width="33.81640625" style="27" bestFit="1" customWidth="1"/>
    <col min="45" max="45" width="12.453125" style="27" bestFit="1" customWidth="1"/>
    <col min="46" max="46" width="13.453125" style="27" bestFit="1" customWidth="1"/>
    <col min="47" max="47" width="33.81640625" style="27" bestFit="1" customWidth="1"/>
    <col min="48" max="48" width="12.453125" style="27" bestFit="1" customWidth="1"/>
    <col min="49" max="49" width="24.453125" style="27" bestFit="1" customWidth="1"/>
    <col min="50" max="50" width="6.81640625" style="27" bestFit="1" customWidth="1"/>
    <col min="51" max="51" width="9.81640625" style="27" bestFit="1" customWidth="1"/>
    <col min="52" max="52" width="8.81640625" style="27" customWidth="1"/>
    <col min="53" max="16384" width="8.81640625" style="27"/>
  </cols>
  <sheetData>
    <row r="1" spans="1:31" s="27" customFormat="1" ht="28" x14ac:dyDescent="0.35">
      <c r="A1" s="59" t="s">
        <v>797</v>
      </c>
      <c r="B1" s="60" t="s">
        <v>798</v>
      </c>
      <c r="C1" s="60" t="s">
        <v>799</v>
      </c>
      <c r="D1" s="60" t="s">
        <v>800</v>
      </c>
      <c r="E1" s="60" t="s">
        <v>801</v>
      </c>
      <c r="F1" s="60" t="s">
        <v>802</v>
      </c>
      <c r="G1" s="60" t="s">
        <v>803</v>
      </c>
      <c r="H1" s="60" t="s">
        <v>804</v>
      </c>
      <c r="I1" s="60" t="s">
        <v>805</v>
      </c>
      <c r="J1" s="60" t="s">
        <v>806</v>
      </c>
      <c r="K1" s="60" t="s">
        <v>807</v>
      </c>
      <c r="L1" s="60" t="s">
        <v>808</v>
      </c>
      <c r="M1" s="60" t="s">
        <v>809</v>
      </c>
      <c r="N1" s="60" t="s">
        <v>810</v>
      </c>
      <c r="O1" s="60" t="s">
        <v>811</v>
      </c>
      <c r="P1" s="60" t="s">
        <v>812</v>
      </c>
      <c r="Q1" s="60" t="s">
        <v>813</v>
      </c>
      <c r="R1" s="60" t="s">
        <v>814</v>
      </c>
      <c r="S1" s="60" t="s">
        <v>815</v>
      </c>
      <c r="T1" s="60" t="s">
        <v>816</v>
      </c>
      <c r="U1" s="60" t="s">
        <v>817</v>
      </c>
      <c r="V1" s="60" t="s">
        <v>818</v>
      </c>
      <c r="W1" s="60" t="s">
        <v>819</v>
      </c>
      <c r="X1" s="60" t="s">
        <v>820</v>
      </c>
      <c r="Y1" s="60" t="s">
        <v>821</v>
      </c>
      <c r="Z1" s="60" t="s">
        <v>822</v>
      </c>
      <c r="AA1" s="60" t="s">
        <v>823</v>
      </c>
      <c r="AB1" s="60" t="s">
        <v>824</v>
      </c>
      <c r="AC1" s="60" t="s">
        <v>825</v>
      </c>
      <c r="AD1" s="60" t="s">
        <v>826</v>
      </c>
      <c r="AE1" s="60" t="s">
        <v>827</v>
      </c>
    </row>
    <row r="2" spans="1:31" s="27" customFormat="1" x14ac:dyDescent="0.35">
      <c r="A2" s="61" t="s">
        <v>2811</v>
      </c>
      <c r="B2" s="61" t="s">
        <v>2812</v>
      </c>
      <c r="C2" s="61" t="s">
        <v>2813</v>
      </c>
      <c r="D2" s="61" t="s">
        <v>717</v>
      </c>
      <c r="E2" s="61" t="s">
        <v>829</v>
      </c>
      <c r="F2" s="61" t="s">
        <v>2814</v>
      </c>
      <c r="G2" s="61" t="s">
        <v>2815</v>
      </c>
      <c r="H2" s="61" t="s">
        <v>2816</v>
      </c>
      <c r="I2" s="61" t="s">
        <v>2817</v>
      </c>
      <c r="J2" s="61" t="s">
        <v>830</v>
      </c>
      <c r="K2" s="63">
        <v>8000</v>
      </c>
      <c r="L2" s="62">
        <v>46174</v>
      </c>
      <c r="M2" s="61" t="s">
        <v>2818</v>
      </c>
      <c r="N2" s="61" t="s">
        <v>831</v>
      </c>
      <c r="O2" s="61" t="s">
        <v>831</v>
      </c>
      <c r="P2" s="61" t="s">
        <v>831</v>
      </c>
      <c r="Q2" s="61" t="s">
        <v>831</v>
      </c>
      <c r="R2" s="61" t="s">
        <v>831</v>
      </c>
      <c r="S2" s="61" t="s">
        <v>2819</v>
      </c>
      <c r="T2" s="61" t="s">
        <v>738</v>
      </c>
      <c r="U2" s="61" t="s">
        <v>832</v>
      </c>
      <c r="V2" s="61" t="s">
        <v>831</v>
      </c>
      <c r="W2" s="61" t="s">
        <v>2814</v>
      </c>
      <c r="X2" s="61" t="s">
        <v>2820</v>
      </c>
      <c r="Y2" s="61" t="s">
        <v>2821</v>
      </c>
      <c r="Z2" s="61" t="s">
        <v>2822</v>
      </c>
      <c r="AA2" s="61" t="s">
        <v>831</v>
      </c>
      <c r="AB2" s="61" t="s">
        <v>2823</v>
      </c>
      <c r="AC2" s="61" t="s">
        <v>746</v>
      </c>
      <c r="AD2" s="61" t="s">
        <v>831</v>
      </c>
      <c r="AE2" s="61" t="str">
        <f t="shared" ref="AE2:AE3" si="0">IF($M2="DR", $O2, $X2)</f>
        <v/>
      </c>
    </row>
    <row r="3" spans="1:31" s="27" customFormat="1" x14ac:dyDescent="0.35">
      <c r="A3" s="61" t="s">
        <v>2824</v>
      </c>
      <c r="B3" s="61" t="s">
        <v>2812</v>
      </c>
      <c r="C3" s="61" t="s">
        <v>2813</v>
      </c>
      <c r="D3" s="61" t="s">
        <v>717</v>
      </c>
      <c r="E3" s="61" t="s">
        <v>829</v>
      </c>
      <c r="F3" s="61" t="s">
        <v>2814</v>
      </c>
      <c r="G3" s="61" t="s">
        <v>2825</v>
      </c>
      <c r="H3" s="61" t="s">
        <v>2816</v>
      </c>
      <c r="I3" s="61" t="s">
        <v>2817</v>
      </c>
      <c r="J3" s="61" t="s">
        <v>830</v>
      </c>
      <c r="K3" s="63">
        <v>7900</v>
      </c>
      <c r="L3" s="62">
        <v>46175</v>
      </c>
      <c r="M3" s="61" t="s">
        <v>2818</v>
      </c>
      <c r="N3" s="61" t="s">
        <v>831</v>
      </c>
      <c r="O3" s="61" t="s">
        <v>831</v>
      </c>
      <c r="P3" s="61" t="s">
        <v>831</v>
      </c>
      <c r="Q3" s="61" t="s">
        <v>831</v>
      </c>
      <c r="R3" s="61" t="s">
        <v>831</v>
      </c>
      <c r="S3" s="61" t="s">
        <v>2819</v>
      </c>
      <c r="T3" s="61" t="s">
        <v>738</v>
      </c>
      <c r="U3" s="61" t="s">
        <v>832</v>
      </c>
      <c r="V3" s="61" t="s">
        <v>831</v>
      </c>
      <c r="W3" s="61" t="s">
        <v>2814</v>
      </c>
      <c r="X3" s="61" t="s">
        <v>2820</v>
      </c>
      <c r="Y3" s="61" t="s">
        <v>2821</v>
      </c>
      <c r="Z3" s="61" t="s">
        <v>2822</v>
      </c>
      <c r="AA3" s="61" t="s">
        <v>831</v>
      </c>
      <c r="AB3" s="61" t="s">
        <v>2823</v>
      </c>
      <c r="AC3" s="61" t="s">
        <v>746</v>
      </c>
      <c r="AD3" s="61" t="s">
        <v>831</v>
      </c>
      <c r="AE3" s="61" t="str">
        <f t="shared" si="0"/>
        <v/>
      </c>
    </row>
    <row r="4" spans="1:31" s="27" customFormat="1" x14ac:dyDescent="0.35">
      <c r="A4" s="64"/>
      <c r="B4" s="64"/>
      <c r="C4" s="64"/>
      <c r="D4" s="64"/>
      <c r="E4" s="64"/>
      <c r="F4" s="64"/>
      <c r="G4" s="64"/>
      <c r="H4" s="64"/>
      <c r="I4" s="64"/>
      <c r="J4" s="64"/>
      <c r="K4" s="64"/>
      <c r="L4" s="64"/>
      <c r="M4" s="64"/>
      <c r="N4" s="64"/>
      <c r="O4" s="64"/>
      <c r="P4" s="64"/>
      <c r="Q4" s="64"/>
      <c r="R4" s="64"/>
      <c r="S4" s="64"/>
      <c r="T4" s="64"/>
      <c r="U4" s="64"/>
      <c r="V4" s="64"/>
      <c r="W4" s="64"/>
      <c r="X4" s="64"/>
      <c r="Y4" s="64"/>
      <c r="Z4" s="64"/>
      <c r="AA4" s="64"/>
      <c r="AB4" s="64"/>
      <c r="AC4" s="64"/>
      <c r="AD4" s="64"/>
    </row>
    <row r="5" spans="1:31" s="27" customFormat="1" x14ac:dyDescent="0.35"/>
  </sheetData>
  <sheetProtection algorithmName="SHA-512" hashValue="WsrJhnTIS1G3fqLBgmO6Q4IiDpZkv3n99MTLD8ea9awwFmMzPBwO0fmBpZHzy3EmYxhyWlBGqmesR9cDuw/p0A==" saltValue="nvYYme2S6eZ1Ebr+YxTdTA==" spinCount="100000" sheet="1" objects="1" scenarios="1"/>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tabColor theme="4" tint="0.79998168889431442"/>
  </sheetPr>
  <dimension ref="A1:I193"/>
  <sheetViews>
    <sheetView topLeftCell="A177" zoomScale="115" zoomScaleNormal="115" workbookViewId="0">
      <selection activeCell="I178" sqref="I89:I178"/>
    </sheetView>
  </sheetViews>
  <sheetFormatPr defaultRowHeight="14.5" x14ac:dyDescent="0.35"/>
  <cols>
    <col min="1" max="1" width="14.81640625" bestFit="1" customWidth="1"/>
    <col min="2" max="2" width="9.1796875" bestFit="1" customWidth="1"/>
    <col min="3" max="3" width="11.1796875" bestFit="1" customWidth="1"/>
    <col min="4" max="4" width="11.54296875" bestFit="1" customWidth="1"/>
    <col min="5" max="5" width="12.81640625" bestFit="1" customWidth="1"/>
    <col min="6" max="6" width="25.1796875" bestFit="1" customWidth="1"/>
    <col min="7" max="7" width="11.1796875" bestFit="1" customWidth="1"/>
    <col min="8" max="8" width="14.1796875" bestFit="1" customWidth="1"/>
  </cols>
  <sheetData>
    <row r="1" spans="1:9" x14ac:dyDescent="0.35">
      <c r="A1" t="s">
        <v>833</v>
      </c>
      <c r="B1" t="s">
        <v>834</v>
      </c>
      <c r="C1" t="s">
        <v>835</v>
      </c>
      <c r="D1" t="s">
        <v>836</v>
      </c>
      <c r="E1" t="s">
        <v>837</v>
      </c>
      <c r="F1" t="s">
        <v>838</v>
      </c>
      <c r="G1" t="s">
        <v>839</v>
      </c>
      <c r="H1" s="44" t="s">
        <v>840</v>
      </c>
      <c r="I1" s="44" t="s">
        <v>841</v>
      </c>
    </row>
    <row r="2" spans="1:9" x14ac:dyDescent="0.35">
      <c r="A2" s="43">
        <v>46142.930358796293</v>
      </c>
      <c r="B2" t="s">
        <v>842</v>
      </c>
      <c r="C2">
        <v>12</v>
      </c>
      <c r="D2">
        <v>1</v>
      </c>
      <c r="E2">
        <v>5</v>
      </c>
      <c r="F2" t="s">
        <v>843</v>
      </c>
      <c r="G2" t="s">
        <v>844</v>
      </c>
    </row>
    <row r="3" spans="1:9" x14ac:dyDescent="0.35">
      <c r="A3" s="43">
        <v>46142.937476851846</v>
      </c>
      <c r="B3" t="s">
        <v>842</v>
      </c>
      <c r="C3">
        <v>123</v>
      </c>
      <c r="D3">
        <v>1</v>
      </c>
      <c r="E3">
        <v>1</v>
      </c>
      <c r="F3" t="s">
        <v>845</v>
      </c>
      <c r="G3" t="s">
        <v>844</v>
      </c>
    </row>
    <row r="4" spans="1:9" x14ac:dyDescent="0.35">
      <c r="A4" s="43">
        <v>46145.370891203696</v>
      </c>
      <c r="B4" t="s">
        <v>842</v>
      </c>
      <c r="C4">
        <v>123</v>
      </c>
      <c r="D4">
        <v>7</v>
      </c>
      <c r="E4">
        <v>0</v>
      </c>
      <c r="F4" t="s">
        <v>846</v>
      </c>
      <c r="G4" t="s">
        <v>847</v>
      </c>
    </row>
    <row r="5" spans="1:9" x14ac:dyDescent="0.35">
      <c r="A5" s="43">
        <v>46145.384375000001</v>
      </c>
      <c r="B5" t="s">
        <v>842</v>
      </c>
      <c r="C5">
        <v>123</v>
      </c>
      <c r="D5">
        <v>7</v>
      </c>
      <c r="E5">
        <v>35</v>
      </c>
      <c r="F5" t="s">
        <v>848</v>
      </c>
      <c r="G5" t="s">
        <v>849</v>
      </c>
    </row>
    <row r="6" spans="1:9" x14ac:dyDescent="0.35">
      <c r="A6" s="43">
        <v>46145.402349537027</v>
      </c>
      <c r="B6" t="s">
        <v>842</v>
      </c>
      <c r="C6">
        <v>123</v>
      </c>
      <c r="D6">
        <v>7</v>
      </c>
      <c r="E6">
        <v>35</v>
      </c>
      <c r="F6" t="s">
        <v>850</v>
      </c>
      <c r="G6" t="s">
        <v>849</v>
      </c>
    </row>
    <row r="7" spans="1:9" x14ac:dyDescent="0.35">
      <c r="A7" s="43">
        <v>46145.466944444437</v>
      </c>
      <c r="B7" t="s">
        <v>842</v>
      </c>
      <c r="C7">
        <v>123</v>
      </c>
      <c r="D7">
        <v>5</v>
      </c>
      <c r="E7">
        <v>23</v>
      </c>
      <c r="F7" t="s">
        <v>851</v>
      </c>
      <c r="G7" t="s">
        <v>849</v>
      </c>
    </row>
    <row r="8" spans="1:9" x14ac:dyDescent="0.35">
      <c r="A8" s="43">
        <v>46145.473622685182</v>
      </c>
      <c r="B8" t="s">
        <v>842</v>
      </c>
      <c r="C8">
        <v>11111</v>
      </c>
      <c r="D8">
        <v>1</v>
      </c>
      <c r="E8">
        <v>5</v>
      </c>
      <c r="F8" t="s">
        <v>852</v>
      </c>
      <c r="G8" t="s">
        <v>849</v>
      </c>
    </row>
    <row r="9" spans="1:9" x14ac:dyDescent="0.35">
      <c r="A9" s="43">
        <v>46145.474849537037</v>
      </c>
      <c r="B9" t="s">
        <v>842</v>
      </c>
      <c r="C9">
        <v>1</v>
      </c>
      <c r="D9">
        <v>1</v>
      </c>
      <c r="E9">
        <v>5</v>
      </c>
      <c r="F9" t="s">
        <v>853</v>
      </c>
      <c r="G9" t="s">
        <v>849</v>
      </c>
    </row>
    <row r="10" spans="1:9" x14ac:dyDescent="0.35">
      <c r="A10" s="43">
        <v>46145.594849537039</v>
      </c>
      <c r="B10" t="s">
        <v>842</v>
      </c>
      <c r="C10">
        <v>123</v>
      </c>
      <c r="D10">
        <v>1</v>
      </c>
      <c r="E10">
        <v>5</v>
      </c>
      <c r="F10" t="s">
        <v>854</v>
      </c>
      <c r="G10" t="s">
        <v>849</v>
      </c>
    </row>
    <row r="11" spans="1:9" x14ac:dyDescent="0.35">
      <c r="A11" s="43">
        <v>46145.960868055547</v>
      </c>
      <c r="B11" t="s">
        <v>842</v>
      </c>
      <c r="C11">
        <v>19793</v>
      </c>
      <c r="D11">
        <v>5</v>
      </c>
      <c r="E11">
        <v>23</v>
      </c>
      <c r="F11" t="s">
        <v>855</v>
      </c>
      <c r="G11" t="s">
        <v>856</v>
      </c>
    </row>
    <row r="12" spans="1:9" x14ac:dyDescent="0.35">
      <c r="A12" s="43">
        <v>46145.972534722219</v>
      </c>
      <c r="B12" t="s">
        <v>842</v>
      </c>
      <c r="C12">
        <v>19793</v>
      </c>
      <c r="D12">
        <v>5</v>
      </c>
      <c r="E12">
        <v>23</v>
      </c>
      <c r="F12" t="s">
        <v>857</v>
      </c>
      <c r="G12" t="s">
        <v>856</v>
      </c>
    </row>
    <row r="13" spans="1:9" x14ac:dyDescent="0.35">
      <c r="A13" s="43">
        <v>46145.994583333333</v>
      </c>
      <c r="B13" t="s">
        <v>842</v>
      </c>
      <c r="C13">
        <v>19793</v>
      </c>
      <c r="D13">
        <v>5</v>
      </c>
      <c r="E13">
        <v>23</v>
      </c>
      <c r="F13" t="s">
        <v>858</v>
      </c>
      <c r="G13" t="s">
        <v>859</v>
      </c>
    </row>
    <row r="14" spans="1:9" x14ac:dyDescent="0.35">
      <c r="A14" s="43">
        <v>46146.008067129631</v>
      </c>
      <c r="B14" t="s">
        <v>842</v>
      </c>
      <c r="C14">
        <v>19793</v>
      </c>
      <c r="D14">
        <v>5</v>
      </c>
      <c r="E14">
        <v>23</v>
      </c>
      <c r="F14" t="s">
        <v>860</v>
      </c>
      <c r="G14" t="s">
        <v>861</v>
      </c>
    </row>
    <row r="15" spans="1:9" x14ac:dyDescent="0.35">
      <c r="A15" s="43">
        <v>46146.018854166658</v>
      </c>
      <c r="B15" t="s">
        <v>842</v>
      </c>
      <c r="C15">
        <v>1</v>
      </c>
      <c r="D15">
        <v>5</v>
      </c>
      <c r="E15">
        <v>23</v>
      </c>
      <c r="F15" t="s">
        <v>862</v>
      </c>
      <c r="G15" t="s">
        <v>861</v>
      </c>
    </row>
    <row r="16" spans="1:9" x14ac:dyDescent="0.35">
      <c r="A16" s="43">
        <v>46146.029097222221</v>
      </c>
      <c r="B16" t="s">
        <v>842</v>
      </c>
      <c r="C16">
        <v>1</v>
      </c>
      <c r="D16">
        <v>5</v>
      </c>
      <c r="E16">
        <v>23</v>
      </c>
      <c r="F16" t="s">
        <v>863</v>
      </c>
      <c r="G16" t="s">
        <v>864</v>
      </c>
    </row>
    <row r="17" spans="1:7" x14ac:dyDescent="0.35">
      <c r="A17" s="43">
        <v>46146.040289351848</v>
      </c>
      <c r="B17" t="s">
        <v>842</v>
      </c>
      <c r="C17">
        <v>1</v>
      </c>
      <c r="D17">
        <v>5</v>
      </c>
      <c r="E17">
        <v>23</v>
      </c>
      <c r="F17" t="s">
        <v>865</v>
      </c>
      <c r="G17" t="s">
        <v>866</v>
      </c>
    </row>
    <row r="18" spans="1:7" x14ac:dyDescent="0.35">
      <c r="A18" s="43">
        <v>46146.063888888893</v>
      </c>
      <c r="B18" t="s">
        <v>842</v>
      </c>
      <c r="C18">
        <v>1</v>
      </c>
      <c r="D18">
        <v>5</v>
      </c>
      <c r="E18">
        <v>23</v>
      </c>
      <c r="F18" t="s">
        <v>867</v>
      </c>
      <c r="G18" t="s">
        <v>868</v>
      </c>
    </row>
    <row r="19" spans="1:7" x14ac:dyDescent="0.35">
      <c r="A19" s="43">
        <v>46146.077893518523</v>
      </c>
      <c r="B19" t="s">
        <v>842</v>
      </c>
      <c r="C19">
        <v>2</v>
      </c>
      <c r="D19">
        <v>5</v>
      </c>
      <c r="E19">
        <v>23</v>
      </c>
      <c r="F19" t="s">
        <v>869</v>
      </c>
      <c r="G19" t="s">
        <v>870</v>
      </c>
    </row>
    <row r="20" spans="1:7" x14ac:dyDescent="0.35">
      <c r="A20" s="43">
        <v>46146.316620370373</v>
      </c>
      <c r="B20" t="s">
        <v>842</v>
      </c>
      <c r="C20">
        <v>2</v>
      </c>
      <c r="D20">
        <v>5</v>
      </c>
      <c r="E20">
        <v>23</v>
      </c>
      <c r="F20" t="s">
        <v>871</v>
      </c>
      <c r="G20" t="s">
        <v>870</v>
      </c>
    </row>
    <row r="21" spans="1:7" x14ac:dyDescent="0.35">
      <c r="A21" s="43">
        <v>46146.3284375</v>
      </c>
      <c r="B21" t="s">
        <v>842</v>
      </c>
      <c r="C21">
        <v>3</v>
      </c>
      <c r="D21">
        <v>5</v>
      </c>
      <c r="E21">
        <v>23</v>
      </c>
      <c r="F21" t="s">
        <v>872</v>
      </c>
      <c r="G21" t="s">
        <v>873</v>
      </c>
    </row>
    <row r="22" spans="1:7" x14ac:dyDescent="0.35">
      <c r="A22" s="43">
        <v>46146.346956018519</v>
      </c>
      <c r="B22" t="s">
        <v>842</v>
      </c>
      <c r="C22">
        <v>19797</v>
      </c>
      <c r="D22">
        <v>2</v>
      </c>
      <c r="E22">
        <v>11</v>
      </c>
      <c r="F22" t="s">
        <v>874</v>
      </c>
      <c r="G22" t="s">
        <v>875</v>
      </c>
    </row>
    <row r="23" spans="1:7" x14ac:dyDescent="0.35">
      <c r="A23" s="43">
        <v>46146.371712962973</v>
      </c>
      <c r="B23" t="s">
        <v>842</v>
      </c>
      <c r="C23">
        <v>94540</v>
      </c>
      <c r="D23">
        <v>5</v>
      </c>
      <c r="E23">
        <v>17</v>
      </c>
      <c r="F23" t="s">
        <v>876</v>
      </c>
      <c r="G23" t="s">
        <v>877</v>
      </c>
    </row>
    <row r="24" spans="1:7" x14ac:dyDescent="0.35">
      <c r="A24" s="43">
        <v>46146.477835648147</v>
      </c>
      <c r="B24" t="s">
        <v>842</v>
      </c>
      <c r="C24">
        <v>123</v>
      </c>
      <c r="D24">
        <v>1</v>
      </c>
      <c r="E24">
        <v>5</v>
      </c>
      <c r="F24" t="s">
        <v>878</v>
      </c>
      <c r="G24" t="s">
        <v>877</v>
      </c>
    </row>
    <row r="25" spans="1:7" x14ac:dyDescent="0.35">
      <c r="A25" s="43">
        <v>46146.525324074071</v>
      </c>
      <c r="B25" t="s">
        <v>842</v>
      </c>
      <c r="C25">
        <v>109720</v>
      </c>
      <c r="D25">
        <v>5</v>
      </c>
      <c r="E25">
        <v>27</v>
      </c>
      <c r="F25" t="s">
        <v>879</v>
      </c>
      <c r="G25" t="s">
        <v>877</v>
      </c>
    </row>
    <row r="26" spans="1:7" x14ac:dyDescent="0.35">
      <c r="A26" s="43">
        <v>46147.409930555557</v>
      </c>
      <c r="B26" t="s">
        <v>842</v>
      </c>
      <c r="C26">
        <v>12345</v>
      </c>
      <c r="D26">
        <v>2</v>
      </c>
      <c r="E26">
        <v>10</v>
      </c>
      <c r="F26" t="s">
        <v>880</v>
      </c>
      <c r="G26" t="s">
        <v>877</v>
      </c>
    </row>
    <row r="27" spans="1:7" x14ac:dyDescent="0.35">
      <c r="A27" s="43">
        <v>46147.412129629629</v>
      </c>
      <c r="B27" t="s">
        <v>842</v>
      </c>
      <c r="C27">
        <v>12345</v>
      </c>
      <c r="D27">
        <v>2</v>
      </c>
      <c r="E27">
        <v>10</v>
      </c>
      <c r="F27" t="s">
        <v>881</v>
      </c>
      <c r="G27" t="s">
        <v>877</v>
      </c>
    </row>
    <row r="28" spans="1:7" x14ac:dyDescent="0.35">
      <c r="A28" s="43">
        <v>46147.509305555563</v>
      </c>
      <c r="B28" t="s">
        <v>842</v>
      </c>
      <c r="C28">
        <v>12345</v>
      </c>
      <c r="D28">
        <v>2</v>
      </c>
      <c r="E28">
        <v>10</v>
      </c>
      <c r="F28" t="s">
        <v>882</v>
      </c>
      <c r="G28" t="s">
        <v>877</v>
      </c>
    </row>
    <row r="29" spans="1:7" x14ac:dyDescent="0.35">
      <c r="A29" s="43">
        <v>46147.514189814807</v>
      </c>
      <c r="B29" t="s">
        <v>842</v>
      </c>
      <c r="C29">
        <v>12345</v>
      </c>
      <c r="D29">
        <v>2</v>
      </c>
      <c r="E29">
        <v>10</v>
      </c>
      <c r="F29" t="s">
        <v>883</v>
      </c>
      <c r="G29" t="s">
        <v>877</v>
      </c>
    </row>
    <row r="30" spans="1:7" x14ac:dyDescent="0.35">
      <c r="A30" s="43">
        <v>46147.671747685177</v>
      </c>
      <c r="B30" t="s">
        <v>842</v>
      </c>
      <c r="C30">
        <v>108077</v>
      </c>
      <c r="D30">
        <v>5</v>
      </c>
      <c r="E30">
        <v>15</v>
      </c>
      <c r="F30" t="s">
        <v>884</v>
      </c>
      <c r="G30" t="s">
        <v>877</v>
      </c>
    </row>
    <row r="31" spans="1:7" x14ac:dyDescent="0.35">
      <c r="A31" s="43">
        <v>46147.79650462963</v>
      </c>
      <c r="B31" t="s">
        <v>842</v>
      </c>
      <c r="C31">
        <v>32617</v>
      </c>
      <c r="D31">
        <v>4</v>
      </c>
      <c r="E31">
        <v>24</v>
      </c>
      <c r="F31" t="s">
        <v>885</v>
      </c>
      <c r="G31" t="s">
        <v>877</v>
      </c>
    </row>
    <row r="32" spans="1:7" x14ac:dyDescent="0.35">
      <c r="A32" s="43">
        <v>46147.956250000003</v>
      </c>
      <c r="B32" t="s">
        <v>842</v>
      </c>
      <c r="C32">
        <v>48570</v>
      </c>
      <c r="D32">
        <v>2</v>
      </c>
      <c r="E32">
        <v>8</v>
      </c>
      <c r="F32" t="s">
        <v>886</v>
      </c>
      <c r="G32" t="s">
        <v>877</v>
      </c>
    </row>
    <row r="33" spans="1:7" x14ac:dyDescent="0.35">
      <c r="A33" s="43">
        <v>46147.982465277782</v>
      </c>
      <c r="B33" t="s">
        <v>842</v>
      </c>
      <c r="C33">
        <v>48570</v>
      </c>
      <c r="D33">
        <v>2</v>
      </c>
      <c r="E33">
        <v>9</v>
      </c>
      <c r="F33" t="s">
        <v>887</v>
      </c>
      <c r="G33" t="s">
        <v>877</v>
      </c>
    </row>
    <row r="34" spans="1:7" x14ac:dyDescent="0.35">
      <c r="A34" s="43">
        <v>46148.008310185192</v>
      </c>
      <c r="B34" t="s">
        <v>842</v>
      </c>
      <c r="C34">
        <v>49215</v>
      </c>
      <c r="D34">
        <v>2</v>
      </c>
      <c r="E34">
        <v>6</v>
      </c>
      <c r="F34" t="s">
        <v>888</v>
      </c>
      <c r="G34" t="s">
        <v>877</v>
      </c>
    </row>
    <row r="35" spans="1:7" x14ac:dyDescent="0.35">
      <c r="A35" s="43">
        <v>46148.387638888889</v>
      </c>
      <c r="B35" t="s">
        <v>842</v>
      </c>
      <c r="C35">
        <v>85844</v>
      </c>
      <c r="D35">
        <v>3</v>
      </c>
      <c r="E35">
        <v>9</v>
      </c>
      <c r="F35" t="s">
        <v>889</v>
      </c>
      <c r="G35" t="s">
        <v>877</v>
      </c>
    </row>
    <row r="36" spans="1:7" x14ac:dyDescent="0.35">
      <c r="A36" s="43">
        <v>46148.403807870367</v>
      </c>
      <c r="B36" t="s">
        <v>842</v>
      </c>
      <c r="C36">
        <v>49228</v>
      </c>
      <c r="D36">
        <v>2</v>
      </c>
      <c r="E36">
        <v>6</v>
      </c>
      <c r="F36" t="s">
        <v>854</v>
      </c>
      <c r="G36" t="s">
        <v>877</v>
      </c>
    </row>
    <row r="37" spans="1:7" x14ac:dyDescent="0.35">
      <c r="A37" s="43">
        <v>46148.413449074083</v>
      </c>
      <c r="B37" t="s">
        <v>842</v>
      </c>
      <c r="C37">
        <v>49246</v>
      </c>
      <c r="D37">
        <v>2</v>
      </c>
      <c r="E37">
        <v>6</v>
      </c>
      <c r="F37" t="s">
        <v>890</v>
      </c>
      <c r="G37" t="s">
        <v>877</v>
      </c>
    </row>
    <row r="38" spans="1:7" x14ac:dyDescent="0.35">
      <c r="A38" s="43">
        <v>46148.616469907407</v>
      </c>
      <c r="B38" t="s">
        <v>842</v>
      </c>
      <c r="C38">
        <v>1</v>
      </c>
      <c r="D38">
        <v>2</v>
      </c>
      <c r="E38">
        <v>6</v>
      </c>
      <c r="F38" t="s">
        <v>891</v>
      </c>
      <c r="G38" t="s">
        <v>877</v>
      </c>
    </row>
    <row r="39" spans="1:7" x14ac:dyDescent="0.35">
      <c r="A39" s="43">
        <v>46148.694710648153</v>
      </c>
      <c r="B39" t="s">
        <v>842</v>
      </c>
      <c r="C39">
        <v>107260</v>
      </c>
      <c r="D39">
        <v>2</v>
      </c>
      <c r="E39">
        <v>8</v>
      </c>
      <c r="F39" t="s">
        <v>892</v>
      </c>
      <c r="G39" t="s">
        <v>877</v>
      </c>
    </row>
    <row r="40" spans="1:7" x14ac:dyDescent="0.35">
      <c r="A40" s="43">
        <v>46148.70921296296</v>
      </c>
      <c r="B40" t="s">
        <v>842</v>
      </c>
      <c r="C40">
        <v>107260</v>
      </c>
      <c r="D40">
        <v>1</v>
      </c>
      <c r="E40">
        <v>5</v>
      </c>
      <c r="F40" t="s">
        <v>852</v>
      </c>
      <c r="G40" t="s">
        <v>877</v>
      </c>
    </row>
    <row r="41" spans="1:7" x14ac:dyDescent="0.35">
      <c r="A41" s="43">
        <v>46149.530289351853</v>
      </c>
      <c r="B41" t="s">
        <v>842</v>
      </c>
      <c r="C41">
        <v>106412</v>
      </c>
      <c r="D41">
        <v>2</v>
      </c>
      <c r="E41">
        <v>11</v>
      </c>
      <c r="F41" t="s">
        <v>893</v>
      </c>
      <c r="G41" t="s">
        <v>877</v>
      </c>
    </row>
    <row r="42" spans="1:7" x14ac:dyDescent="0.35">
      <c r="A42" s="43">
        <v>46149.621759259258</v>
      </c>
      <c r="B42" t="s">
        <v>842</v>
      </c>
      <c r="C42">
        <v>84448</v>
      </c>
      <c r="D42">
        <v>3</v>
      </c>
      <c r="E42">
        <v>9</v>
      </c>
      <c r="F42" t="s">
        <v>894</v>
      </c>
      <c r="G42" t="s">
        <v>877</v>
      </c>
    </row>
    <row r="43" spans="1:7" x14ac:dyDescent="0.35">
      <c r="A43" s="43">
        <v>46149.885347222233</v>
      </c>
      <c r="B43" t="s">
        <v>842</v>
      </c>
      <c r="C43">
        <v>84351</v>
      </c>
      <c r="D43">
        <v>2</v>
      </c>
      <c r="E43">
        <v>12</v>
      </c>
      <c r="F43" t="s">
        <v>895</v>
      </c>
      <c r="G43" t="s">
        <v>877</v>
      </c>
    </row>
    <row r="44" spans="1:7" x14ac:dyDescent="0.35">
      <c r="A44" s="43">
        <v>46149.940567129634</v>
      </c>
      <c r="B44" t="s">
        <v>842</v>
      </c>
      <c r="C44">
        <v>1</v>
      </c>
      <c r="D44">
        <v>2</v>
      </c>
      <c r="E44">
        <v>14</v>
      </c>
      <c r="F44" t="s">
        <v>896</v>
      </c>
      <c r="G44" t="s">
        <v>877</v>
      </c>
    </row>
    <row r="45" spans="1:7" x14ac:dyDescent="0.35">
      <c r="A45" s="43">
        <v>46150.595902777779</v>
      </c>
      <c r="B45" t="s">
        <v>842</v>
      </c>
      <c r="C45">
        <v>105847</v>
      </c>
      <c r="D45">
        <v>5</v>
      </c>
      <c r="E45">
        <v>25</v>
      </c>
      <c r="F45" t="s">
        <v>897</v>
      </c>
      <c r="G45" t="s">
        <v>877</v>
      </c>
    </row>
    <row r="46" spans="1:7" x14ac:dyDescent="0.35">
      <c r="A46" s="43">
        <v>46150.802743055552</v>
      </c>
      <c r="B46" t="s">
        <v>842</v>
      </c>
      <c r="C46">
        <v>82335</v>
      </c>
      <c r="D46">
        <v>5</v>
      </c>
      <c r="E46">
        <v>31</v>
      </c>
      <c r="F46" t="s">
        <v>898</v>
      </c>
      <c r="G46" t="s">
        <v>877</v>
      </c>
    </row>
    <row r="47" spans="1:7" x14ac:dyDescent="0.35">
      <c r="A47" s="43">
        <v>46153.593530092592</v>
      </c>
      <c r="B47" t="s">
        <v>842</v>
      </c>
      <c r="C47">
        <v>81022</v>
      </c>
      <c r="D47">
        <v>1</v>
      </c>
      <c r="E47">
        <v>7</v>
      </c>
      <c r="F47" t="s">
        <v>899</v>
      </c>
      <c r="G47" t="s">
        <v>877</v>
      </c>
    </row>
    <row r="48" spans="1:7" x14ac:dyDescent="0.35">
      <c r="A48" s="43">
        <v>46153.639340277783</v>
      </c>
      <c r="B48" t="s">
        <v>842</v>
      </c>
      <c r="C48">
        <v>93667</v>
      </c>
      <c r="D48">
        <v>5</v>
      </c>
      <c r="E48">
        <v>17</v>
      </c>
      <c r="F48" t="s">
        <v>900</v>
      </c>
      <c r="G48" t="s">
        <v>877</v>
      </c>
    </row>
    <row r="49" spans="1:8" x14ac:dyDescent="0.35">
      <c r="A49" s="43">
        <v>46153.647662037038</v>
      </c>
      <c r="B49" t="s">
        <v>842</v>
      </c>
      <c r="C49">
        <v>93667</v>
      </c>
      <c r="D49">
        <v>4</v>
      </c>
      <c r="E49">
        <v>20</v>
      </c>
      <c r="F49" t="s">
        <v>901</v>
      </c>
      <c r="G49" t="s">
        <v>877</v>
      </c>
    </row>
    <row r="50" spans="1:8" x14ac:dyDescent="0.35">
      <c r="A50" s="43">
        <v>46153.704641203702</v>
      </c>
      <c r="B50" t="s">
        <v>842</v>
      </c>
      <c r="C50">
        <v>108993</v>
      </c>
      <c r="D50">
        <v>2</v>
      </c>
      <c r="E50">
        <v>6</v>
      </c>
      <c r="F50" t="s">
        <v>902</v>
      </c>
      <c r="G50" t="s">
        <v>877</v>
      </c>
    </row>
    <row r="51" spans="1:8" x14ac:dyDescent="0.35">
      <c r="A51" s="43">
        <v>46154.412430555552</v>
      </c>
      <c r="B51" t="s">
        <v>842</v>
      </c>
      <c r="C51">
        <v>108594</v>
      </c>
      <c r="D51">
        <v>2</v>
      </c>
      <c r="E51">
        <v>8</v>
      </c>
      <c r="F51" t="s">
        <v>903</v>
      </c>
      <c r="G51" t="s">
        <v>877</v>
      </c>
    </row>
    <row r="52" spans="1:8" x14ac:dyDescent="0.35">
      <c r="A52" s="43">
        <v>46154.481574074067</v>
      </c>
      <c r="B52" t="s">
        <v>842</v>
      </c>
      <c r="C52">
        <v>83931</v>
      </c>
      <c r="D52">
        <v>3</v>
      </c>
      <c r="E52">
        <v>19</v>
      </c>
      <c r="F52" t="s">
        <v>904</v>
      </c>
      <c r="G52" t="s">
        <v>877</v>
      </c>
    </row>
    <row r="53" spans="1:8" x14ac:dyDescent="0.35">
      <c r="A53" s="43">
        <v>46154.516087962962</v>
      </c>
      <c r="B53" t="s">
        <v>842</v>
      </c>
      <c r="C53">
        <v>71800</v>
      </c>
      <c r="D53">
        <v>2</v>
      </c>
      <c r="E53">
        <v>10</v>
      </c>
      <c r="F53" t="s">
        <v>905</v>
      </c>
      <c r="G53" t="s">
        <v>877</v>
      </c>
    </row>
    <row r="54" spans="1:8" x14ac:dyDescent="0.35">
      <c r="A54" s="43">
        <v>46154.546261574083</v>
      </c>
      <c r="B54" t="s">
        <v>842</v>
      </c>
      <c r="C54">
        <v>82052</v>
      </c>
      <c r="D54">
        <v>4</v>
      </c>
      <c r="E54">
        <v>20</v>
      </c>
      <c r="F54" t="s">
        <v>906</v>
      </c>
      <c r="G54" t="s">
        <v>877</v>
      </c>
    </row>
    <row r="55" spans="1:8" x14ac:dyDescent="0.35">
      <c r="A55" s="43">
        <v>46154.674814814818</v>
      </c>
      <c r="B55" t="s">
        <v>842</v>
      </c>
      <c r="C55">
        <v>71660</v>
      </c>
      <c r="D55">
        <v>4</v>
      </c>
      <c r="E55">
        <v>23</v>
      </c>
      <c r="F55" t="s">
        <v>907</v>
      </c>
      <c r="G55" t="s">
        <v>877</v>
      </c>
    </row>
    <row r="56" spans="1:8" x14ac:dyDescent="0.35">
      <c r="A56" s="43">
        <v>46154.675034722219</v>
      </c>
      <c r="B56" t="s">
        <v>842</v>
      </c>
      <c r="C56">
        <v>71660</v>
      </c>
      <c r="D56">
        <v>4</v>
      </c>
      <c r="E56">
        <v>23</v>
      </c>
      <c r="F56" t="s">
        <v>908</v>
      </c>
      <c r="G56" t="s">
        <v>877</v>
      </c>
      <c r="H56" t="s">
        <v>909</v>
      </c>
    </row>
    <row r="57" spans="1:8" x14ac:dyDescent="0.35">
      <c r="A57" s="43">
        <v>46155.660428240742</v>
      </c>
      <c r="B57" t="s">
        <v>842</v>
      </c>
      <c r="C57">
        <v>115007</v>
      </c>
      <c r="D57">
        <v>5</v>
      </c>
      <c r="E57">
        <v>31</v>
      </c>
      <c r="F57" t="s">
        <v>910</v>
      </c>
      <c r="G57" t="s">
        <v>877</v>
      </c>
    </row>
    <row r="58" spans="1:8" x14ac:dyDescent="0.35">
      <c r="A58" s="43">
        <v>46155.740335648137</v>
      </c>
      <c r="B58" t="s">
        <v>842</v>
      </c>
      <c r="C58">
        <v>92755</v>
      </c>
      <c r="D58">
        <v>5</v>
      </c>
      <c r="E58">
        <v>26</v>
      </c>
      <c r="F58" t="s">
        <v>911</v>
      </c>
      <c r="G58" t="s">
        <v>877</v>
      </c>
    </row>
    <row r="59" spans="1:8" x14ac:dyDescent="0.35">
      <c r="A59" s="43">
        <v>46155.81077546296</v>
      </c>
      <c r="B59" t="s">
        <v>842</v>
      </c>
      <c r="C59">
        <v>113068</v>
      </c>
      <c r="D59">
        <v>5</v>
      </c>
      <c r="E59">
        <v>26</v>
      </c>
      <c r="F59" t="s">
        <v>846</v>
      </c>
      <c r="G59" t="s">
        <v>877</v>
      </c>
    </row>
    <row r="60" spans="1:8" x14ac:dyDescent="0.35">
      <c r="A60" s="43">
        <v>46155.862858796303</v>
      </c>
      <c r="B60" t="s">
        <v>842</v>
      </c>
      <c r="C60">
        <v>113068</v>
      </c>
      <c r="D60">
        <v>1</v>
      </c>
      <c r="E60">
        <v>5</v>
      </c>
      <c r="F60" t="s">
        <v>912</v>
      </c>
      <c r="G60" t="s">
        <v>877</v>
      </c>
    </row>
    <row r="61" spans="1:8" x14ac:dyDescent="0.35">
      <c r="A61" s="43">
        <v>46155.892094907409</v>
      </c>
      <c r="B61" t="s">
        <v>842</v>
      </c>
      <c r="C61">
        <v>113078</v>
      </c>
      <c r="D61">
        <v>5</v>
      </c>
      <c r="E61">
        <v>26</v>
      </c>
      <c r="F61" t="s">
        <v>863</v>
      </c>
      <c r="G61" t="s">
        <v>877</v>
      </c>
    </row>
    <row r="62" spans="1:8" x14ac:dyDescent="0.35">
      <c r="A62" s="43">
        <v>46155.940555555557</v>
      </c>
      <c r="B62" t="s">
        <v>842</v>
      </c>
      <c r="C62">
        <v>73651</v>
      </c>
      <c r="D62">
        <v>2</v>
      </c>
      <c r="E62">
        <v>6</v>
      </c>
      <c r="F62" t="s">
        <v>882</v>
      </c>
      <c r="G62" t="s">
        <v>877</v>
      </c>
    </row>
    <row r="63" spans="1:8" x14ac:dyDescent="0.35">
      <c r="A63" s="43">
        <v>46155.962719907409</v>
      </c>
      <c r="B63" t="s">
        <v>842</v>
      </c>
      <c r="C63">
        <v>70475</v>
      </c>
      <c r="D63">
        <v>2</v>
      </c>
      <c r="E63">
        <v>6</v>
      </c>
      <c r="F63" t="s">
        <v>913</v>
      </c>
      <c r="G63" t="s">
        <v>877</v>
      </c>
    </row>
    <row r="64" spans="1:8" x14ac:dyDescent="0.35">
      <c r="A64" s="43">
        <v>46156.267974537041</v>
      </c>
      <c r="B64" t="s">
        <v>842</v>
      </c>
      <c r="C64">
        <v>84566</v>
      </c>
      <c r="D64">
        <v>2</v>
      </c>
      <c r="E64">
        <v>6</v>
      </c>
      <c r="F64" t="s">
        <v>914</v>
      </c>
      <c r="G64" t="s">
        <v>877</v>
      </c>
    </row>
    <row r="65" spans="1:7" x14ac:dyDescent="0.35">
      <c r="A65" s="43">
        <v>46161.398761574077</v>
      </c>
      <c r="B65" t="s">
        <v>842</v>
      </c>
      <c r="C65">
        <v>84576</v>
      </c>
      <c r="D65">
        <v>5</v>
      </c>
      <c r="E65">
        <v>13</v>
      </c>
      <c r="F65" t="s">
        <v>896</v>
      </c>
      <c r="G65" t="s">
        <v>877</v>
      </c>
    </row>
    <row r="66" spans="1:7" x14ac:dyDescent="0.35">
      <c r="A66" s="43">
        <v>46161.426134259258</v>
      </c>
      <c r="B66" t="s">
        <v>842</v>
      </c>
      <c r="C66">
        <v>84601</v>
      </c>
      <c r="D66">
        <v>1</v>
      </c>
      <c r="E66">
        <v>7</v>
      </c>
      <c r="F66" t="s">
        <v>915</v>
      </c>
      <c r="G66" t="s">
        <v>877</v>
      </c>
    </row>
    <row r="67" spans="1:7" x14ac:dyDescent="0.35">
      <c r="A67" s="43">
        <v>46161.500081018523</v>
      </c>
      <c r="B67" t="s">
        <v>842</v>
      </c>
      <c r="C67">
        <v>14566</v>
      </c>
      <c r="D67">
        <v>1</v>
      </c>
      <c r="E67">
        <v>7</v>
      </c>
      <c r="F67" t="s">
        <v>916</v>
      </c>
      <c r="G67" t="s">
        <v>877</v>
      </c>
    </row>
    <row r="68" spans="1:7" x14ac:dyDescent="0.35">
      <c r="A68" s="43">
        <v>46161.688333333332</v>
      </c>
      <c r="B68" t="s">
        <v>842</v>
      </c>
      <c r="C68">
        <v>106793</v>
      </c>
      <c r="D68">
        <v>5</v>
      </c>
      <c r="E68">
        <v>25</v>
      </c>
      <c r="F68" t="s">
        <v>860</v>
      </c>
      <c r="G68" t="s">
        <v>877</v>
      </c>
    </row>
    <row r="69" spans="1:7" x14ac:dyDescent="0.35">
      <c r="A69" s="43">
        <v>46162.38994212963</v>
      </c>
      <c r="B69" t="s">
        <v>842</v>
      </c>
      <c r="C69">
        <v>136</v>
      </c>
      <c r="D69">
        <v>4</v>
      </c>
      <c r="E69">
        <v>12</v>
      </c>
      <c r="F69" t="s">
        <v>917</v>
      </c>
      <c r="G69" t="s">
        <v>877</v>
      </c>
    </row>
    <row r="70" spans="1:7" x14ac:dyDescent="0.35">
      <c r="A70" s="43">
        <v>46162.414849537039</v>
      </c>
      <c r="B70" t="s">
        <v>842</v>
      </c>
      <c r="C70">
        <v>143</v>
      </c>
      <c r="D70">
        <v>2</v>
      </c>
      <c r="E70">
        <v>8</v>
      </c>
      <c r="F70" t="s">
        <v>918</v>
      </c>
      <c r="G70" t="s">
        <v>877</v>
      </c>
    </row>
    <row r="71" spans="1:7" x14ac:dyDescent="0.35">
      <c r="A71" s="43">
        <v>46162.517060185193</v>
      </c>
      <c r="B71" t="s">
        <v>842</v>
      </c>
      <c r="C71">
        <v>164</v>
      </c>
      <c r="D71">
        <v>1</v>
      </c>
      <c r="E71">
        <v>7</v>
      </c>
      <c r="F71" t="s">
        <v>919</v>
      </c>
      <c r="G71" t="s">
        <v>877</v>
      </c>
    </row>
    <row r="72" spans="1:7" x14ac:dyDescent="0.35">
      <c r="A72" s="43">
        <v>46162.622708333343</v>
      </c>
      <c r="B72" t="s">
        <v>842</v>
      </c>
      <c r="C72">
        <v>230</v>
      </c>
      <c r="D72">
        <v>1</v>
      </c>
      <c r="E72">
        <v>8</v>
      </c>
      <c r="F72" t="s">
        <v>920</v>
      </c>
      <c r="G72" t="s">
        <v>877</v>
      </c>
    </row>
    <row r="73" spans="1:7" x14ac:dyDescent="0.35">
      <c r="A73" s="43">
        <v>46162.664340277777</v>
      </c>
      <c r="B73" t="s">
        <v>842</v>
      </c>
      <c r="C73">
        <v>232</v>
      </c>
      <c r="D73">
        <v>1</v>
      </c>
      <c r="E73">
        <v>5</v>
      </c>
      <c r="F73" t="s">
        <v>921</v>
      </c>
      <c r="G73" t="s">
        <v>877</v>
      </c>
    </row>
    <row r="74" spans="1:7" x14ac:dyDescent="0.35">
      <c r="A74" s="43">
        <v>46162.7030787037</v>
      </c>
      <c r="B74" t="s">
        <v>842</v>
      </c>
      <c r="C74">
        <v>204</v>
      </c>
      <c r="D74">
        <v>1</v>
      </c>
      <c r="E74">
        <v>5</v>
      </c>
      <c r="F74" t="s">
        <v>922</v>
      </c>
      <c r="G74" t="s">
        <v>877</v>
      </c>
    </row>
    <row r="75" spans="1:7" x14ac:dyDescent="0.35">
      <c r="A75" s="43">
        <v>46162.803124999999</v>
      </c>
      <c r="B75" t="s">
        <v>842</v>
      </c>
      <c r="C75">
        <v>239</v>
      </c>
      <c r="D75">
        <v>1</v>
      </c>
      <c r="E75">
        <v>5</v>
      </c>
      <c r="F75" t="s">
        <v>853</v>
      </c>
      <c r="G75" t="s">
        <v>877</v>
      </c>
    </row>
    <row r="76" spans="1:7" x14ac:dyDescent="0.35">
      <c r="A76" s="43">
        <v>46163.440578703703</v>
      </c>
      <c r="B76" t="s">
        <v>842</v>
      </c>
      <c r="C76">
        <v>4102</v>
      </c>
      <c r="D76">
        <v>1</v>
      </c>
      <c r="E76">
        <v>5</v>
      </c>
      <c r="F76" t="s">
        <v>854</v>
      </c>
      <c r="G76" t="s">
        <v>877</v>
      </c>
    </row>
    <row r="77" spans="1:7" x14ac:dyDescent="0.35">
      <c r="A77" s="43">
        <v>46163.471655092602</v>
      </c>
      <c r="B77" t="s">
        <v>842</v>
      </c>
      <c r="C77">
        <v>4103</v>
      </c>
      <c r="D77">
        <v>1</v>
      </c>
      <c r="E77">
        <v>5</v>
      </c>
      <c r="F77" t="s">
        <v>905</v>
      </c>
      <c r="G77" t="s">
        <v>877</v>
      </c>
    </row>
    <row r="78" spans="1:7" x14ac:dyDescent="0.35">
      <c r="A78" s="43">
        <v>46163.486331018517</v>
      </c>
      <c r="B78" t="s">
        <v>842</v>
      </c>
      <c r="C78">
        <v>4106</v>
      </c>
      <c r="D78">
        <v>1</v>
      </c>
      <c r="E78">
        <v>7</v>
      </c>
      <c r="F78" t="s">
        <v>923</v>
      </c>
      <c r="G78" t="s">
        <v>877</v>
      </c>
    </row>
    <row r="79" spans="1:7" x14ac:dyDescent="0.35">
      <c r="A79" s="43">
        <v>46163.509166666663</v>
      </c>
      <c r="B79" t="s">
        <v>842</v>
      </c>
      <c r="C79">
        <v>4109</v>
      </c>
      <c r="D79">
        <v>1</v>
      </c>
      <c r="E79">
        <v>5</v>
      </c>
      <c r="F79" t="s">
        <v>924</v>
      </c>
      <c r="G79" t="s">
        <v>877</v>
      </c>
    </row>
    <row r="80" spans="1:7" x14ac:dyDescent="0.35">
      <c r="A80" s="43">
        <v>46163.533668981479</v>
      </c>
      <c r="B80" t="s">
        <v>842</v>
      </c>
      <c r="C80">
        <v>4114</v>
      </c>
      <c r="D80">
        <v>1</v>
      </c>
      <c r="E80">
        <v>7</v>
      </c>
      <c r="F80" t="s">
        <v>896</v>
      </c>
      <c r="G80" t="s">
        <v>877</v>
      </c>
    </row>
    <row r="81" spans="1:8" x14ac:dyDescent="0.35">
      <c r="A81" s="43">
        <v>46163.554988425924</v>
      </c>
      <c r="B81" t="s">
        <v>842</v>
      </c>
      <c r="C81">
        <v>4115</v>
      </c>
      <c r="D81">
        <v>1</v>
      </c>
      <c r="E81">
        <v>7</v>
      </c>
      <c r="F81" t="s">
        <v>925</v>
      </c>
      <c r="G81" t="s">
        <v>877</v>
      </c>
    </row>
    <row r="82" spans="1:8" x14ac:dyDescent="0.35">
      <c r="A82" s="43">
        <v>46163.585543981477</v>
      </c>
      <c r="B82" t="s">
        <v>842</v>
      </c>
      <c r="C82">
        <v>4118</v>
      </c>
      <c r="D82">
        <v>1</v>
      </c>
      <c r="E82">
        <v>7</v>
      </c>
      <c r="F82" t="s">
        <v>926</v>
      </c>
      <c r="G82" t="s">
        <v>877</v>
      </c>
    </row>
    <row r="83" spans="1:8" x14ac:dyDescent="0.35">
      <c r="A83" s="43">
        <v>46164.368518518517</v>
      </c>
      <c r="B83" t="s">
        <v>842</v>
      </c>
      <c r="C83">
        <v>4119</v>
      </c>
      <c r="D83">
        <v>1</v>
      </c>
      <c r="E83">
        <v>7</v>
      </c>
      <c r="F83" t="s">
        <v>879</v>
      </c>
      <c r="G83" t="s">
        <v>877</v>
      </c>
    </row>
    <row r="84" spans="1:8" x14ac:dyDescent="0.35">
      <c r="A84" s="43">
        <v>46164.376539351862</v>
      </c>
      <c r="B84" t="s">
        <v>842</v>
      </c>
      <c r="C84">
        <v>4120</v>
      </c>
      <c r="D84">
        <v>1</v>
      </c>
      <c r="E84">
        <v>7</v>
      </c>
      <c r="F84" t="s">
        <v>912</v>
      </c>
      <c r="G84" t="s">
        <v>877</v>
      </c>
    </row>
    <row r="85" spans="1:8" x14ac:dyDescent="0.35">
      <c r="A85" s="43">
        <v>46164.384560185194</v>
      </c>
      <c r="B85" t="s">
        <v>842</v>
      </c>
      <c r="C85">
        <v>4121</v>
      </c>
      <c r="D85">
        <v>1</v>
      </c>
      <c r="E85">
        <v>7</v>
      </c>
      <c r="F85" t="s">
        <v>915</v>
      </c>
      <c r="G85" t="s">
        <v>877</v>
      </c>
    </row>
    <row r="86" spans="1:8" x14ac:dyDescent="0.35">
      <c r="A86" s="43">
        <v>46164.392858796287</v>
      </c>
      <c r="B86" t="s">
        <v>842</v>
      </c>
      <c r="C86">
        <v>4122</v>
      </c>
      <c r="D86">
        <v>1</v>
      </c>
      <c r="E86">
        <v>7</v>
      </c>
      <c r="F86" t="s">
        <v>915</v>
      </c>
      <c r="G86" t="s">
        <v>877</v>
      </c>
    </row>
    <row r="87" spans="1:8" x14ac:dyDescent="0.35">
      <c r="A87" s="43">
        <v>46164.393101851849</v>
      </c>
      <c r="B87" t="s">
        <v>842</v>
      </c>
      <c r="C87">
        <v>4122</v>
      </c>
      <c r="D87">
        <v>1</v>
      </c>
      <c r="E87">
        <v>7</v>
      </c>
      <c r="F87" t="s">
        <v>908</v>
      </c>
      <c r="G87" t="s">
        <v>877</v>
      </c>
      <c r="H87" t="s">
        <v>909</v>
      </c>
    </row>
    <row r="88" spans="1:8" x14ac:dyDescent="0.35">
      <c r="A88" s="43">
        <v>46164.408703703702</v>
      </c>
      <c r="B88" t="s">
        <v>842</v>
      </c>
      <c r="C88">
        <v>4123</v>
      </c>
      <c r="D88">
        <v>1</v>
      </c>
      <c r="E88">
        <v>7</v>
      </c>
      <c r="F88" t="s">
        <v>927</v>
      </c>
      <c r="G88" t="s">
        <v>877</v>
      </c>
    </row>
    <row r="89" spans="1:8" x14ac:dyDescent="0.35">
      <c r="A89" s="43">
        <v>46164.416689814818</v>
      </c>
      <c r="B89" t="s">
        <v>842</v>
      </c>
      <c r="C89">
        <v>4124</v>
      </c>
      <c r="D89">
        <v>1</v>
      </c>
      <c r="E89">
        <v>7</v>
      </c>
      <c r="F89" t="s">
        <v>895</v>
      </c>
      <c r="G89" t="s">
        <v>877</v>
      </c>
    </row>
    <row r="90" spans="1:8" x14ac:dyDescent="0.35">
      <c r="A90" s="43">
        <v>46164.429722222223</v>
      </c>
      <c r="B90" t="s">
        <v>842</v>
      </c>
      <c r="C90">
        <v>4126</v>
      </c>
      <c r="D90">
        <v>1</v>
      </c>
      <c r="E90">
        <v>5</v>
      </c>
      <c r="F90" t="s">
        <v>928</v>
      </c>
      <c r="G90" t="s">
        <v>877</v>
      </c>
    </row>
    <row r="91" spans="1:8" x14ac:dyDescent="0.35">
      <c r="A91" s="43">
        <v>46164.439583333333</v>
      </c>
      <c r="B91" t="s">
        <v>842</v>
      </c>
      <c r="C91">
        <v>4128</v>
      </c>
      <c r="D91">
        <v>1</v>
      </c>
      <c r="E91">
        <v>7</v>
      </c>
      <c r="F91" t="s">
        <v>919</v>
      </c>
      <c r="G91" t="s">
        <v>877</v>
      </c>
    </row>
    <row r="92" spans="1:8" x14ac:dyDescent="0.35">
      <c r="A92" s="43">
        <v>46164.439884259264</v>
      </c>
      <c r="B92" t="s">
        <v>842</v>
      </c>
      <c r="C92">
        <v>4128</v>
      </c>
      <c r="D92">
        <v>1</v>
      </c>
      <c r="E92">
        <v>7</v>
      </c>
      <c r="F92" t="s">
        <v>908</v>
      </c>
      <c r="G92" t="s">
        <v>877</v>
      </c>
      <c r="H92" t="s">
        <v>929</v>
      </c>
    </row>
    <row r="93" spans="1:8" x14ac:dyDescent="0.35">
      <c r="A93" s="43">
        <v>46167.506631944438</v>
      </c>
      <c r="B93" t="s">
        <v>842</v>
      </c>
      <c r="C93">
        <v>4129</v>
      </c>
      <c r="D93">
        <v>1</v>
      </c>
      <c r="E93">
        <v>7</v>
      </c>
      <c r="F93" t="s">
        <v>891</v>
      </c>
      <c r="G93" t="s">
        <v>877</v>
      </c>
    </row>
    <row r="94" spans="1:8" x14ac:dyDescent="0.35">
      <c r="A94" s="43">
        <v>46167.557256944441</v>
      </c>
      <c r="B94" t="s">
        <v>842</v>
      </c>
      <c r="C94">
        <v>4130</v>
      </c>
      <c r="D94">
        <v>1</v>
      </c>
      <c r="E94">
        <v>7</v>
      </c>
      <c r="F94" t="s">
        <v>930</v>
      </c>
      <c r="G94" t="s">
        <v>877</v>
      </c>
    </row>
    <row r="95" spans="1:8" x14ac:dyDescent="0.35">
      <c r="A95" s="43">
        <v>46168.372372685182</v>
      </c>
      <c r="B95" t="s">
        <v>842</v>
      </c>
      <c r="C95">
        <v>4131</v>
      </c>
      <c r="D95">
        <v>1</v>
      </c>
      <c r="E95">
        <v>7</v>
      </c>
      <c r="F95" t="s">
        <v>931</v>
      </c>
      <c r="G95" t="s">
        <v>877</v>
      </c>
    </row>
    <row r="96" spans="1:8" x14ac:dyDescent="0.35">
      <c r="A96" s="43">
        <v>46168.400196759263</v>
      </c>
      <c r="B96" t="s">
        <v>842</v>
      </c>
      <c r="C96">
        <v>4132</v>
      </c>
      <c r="D96">
        <v>5</v>
      </c>
      <c r="E96">
        <v>17</v>
      </c>
      <c r="F96" t="s">
        <v>869</v>
      </c>
      <c r="G96" t="s">
        <v>877</v>
      </c>
    </row>
    <row r="97" spans="1:7" x14ac:dyDescent="0.35">
      <c r="A97" s="43">
        <v>46169.355879629627</v>
      </c>
      <c r="B97" t="s">
        <v>842</v>
      </c>
      <c r="C97">
        <v>4137</v>
      </c>
      <c r="D97">
        <v>1</v>
      </c>
      <c r="E97">
        <v>5</v>
      </c>
      <c r="F97" t="s">
        <v>932</v>
      </c>
      <c r="G97" t="s">
        <v>877</v>
      </c>
    </row>
    <row r="98" spans="1:7" x14ac:dyDescent="0.35">
      <c r="A98" s="43">
        <v>46169.374074074083</v>
      </c>
      <c r="B98" t="s">
        <v>842</v>
      </c>
      <c r="C98">
        <v>4139</v>
      </c>
      <c r="D98">
        <v>1</v>
      </c>
      <c r="E98">
        <v>7</v>
      </c>
      <c r="F98" t="s">
        <v>933</v>
      </c>
      <c r="G98" t="s">
        <v>877</v>
      </c>
    </row>
    <row r="99" spans="1:7" x14ac:dyDescent="0.35">
      <c r="A99" s="43">
        <v>46169.394872685189</v>
      </c>
      <c r="B99" t="s">
        <v>842</v>
      </c>
      <c r="C99">
        <v>27689</v>
      </c>
      <c r="D99">
        <v>1</v>
      </c>
      <c r="E99">
        <v>7</v>
      </c>
      <c r="F99" t="s">
        <v>934</v>
      </c>
      <c r="G99" t="s">
        <v>877</v>
      </c>
    </row>
    <row r="100" spans="1:7" x14ac:dyDescent="0.35">
      <c r="A100" s="43">
        <v>46169.412615740737</v>
      </c>
      <c r="B100" t="s">
        <v>842</v>
      </c>
      <c r="C100">
        <v>28253</v>
      </c>
      <c r="D100">
        <v>2</v>
      </c>
      <c r="E100">
        <v>8</v>
      </c>
      <c r="F100" t="s">
        <v>920</v>
      </c>
      <c r="G100" t="s">
        <v>877</v>
      </c>
    </row>
    <row r="101" spans="1:7" x14ac:dyDescent="0.35">
      <c r="A101" s="43">
        <v>46169.428819444453</v>
      </c>
      <c r="B101" t="s">
        <v>842</v>
      </c>
      <c r="C101">
        <v>28329</v>
      </c>
      <c r="D101">
        <v>1</v>
      </c>
      <c r="E101">
        <v>5</v>
      </c>
      <c r="F101" t="s">
        <v>935</v>
      </c>
      <c r="G101" t="s">
        <v>877</v>
      </c>
    </row>
    <row r="102" spans="1:7" x14ac:dyDescent="0.35">
      <c r="A102" s="43">
        <v>46171.754363425927</v>
      </c>
      <c r="B102" t="s">
        <v>842</v>
      </c>
      <c r="C102">
        <v>49249</v>
      </c>
      <c r="D102">
        <v>1</v>
      </c>
      <c r="E102">
        <v>5</v>
      </c>
      <c r="F102" t="s">
        <v>936</v>
      </c>
      <c r="G102" t="s">
        <v>877</v>
      </c>
    </row>
    <row r="103" spans="1:7" x14ac:dyDescent="0.35">
      <c r="A103" s="43">
        <v>46174.660763888889</v>
      </c>
      <c r="B103" t="s">
        <v>842</v>
      </c>
      <c r="C103">
        <v>17458</v>
      </c>
      <c r="D103">
        <v>1</v>
      </c>
      <c r="E103">
        <v>7</v>
      </c>
      <c r="F103" t="s">
        <v>937</v>
      </c>
      <c r="G103" t="s">
        <v>877</v>
      </c>
    </row>
    <row r="104" spans="1:7" x14ac:dyDescent="0.35">
      <c r="A104" s="43">
        <v>46174.718865740739</v>
      </c>
      <c r="B104" t="s">
        <v>842</v>
      </c>
      <c r="C104">
        <v>17457</v>
      </c>
      <c r="D104">
        <v>1</v>
      </c>
      <c r="E104">
        <v>7</v>
      </c>
      <c r="F104" t="s">
        <v>938</v>
      </c>
      <c r="G104" t="s">
        <v>877</v>
      </c>
    </row>
    <row r="105" spans="1:7" x14ac:dyDescent="0.35">
      <c r="A105" s="43">
        <v>46174.749745370369</v>
      </c>
      <c r="B105" t="s">
        <v>842</v>
      </c>
      <c r="C105">
        <v>17456</v>
      </c>
      <c r="D105">
        <v>1</v>
      </c>
      <c r="E105">
        <v>7</v>
      </c>
      <c r="F105" t="s">
        <v>896</v>
      </c>
      <c r="G105" t="s">
        <v>877</v>
      </c>
    </row>
    <row r="106" spans="1:7" x14ac:dyDescent="0.35">
      <c r="A106" s="43">
        <v>46174.829502314817</v>
      </c>
      <c r="B106" t="s">
        <v>842</v>
      </c>
      <c r="C106">
        <v>17455</v>
      </c>
      <c r="D106">
        <v>1</v>
      </c>
      <c r="E106">
        <v>7</v>
      </c>
      <c r="F106" t="s">
        <v>939</v>
      </c>
      <c r="G106" t="s">
        <v>877</v>
      </c>
    </row>
    <row r="107" spans="1:7" x14ac:dyDescent="0.35">
      <c r="A107" s="43">
        <v>46174.840949074067</v>
      </c>
      <c r="B107" t="s">
        <v>842</v>
      </c>
      <c r="C107">
        <v>17454</v>
      </c>
      <c r="D107">
        <v>1</v>
      </c>
      <c r="E107">
        <v>7</v>
      </c>
      <c r="F107" t="s">
        <v>940</v>
      </c>
      <c r="G107" t="s">
        <v>877</v>
      </c>
    </row>
    <row r="108" spans="1:7" x14ac:dyDescent="0.35">
      <c r="A108" s="43">
        <v>46174.862881944442</v>
      </c>
      <c r="B108" t="s">
        <v>842</v>
      </c>
      <c r="C108">
        <v>17452</v>
      </c>
      <c r="D108">
        <v>1</v>
      </c>
      <c r="E108">
        <v>7</v>
      </c>
      <c r="F108" t="s">
        <v>934</v>
      </c>
      <c r="G108" t="s">
        <v>877</v>
      </c>
    </row>
    <row r="109" spans="1:7" x14ac:dyDescent="0.35">
      <c r="A109" s="43">
        <v>46174.876354166663</v>
      </c>
      <c r="B109" t="s">
        <v>842</v>
      </c>
      <c r="C109">
        <v>17449</v>
      </c>
      <c r="D109">
        <v>1</v>
      </c>
      <c r="E109">
        <v>7</v>
      </c>
      <c r="F109" t="s">
        <v>882</v>
      </c>
      <c r="G109" t="s">
        <v>877</v>
      </c>
    </row>
    <row r="110" spans="1:7" x14ac:dyDescent="0.35">
      <c r="A110" s="43">
        <v>46174.89472222222</v>
      </c>
      <c r="B110" t="s">
        <v>842</v>
      </c>
      <c r="C110">
        <v>17447</v>
      </c>
      <c r="D110">
        <v>1</v>
      </c>
      <c r="E110">
        <v>7</v>
      </c>
      <c r="F110" t="s">
        <v>915</v>
      </c>
      <c r="G110" t="s">
        <v>877</v>
      </c>
    </row>
    <row r="111" spans="1:7" x14ac:dyDescent="0.35">
      <c r="A111" s="43">
        <v>46191.766585648147</v>
      </c>
      <c r="B111" t="s">
        <v>842</v>
      </c>
      <c r="C111" t="s">
        <v>941</v>
      </c>
      <c r="D111">
        <v>1</v>
      </c>
      <c r="E111">
        <v>1</v>
      </c>
      <c r="F111" t="s">
        <v>942</v>
      </c>
      <c r="G111" t="s">
        <v>877</v>
      </c>
    </row>
    <row r="112" spans="1:7" x14ac:dyDescent="0.35">
      <c r="A112" s="43">
        <v>46192.421331018515</v>
      </c>
      <c r="B112" t="s">
        <v>842</v>
      </c>
      <c r="C112">
        <v>84244</v>
      </c>
      <c r="D112">
        <v>4</v>
      </c>
      <c r="E112">
        <v>20</v>
      </c>
      <c r="F112" t="s">
        <v>943</v>
      </c>
      <c r="G112" t="s">
        <v>877</v>
      </c>
    </row>
    <row r="113" spans="1:7" x14ac:dyDescent="0.35">
      <c r="A113" s="43">
        <v>46192.542557870373</v>
      </c>
      <c r="B113" t="s">
        <v>842</v>
      </c>
      <c r="C113">
        <v>108704</v>
      </c>
      <c r="D113">
        <v>3</v>
      </c>
      <c r="E113">
        <v>17</v>
      </c>
      <c r="F113" t="s">
        <v>944</v>
      </c>
      <c r="G113" t="s">
        <v>877</v>
      </c>
    </row>
    <row r="114" spans="1:7" x14ac:dyDescent="0.35">
      <c r="A114" s="43">
        <v>46192.633738425924</v>
      </c>
      <c r="B114" t="s">
        <v>842</v>
      </c>
      <c r="C114">
        <v>113960</v>
      </c>
      <c r="D114">
        <v>4</v>
      </c>
      <c r="E114">
        <v>18</v>
      </c>
      <c r="F114" t="s">
        <v>863</v>
      </c>
      <c r="G114" t="s">
        <v>877</v>
      </c>
    </row>
    <row r="115" spans="1:7" x14ac:dyDescent="0.35">
      <c r="A115" s="43">
        <v>46192.809918981482</v>
      </c>
      <c r="B115" t="s">
        <v>842</v>
      </c>
      <c r="C115">
        <v>125759</v>
      </c>
      <c r="D115">
        <v>4</v>
      </c>
      <c r="E115">
        <v>12</v>
      </c>
      <c r="F115" t="s">
        <v>945</v>
      </c>
      <c r="G115" t="s">
        <v>877</v>
      </c>
    </row>
    <row r="116" spans="1:7" x14ac:dyDescent="0.35">
      <c r="A116" s="43">
        <v>46192.861747685187</v>
      </c>
      <c r="B116" t="s">
        <v>842</v>
      </c>
      <c r="C116">
        <v>124414</v>
      </c>
      <c r="D116">
        <v>4</v>
      </c>
      <c r="E116">
        <v>14</v>
      </c>
      <c r="F116" t="s">
        <v>946</v>
      </c>
      <c r="G116" t="s">
        <v>877</v>
      </c>
    </row>
    <row r="117" spans="1:7" x14ac:dyDescent="0.35">
      <c r="A117" s="43">
        <v>46192.928668981483</v>
      </c>
      <c r="B117" t="s">
        <v>842</v>
      </c>
      <c r="C117">
        <v>125153</v>
      </c>
      <c r="D117">
        <v>4</v>
      </c>
      <c r="E117">
        <v>14</v>
      </c>
      <c r="F117" t="s">
        <v>947</v>
      </c>
      <c r="G117" t="s">
        <v>877</v>
      </c>
    </row>
    <row r="118" spans="1:7" x14ac:dyDescent="0.35">
      <c r="A118" s="43">
        <v>46195.50577546296</v>
      </c>
      <c r="B118" t="s">
        <v>842</v>
      </c>
      <c r="C118">
        <v>123034</v>
      </c>
      <c r="D118">
        <v>4</v>
      </c>
      <c r="E118">
        <v>8</v>
      </c>
      <c r="F118" t="s">
        <v>939</v>
      </c>
      <c r="G118" t="s">
        <v>877</v>
      </c>
    </row>
    <row r="119" spans="1:7" x14ac:dyDescent="0.35">
      <c r="A119" s="43">
        <v>46195.579351851855</v>
      </c>
      <c r="B119" t="s">
        <v>842</v>
      </c>
      <c r="C119">
        <v>123034</v>
      </c>
      <c r="D119">
        <v>1</v>
      </c>
      <c r="E119">
        <v>8</v>
      </c>
      <c r="F119" t="s">
        <v>948</v>
      </c>
      <c r="G119" t="s">
        <v>877</v>
      </c>
    </row>
    <row r="120" spans="1:7" x14ac:dyDescent="0.35">
      <c r="A120" s="43">
        <v>46195.966874999998</v>
      </c>
      <c r="B120" t="s">
        <v>842</v>
      </c>
      <c r="C120">
        <v>125435</v>
      </c>
      <c r="D120">
        <v>4</v>
      </c>
      <c r="E120">
        <v>8</v>
      </c>
      <c r="F120" t="s">
        <v>949</v>
      </c>
      <c r="G120" t="s">
        <v>877</v>
      </c>
    </row>
    <row r="121" spans="1:7" x14ac:dyDescent="0.35">
      <c r="A121" s="43">
        <v>46196.536481481482</v>
      </c>
      <c r="B121" t="s">
        <v>842</v>
      </c>
      <c r="C121">
        <v>124896</v>
      </c>
      <c r="D121">
        <v>2</v>
      </c>
      <c r="E121">
        <v>6</v>
      </c>
      <c r="F121" t="s">
        <v>925</v>
      </c>
      <c r="G121" t="s">
        <v>877</v>
      </c>
    </row>
    <row r="122" spans="1:7" x14ac:dyDescent="0.35">
      <c r="A122" s="43">
        <v>46196.727986111109</v>
      </c>
      <c r="B122" t="s">
        <v>842</v>
      </c>
      <c r="C122">
        <v>115987</v>
      </c>
      <c r="D122">
        <v>2</v>
      </c>
      <c r="E122">
        <v>10</v>
      </c>
      <c r="F122" t="s">
        <v>950</v>
      </c>
      <c r="G122" t="s">
        <v>877</v>
      </c>
    </row>
    <row r="123" spans="1:7" x14ac:dyDescent="0.35">
      <c r="A123" s="43">
        <v>46196.957881944443</v>
      </c>
      <c r="B123" t="s">
        <v>842</v>
      </c>
      <c r="C123">
        <v>124677</v>
      </c>
      <c r="D123">
        <v>4</v>
      </c>
      <c r="E123">
        <v>12</v>
      </c>
      <c r="F123" t="s">
        <v>951</v>
      </c>
      <c r="G123" t="s">
        <v>877</v>
      </c>
    </row>
    <row r="124" spans="1:7" x14ac:dyDescent="0.35">
      <c r="A124" s="43">
        <v>46197.040011574078</v>
      </c>
      <c r="B124" t="s">
        <v>842</v>
      </c>
      <c r="C124">
        <v>124379</v>
      </c>
      <c r="D124">
        <v>4</v>
      </c>
      <c r="E124">
        <v>14</v>
      </c>
      <c r="F124" t="s">
        <v>952</v>
      </c>
      <c r="G124" t="s">
        <v>877</v>
      </c>
    </row>
    <row r="125" spans="1:7" x14ac:dyDescent="0.35">
      <c r="A125" s="43">
        <v>46198.539479166669</v>
      </c>
      <c r="B125" t="s">
        <v>842</v>
      </c>
      <c r="C125">
        <v>114067</v>
      </c>
      <c r="D125">
        <v>4</v>
      </c>
      <c r="E125">
        <v>20</v>
      </c>
      <c r="F125" t="s">
        <v>931</v>
      </c>
      <c r="G125" t="s">
        <v>877</v>
      </c>
    </row>
    <row r="126" spans="1:7" x14ac:dyDescent="0.35">
      <c r="A126" s="43">
        <v>46198.643877314818</v>
      </c>
      <c r="B126" t="s">
        <v>842</v>
      </c>
      <c r="C126">
        <v>16978</v>
      </c>
      <c r="D126">
        <v>2</v>
      </c>
      <c r="E126">
        <v>10</v>
      </c>
      <c r="F126" t="s">
        <v>953</v>
      </c>
      <c r="G126" t="s">
        <v>877</v>
      </c>
    </row>
    <row r="127" spans="1:7" x14ac:dyDescent="0.35">
      <c r="A127" s="43">
        <v>46198.747858796298</v>
      </c>
      <c r="B127" t="s">
        <v>842</v>
      </c>
      <c r="C127">
        <v>16882</v>
      </c>
      <c r="D127">
        <v>1</v>
      </c>
      <c r="E127">
        <v>5</v>
      </c>
      <c r="F127" t="s">
        <v>954</v>
      </c>
      <c r="G127" t="s">
        <v>877</v>
      </c>
    </row>
    <row r="128" spans="1:7" x14ac:dyDescent="0.35">
      <c r="A128" s="43">
        <v>46198.85359953704</v>
      </c>
      <c r="B128" t="s">
        <v>842</v>
      </c>
      <c r="C128">
        <v>16962</v>
      </c>
      <c r="D128">
        <v>1</v>
      </c>
      <c r="E128">
        <v>7</v>
      </c>
      <c r="F128" t="s">
        <v>874</v>
      </c>
      <c r="G128" t="s">
        <v>877</v>
      </c>
    </row>
    <row r="129" spans="1:7" x14ac:dyDescent="0.35">
      <c r="A129" s="43">
        <v>46198.929097222222</v>
      </c>
      <c r="B129" t="s">
        <v>842</v>
      </c>
      <c r="C129">
        <v>16954</v>
      </c>
      <c r="D129">
        <v>1</v>
      </c>
      <c r="E129">
        <v>7</v>
      </c>
      <c r="F129" t="s">
        <v>955</v>
      </c>
      <c r="G129" t="s">
        <v>877</v>
      </c>
    </row>
    <row r="130" spans="1:7" x14ac:dyDescent="0.35">
      <c r="A130" s="43">
        <v>46199.369432870371</v>
      </c>
      <c r="B130" t="s">
        <v>842</v>
      </c>
      <c r="C130">
        <v>16890</v>
      </c>
      <c r="D130">
        <v>3</v>
      </c>
      <c r="E130">
        <v>11</v>
      </c>
      <c r="F130" t="s">
        <v>956</v>
      </c>
      <c r="G130" t="s">
        <v>877</v>
      </c>
    </row>
    <row r="131" spans="1:7" x14ac:dyDescent="0.35">
      <c r="A131" s="43">
        <v>46199.423321759263</v>
      </c>
      <c r="B131" t="s">
        <v>842</v>
      </c>
      <c r="C131">
        <v>6903</v>
      </c>
      <c r="D131">
        <v>4</v>
      </c>
      <c r="E131">
        <v>12</v>
      </c>
      <c r="F131" t="s">
        <v>957</v>
      </c>
      <c r="G131" t="s">
        <v>877</v>
      </c>
    </row>
    <row r="132" spans="1:7" x14ac:dyDescent="0.35">
      <c r="A132" s="43">
        <v>46199.462812500002</v>
      </c>
      <c r="B132" t="s">
        <v>842</v>
      </c>
      <c r="C132">
        <v>6904</v>
      </c>
      <c r="D132">
        <v>1</v>
      </c>
      <c r="E132">
        <v>7</v>
      </c>
      <c r="F132" t="s">
        <v>958</v>
      </c>
      <c r="G132" t="s">
        <v>877</v>
      </c>
    </row>
    <row r="133" spans="1:7" x14ac:dyDescent="0.35">
      <c r="A133" s="43">
        <v>46199.500011574077</v>
      </c>
      <c r="B133" t="s">
        <v>842</v>
      </c>
      <c r="C133">
        <v>6905</v>
      </c>
      <c r="D133">
        <v>1</v>
      </c>
      <c r="E133">
        <v>5</v>
      </c>
      <c r="F133" t="s">
        <v>881</v>
      </c>
      <c r="G133" t="s">
        <v>877</v>
      </c>
    </row>
    <row r="134" spans="1:7" x14ac:dyDescent="0.35">
      <c r="A134" s="43">
        <v>46202.5</v>
      </c>
      <c r="B134" t="s">
        <v>842</v>
      </c>
      <c r="C134">
        <v>123186</v>
      </c>
      <c r="D134">
        <v>2</v>
      </c>
      <c r="E134">
        <v>6</v>
      </c>
      <c r="F134" t="s">
        <v>959</v>
      </c>
      <c r="G134" t="s">
        <v>877</v>
      </c>
    </row>
    <row r="135" spans="1:7" x14ac:dyDescent="0.35">
      <c r="A135" s="43">
        <v>46202.580555555556</v>
      </c>
      <c r="B135" t="s">
        <v>842</v>
      </c>
      <c r="C135">
        <v>123208</v>
      </c>
      <c r="D135">
        <v>2</v>
      </c>
      <c r="E135">
        <v>6</v>
      </c>
      <c r="F135" t="s">
        <v>960</v>
      </c>
      <c r="G135" t="s">
        <v>877</v>
      </c>
    </row>
    <row r="136" spans="1:7" x14ac:dyDescent="0.35">
      <c r="A136" s="43">
        <v>46202.629756944443</v>
      </c>
      <c r="B136" t="s">
        <v>842</v>
      </c>
      <c r="C136">
        <v>125721</v>
      </c>
      <c r="D136">
        <v>2</v>
      </c>
      <c r="E136">
        <v>8</v>
      </c>
      <c r="F136" t="s">
        <v>961</v>
      </c>
      <c r="G136" t="s">
        <v>877</v>
      </c>
    </row>
    <row r="137" spans="1:7" x14ac:dyDescent="0.35">
      <c r="A137" s="43">
        <v>46202.92491898148</v>
      </c>
      <c r="B137" t="s">
        <v>842</v>
      </c>
      <c r="C137">
        <v>124644</v>
      </c>
      <c r="D137">
        <v>2</v>
      </c>
      <c r="E137">
        <v>7</v>
      </c>
      <c r="F137" t="s">
        <v>915</v>
      </c>
      <c r="G137" t="s">
        <v>877</v>
      </c>
    </row>
    <row r="138" spans="1:7" x14ac:dyDescent="0.35">
      <c r="A138" s="43">
        <v>46203.625856481478</v>
      </c>
      <c r="B138" t="s">
        <v>842</v>
      </c>
      <c r="C138">
        <v>122584</v>
      </c>
      <c r="D138">
        <v>1</v>
      </c>
      <c r="E138">
        <v>3</v>
      </c>
      <c r="F138" t="s">
        <v>962</v>
      </c>
      <c r="G138" t="s">
        <v>877</v>
      </c>
    </row>
    <row r="139" spans="1:7" x14ac:dyDescent="0.35">
      <c r="A139" s="43">
        <v>46203.639328703706</v>
      </c>
      <c r="B139" t="s">
        <v>842</v>
      </c>
      <c r="C139">
        <v>123852</v>
      </c>
      <c r="D139">
        <v>1</v>
      </c>
      <c r="E139">
        <v>3</v>
      </c>
      <c r="F139" t="s">
        <v>963</v>
      </c>
      <c r="G139" t="s">
        <v>877</v>
      </c>
    </row>
    <row r="140" spans="1:7" x14ac:dyDescent="0.35">
      <c r="A140" s="43">
        <v>46204.58216435185</v>
      </c>
      <c r="B140" t="s">
        <v>842</v>
      </c>
      <c r="C140">
        <v>131901</v>
      </c>
      <c r="D140">
        <v>2</v>
      </c>
      <c r="E140">
        <v>6</v>
      </c>
      <c r="F140" t="s">
        <v>882</v>
      </c>
      <c r="G140" t="s">
        <v>877</v>
      </c>
    </row>
    <row r="141" spans="1:7" x14ac:dyDescent="0.35">
      <c r="A141" s="43">
        <v>46204.629699074074</v>
      </c>
      <c r="B141" t="s">
        <v>842</v>
      </c>
      <c r="C141">
        <v>128317</v>
      </c>
      <c r="D141">
        <v>4</v>
      </c>
      <c r="E141">
        <v>14</v>
      </c>
      <c r="F141" t="s">
        <v>964</v>
      </c>
      <c r="G141" t="s">
        <v>877</v>
      </c>
    </row>
    <row r="142" spans="1:7" x14ac:dyDescent="0.35">
      <c r="A142" s="43">
        <v>46205.384652777779</v>
      </c>
      <c r="B142" t="s">
        <v>842</v>
      </c>
      <c r="C142">
        <v>129949</v>
      </c>
      <c r="D142">
        <v>2</v>
      </c>
      <c r="E142">
        <v>8</v>
      </c>
      <c r="F142" t="s">
        <v>965</v>
      </c>
      <c r="G142" t="s">
        <v>877</v>
      </c>
    </row>
    <row r="143" spans="1:7" x14ac:dyDescent="0.35">
      <c r="A143" s="43">
        <v>46205.434178240743</v>
      </c>
      <c r="B143" t="s">
        <v>842</v>
      </c>
      <c r="C143">
        <v>130837</v>
      </c>
      <c r="D143">
        <v>2</v>
      </c>
      <c r="E143">
        <v>8</v>
      </c>
      <c r="F143" t="s">
        <v>966</v>
      </c>
      <c r="G143" t="s">
        <v>877</v>
      </c>
    </row>
    <row r="144" spans="1:7" x14ac:dyDescent="0.35">
      <c r="A144" s="43">
        <v>46205.536087962966</v>
      </c>
      <c r="B144" t="s">
        <v>842</v>
      </c>
      <c r="C144">
        <v>130321</v>
      </c>
      <c r="D144">
        <v>4</v>
      </c>
      <c r="E144">
        <v>16</v>
      </c>
      <c r="F144" t="s">
        <v>967</v>
      </c>
      <c r="G144" t="s">
        <v>877</v>
      </c>
    </row>
    <row r="145" spans="1:7" x14ac:dyDescent="0.35">
      <c r="A145" s="43">
        <v>46205.66710648148</v>
      </c>
      <c r="B145" t="s">
        <v>842</v>
      </c>
      <c r="C145">
        <v>132813</v>
      </c>
      <c r="D145">
        <v>4</v>
      </c>
      <c r="E145">
        <v>14</v>
      </c>
      <c r="F145" t="s">
        <v>931</v>
      </c>
      <c r="G145" t="s">
        <v>877</v>
      </c>
    </row>
    <row r="146" spans="1:7" x14ac:dyDescent="0.35">
      <c r="A146" s="43">
        <v>46205.737800925926</v>
      </c>
      <c r="B146" t="s">
        <v>842</v>
      </c>
      <c r="C146">
        <v>131194</v>
      </c>
      <c r="D146">
        <v>1</v>
      </c>
      <c r="E146">
        <v>7</v>
      </c>
      <c r="F146" t="s">
        <v>968</v>
      </c>
      <c r="G146" t="s">
        <v>877</v>
      </c>
    </row>
    <row r="147" spans="1:7" x14ac:dyDescent="0.35">
      <c r="A147" s="43">
        <v>46205.80028935185</v>
      </c>
      <c r="B147" t="s">
        <v>842</v>
      </c>
      <c r="C147">
        <v>132618</v>
      </c>
      <c r="D147">
        <v>4</v>
      </c>
      <c r="E147">
        <v>20</v>
      </c>
      <c r="F147" t="s">
        <v>969</v>
      </c>
      <c r="G147" t="s">
        <v>877</v>
      </c>
    </row>
    <row r="148" spans="1:7" x14ac:dyDescent="0.35">
      <c r="A148" s="43">
        <v>46206.348425925928</v>
      </c>
      <c r="B148" t="s">
        <v>842</v>
      </c>
      <c r="C148">
        <v>132002</v>
      </c>
      <c r="D148">
        <v>4</v>
      </c>
      <c r="E148">
        <v>24</v>
      </c>
      <c r="F148" t="s">
        <v>970</v>
      </c>
      <c r="G148" t="s">
        <v>877</v>
      </c>
    </row>
    <row r="149" spans="1:7" x14ac:dyDescent="0.35">
      <c r="A149" s="43">
        <v>46206.398958333331</v>
      </c>
      <c r="B149" t="s">
        <v>842</v>
      </c>
      <c r="C149">
        <v>128498</v>
      </c>
      <c r="D149">
        <v>3</v>
      </c>
      <c r="E149">
        <v>11</v>
      </c>
      <c r="F149" t="s">
        <v>971</v>
      </c>
      <c r="G149" t="s">
        <v>877</v>
      </c>
    </row>
    <row r="150" spans="1:7" x14ac:dyDescent="0.35">
      <c r="A150" s="43">
        <v>46206.494317129633</v>
      </c>
      <c r="B150" t="s">
        <v>842</v>
      </c>
      <c r="C150">
        <v>128201</v>
      </c>
      <c r="D150">
        <v>4</v>
      </c>
      <c r="E150">
        <v>24</v>
      </c>
      <c r="F150" t="s">
        <v>972</v>
      </c>
      <c r="G150" t="s">
        <v>877</v>
      </c>
    </row>
    <row r="151" spans="1:7" x14ac:dyDescent="0.35">
      <c r="A151" s="43">
        <v>46206.55976851852</v>
      </c>
      <c r="B151" t="s">
        <v>842</v>
      </c>
      <c r="C151">
        <v>129218</v>
      </c>
      <c r="D151">
        <v>4</v>
      </c>
      <c r="E151">
        <v>14</v>
      </c>
      <c r="F151" t="s">
        <v>973</v>
      </c>
      <c r="G151" t="s">
        <v>877</v>
      </c>
    </row>
    <row r="152" spans="1:7" x14ac:dyDescent="0.35">
      <c r="A152" s="43">
        <v>46206.614699074074</v>
      </c>
      <c r="B152" t="s">
        <v>842</v>
      </c>
      <c r="C152">
        <v>130394</v>
      </c>
      <c r="D152">
        <v>2</v>
      </c>
      <c r="E152">
        <v>6</v>
      </c>
      <c r="F152" t="s">
        <v>974</v>
      </c>
      <c r="G152" t="s">
        <v>877</v>
      </c>
    </row>
    <row r="153" spans="1:7" x14ac:dyDescent="0.35">
      <c r="A153" s="43">
        <v>46206.78638888889</v>
      </c>
      <c r="B153" t="s">
        <v>842</v>
      </c>
      <c r="C153">
        <v>131670</v>
      </c>
      <c r="D153">
        <v>4</v>
      </c>
      <c r="E153">
        <v>20</v>
      </c>
      <c r="F153" t="s">
        <v>975</v>
      </c>
      <c r="G153" t="s">
        <v>877</v>
      </c>
    </row>
    <row r="154" spans="1:7" x14ac:dyDescent="0.35">
      <c r="A154" s="43">
        <v>46206.792384259257</v>
      </c>
      <c r="B154" t="s">
        <v>842</v>
      </c>
      <c r="C154">
        <v>131670</v>
      </c>
      <c r="D154">
        <v>4</v>
      </c>
      <c r="E154">
        <v>20</v>
      </c>
      <c r="F154" t="s">
        <v>976</v>
      </c>
      <c r="G154" t="s">
        <v>877</v>
      </c>
    </row>
    <row r="155" spans="1:7" x14ac:dyDescent="0.35">
      <c r="A155" s="43">
        <v>46209.514097222222</v>
      </c>
      <c r="B155" t="s">
        <v>842</v>
      </c>
      <c r="C155">
        <v>132983</v>
      </c>
      <c r="D155">
        <v>3</v>
      </c>
      <c r="E155">
        <v>15</v>
      </c>
      <c r="F155" t="s">
        <v>977</v>
      </c>
      <c r="G155" t="s">
        <v>877</v>
      </c>
    </row>
    <row r="156" spans="1:7" x14ac:dyDescent="0.35">
      <c r="A156" s="43">
        <v>46209.595011574071</v>
      </c>
      <c r="B156" t="s">
        <v>842</v>
      </c>
      <c r="C156">
        <v>122828</v>
      </c>
      <c r="D156">
        <v>2</v>
      </c>
      <c r="E156">
        <v>10</v>
      </c>
      <c r="F156" t="s">
        <v>876</v>
      </c>
      <c r="G156" t="s">
        <v>877</v>
      </c>
    </row>
    <row r="157" spans="1:7" x14ac:dyDescent="0.35">
      <c r="A157" s="43">
        <v>46209.637870370374</v>
      </c>
      <c r="B157" t="s">
        <v>842</v>
      </c>
      <c r="C157">
        <v>132004</v>
      </c>
      <c r="D157">
        <v>2</v>
      </c>
      <c r="E157">
        <v>8</v>
      </c>
      <c r="F157" t="s">
        <v>978</v>
      </c>
      <c r="G157" t="s">
        <v>877</v>
      </c>
    </row>
    <row r="158" spans="1:7" x14ac:dyDescent="0.35">
      <c r="A158" s="43">
        <v>46209.72115740741</v>
      </c>
      <c r="B158" t="s">
        <v>842</v>
      </c>
      <c r="C158">
        <v>131903</v>
      </c>
      <c r="D158">
        <v>2</v>
      </c>
      <c r="E158">
        <v>10</v>
      </c>
      <c r="F158" t="s">
        <v>979</v>
      </c>
      <c r="G158" t="s">
        <v>877</v>
      </c>
    </row>
    <row r="159" spans="1:7" x14ac:dyDescent="0.35">
      <c r="A159" s="43">
        <v>46209.761365740742</v>
      </c>
      <c r="B159" t="s">
        <v>842</v>
      </c>
      <c r="C159">
        <v>131328</v>
      </c>
      <c r="D159">
        <v>2</v>
      </c>
      <c r="E159">
        <v>8</v>
      </c>
      <c r="F159" t="s">
        <v>951</v>
      </c>
      <c r="G159" t="s">
        <v>877</v>
      </c>
    </row>
    <row r="160" spans="1:7" x14ac:dyDescent="0.35">
      <c r="A160" s="43">
        <v>46210.408634259256</v>
      </c>
      <c r="B160" t="s">
        <v>842</v>
      </c>
      <c r="C160">
        <v>129778</v>
      </c>
      <c r="D160">
        <v>2</v>
      </c>
      <c r="E160">
        <v>8</v>
      </c>
      <c r="F160" t="s">
        <v>980</v>
      </c>
      <c r="G160" t="s">
        <v>877</v>
      </c>
    </row>
    <row r="161" spans="1:7" x14ac:dyDescent="0.35">
      <c r="A161" s="43">
        <v>46210.463680555556</v>
      </c>
      <c r="B161" t="s">
        <v>842</v>
      </c>
      <c r="C161">
        <v>130679</v>
      </c>
      <c r="D161">
        <v>4</v>
      </c>
      <c r="E161">
        <v>14</v>
      </c>
      <c r="F161" t="s">
        <v>981</v>
      </c>
      <c r="G161" t="s">
        <v>877</v>
      </c>
    </row>
    <row r="162" spans="1:7" x14ac:dyDescent="0.35">
      <c r="A162" s="43">
        <v>46210.519432870373</v>
      </c>
      <c r="B162" t="s">
        <v>842</v>
      </c>
      <c r="C162">
        <v>129548</v>
      </c>
      <c r="D162">
        <v>2</v>
      </c>
      <c r="E162">
        <v>8</v>
      </c>
      <c r="F162" t="s">
        <v>982</v>
      </c>
      <c r="G162" t="s">
        <v>877</v>
      </c>
    </row>
    <row r="163" spans="1:7" x14ac:dyDescent="0.35">
      <c r="A163" s="43">
        <v>46210.700752314813</v>
      </c>
      <c r="B163" t="s">
        <v>842</v>
      </c>
      <c r="C163">
        <v>128372</v>
      </c>
      <c r="D163">
        <v>2</v>
      </c>
      <c r="E163">
        <v>8</v>
      </c>
      <c r="F163" t="s">
        <v>927</v>
      </c>
      <c r="G163" t="s">
        <v>877</v>
      </c>
    </row>
    <row r="164" spans="1:7" x14ac:dyDescent="0.35">
      <c r="A164" s="43">
        <v>46210.752615740741</v>
      </c>
      <c r="B164" t="s">
        <v>842</v>
      </c>
      <c r="C164">
        <v>128415</v>
      </c>
      <c r="D164">
        <v>4</v>
      </c>
      <c r="E164">
        <v>22</v>
      </c>
      <c r="F164" t="s">
        <v>869</v>
      </c>
      <c r="G164" t="s">
        <v>877</v>
      </c>
    </row>
    <row r="165" spans="1:7" x14ac:dyDescent="0.35">
      <c r="A165" s="43">
        <v>46210.795324074075</v>
      </c>
      <c r="B165" t="s">
        <v>842</v>
      </c>
      <c r="C165">
        <v>129188</v>
      </c>
      <c r="D165">
        <v>4</v>
      </c>
      <c r="E165">
        <v>20</v>
      </c>
      <c r="F165" t="s">
        <v>983</v>
      </c>
      <c r="G165" t="s">
        <v>877</v>
      </c>
    </row>
    <row r="166" spans="1:7" x14ac:dyDescent="0.35">
      <c r="A166" s="43">
        <v>46211.56486111111</v>
      </c>
      <c r="B166" t="s">
        <v>842</v>
      </c>
      <c r="C166">
        <v>132428</v>
      </c>
      <c r="D166">
        <v>2</v>
      </c>
      <c r="E166">
        <v>6</v>
      </c>
      <c r="F166" t="s">
        <v>984</v>
      </c>
      <c r="G166" t="s">
        <v>877</v>
      </c>
    </row>
    <row r="167" spans="1:7" x14ac:dyDescent="0.35">
      <c r="A167" s="43">
        <v>46211.583124999997</v>
      </c>
      <c r="B167" t="s">
        <v>842</v>
      </c>
      <c r="C167">
        <v>132276</v>
      </c>
      <c r="D167">
        <v>2</v>
      </c>
      <c r="E167">
        <v>6</v>
      </c>
      <c r="F167" t="s">
        <v>985</v>
      </c>
      <c r="G167" t="s">
        <v>877</v>
      </c>
    </row>
    <row r="168" spans="1:7" x14ac:dyDescent="0.35">
      <c r="A168" s="43">
        <v>46211.602210648147</v>
      </c>
      <c r="B168" t="s">
        <v>842</v>
      </c>
      <c r="C168">
        <v>130184</v>
      </c>
      <c r="D168">
        <v>2</v>
      </c>
      <c r="E168">
        <v>6</v>
      </c>
      <c r="F168" t="s">
        <v>986</v>
      </c>
      <c r="G168" t="s">
        <v>877</v>
      </c>
    </row>
    <row r="169" spans="1:7" x14ac:dyDescent="0.35">
      <c r="A169" s="43">
        <v>46211.625636574077</v>
      </c>
      <c r="B169" t="s">
        <v>842</v>
      </c>
      <c r="C169">
        <v>131052</v>
      </c>
      <c r="D169">
        <v>2</v>
      </c>
      <c r="E169">
        <v>8</v>
      </c>
      <c r="F169" t="s">
        <v>952</v>
      </c>
      <c r="G169" t="s">
        <v>877</v>
      </c>
    </row>
    <row r="170" spans="1:7" x14ac:dyDescent="0.35">
      <c r="A170" s="43">
        <v>46211.744120370371</v>
      </c>
      <c r="B170" t="s">
        <v>842</v>
      </c>
      <c r="C170">
        <v>130756</v>
      </c>
      <c r="D170">
        <v>2</v>
      </c>
      <c r="E170">
        <v>8</v>
      </c>
      <c r="F170" t="s">
        <v>968</v>
      </c>
      <c r="G170" t="s">
        <v>877</v>
      </c>
    </row>
    <row r="171" spans="1:7" x14ac:dyDescent="0.35">
      <c r="A171" s="43">
        <v>46212.441701388889</v>
      </c>
      <c r="B171" t="s">
        <v>842</v>
      </c>
      <c r="C171">
        <v>132500</v>
      </c>
      <c r="D171">
        <v>1</v>
      </c>
      <c r="E171">
        <v>7</v>
      </c>
      <c r="F171" t="s">
        <v>987</v>
      </c>
      <c r="G171" t="s">
        <v>877</v>
      </c>
    </row>
    <row r="172" spans="1:7" x14ac:dyDescent="0.35">
      <c r="A172" s="43">
        <v>46212.441932870373</v>
      </c>
    </row>
    <row r="173" spans="1:7" x14ac:dyDescent="0.35">
      <c r="A173" s="43">
        <v>46212.675092592595</v>
      </c>
      <c r="B173" t="s">
        <v>842</v>
      </c>
      <c r="C173">
        <v>130406</v>
      </c>
      <c r="D173">
        <v>5</v>
      </c>
      <c r="E173">
        <v>20</v>
      </c>
      <c r="F173" t="s">
        <v>988</v>
      </c>
      <c r="G173" t="s">
        <v>877</v>
      </c>
    </row>
    <row r="174" spans="1:7" x14ac:dyDescent="0.35">
      <c r="A174" s="43">
        <v>46212.728761574072</v>
      </c>
      <c r="B174" t="s">
        <v>842</v>
      </c>
      <c r="C174">
        <v>131012</v>
      </c>
      <c r="D174">
        <v>2</v>
      </c>
      <c r="E174">
        <v>10</v>
      </c>
      <c r="F174" t="s">
        <v>968</v>
      </c>
      <c r="G174" t="s">
        <v>877</v>
      </c>
    </row>
    <row r="175" spans="1:7" x14ac:dyDescent="0.35">
      <c r="A175" s="43">
        <v>46212.821481481478</v>
      </c>
      <c r="B175" t="s">
        <v>842</v>
      </c>
      <c r="C175">
        <v>128411</v>
      </c>
      <c r="D175">
        <v>4</v>
      </c>
      <c r="E175">
        <v>22</v>
      </c>
      <c r="F175" t="s">
        <v>912</v>
      </c>
      <c r="G175" t="s">
        <v>877</v>
      </c>
    </row>
    <row r="176" spans="1:7" x14ac:dyDescent="0.35">
      <c r="A176" s="43">
        <v>46213.049189814818</v>
      </c>
      <c r="B176" t="s">
        <v>842</v>
      </c>
      <c r="C176">
        <v>132371</v>
      </c>
      <c r="D176">
        <v>4</v>
      </c>
      <c r="E176">
        <v>14</v>
      </c>
      <c r="F176" t="s">
        <v>954</v>
      </c>
      <c r="G176" t="s">
        <v>877</v>
      </c>
    </row>
    <row r="177" spans="1:9" x14ac:dyDescent="0.35">
      <c r="A177" s="43">
        <v>46213.073125000003</v>
      </c>
      <c r="B177" t="s">
        <v>842</v>
      </c>
      <c r="C177">
        <v>130587</v>
      </c>
      <c r="D177">
        <v>2</v>
      </c>
      <c r="E177">
        <v>6</v>
      </c>
      <c r="F177" t="s">
        <v>989</v>
      </c>
      <c r="G177" t="s">
        <v>877</v>
      </c>
    </row>
    <row r="178" spans="1:9" x14ac:dyDescent="0.35">
      <c r="A178" s="43">
        <v>46230.377129629633</v>
      </c>
      <c r="B178" t="s">
        <v>842</v>
      </c>
      <c r="C178" t="s">
        <v>941</v>
      </c>
      <c r="D178">
        <v>1</v>
      </c>
      <c r="E178">
        <v>3</v>
      </c>
      <c r="F178" t="s">
        <v>987</v>
      </c>
      <c r="G178" t="s">
        <v>990</v>
      </c>
      <c r="I178">
        <v>0</v>
      </c>
    </row>
    <row r="179" spans="1:9" x14ac:dyDescent="0.35">
      <c r="A179" s="43">
        <v>46230.409791666665</v>
      </c>
      <c r="B179" t="s">
        <v>842</v>
      </c>
      <c r="C179" t="s">
        <v>941</v>
      </c>
      <c r="D179">
        <v>2</v>
      </c>
      <c r="E179">
        <v>8</v>
      </c>
      <c r="F179" t="s">
        <v>991</v>
      </c>
      <c r="G179" t="s">
        <v>990</v>
      </c>
      <c r="I179">
        <v>0</v>
      </c>
    </row>
    <row r="180" spans="1:9" x14ac:dyDescent="0.35">
      <c r="A180" s="43">
        <v>46230.649351851855</v>
      </c>
      <c r="B180" t="s">
        <v>842</v>
      </c>
      <c r="C180">
        <v>136577</v>
      </c>
      <c r="D180">
        <v>2</v>
      </c>
      <c r="E180">
        <v>6</v>
      </c>
      <c r="F180" t="s">
        <v>963</v>
      </c>
      <c r="G180" t="s">
        <v>990</v>
      </c>
      <c r="I180">
        <v>0</v>
      </c>
    </row>
    <row r="181" spans="1:9" x14ac:dyDescent="0.35">
      <c r="A181" s="43">
        <v>46230.727175925924</v>
      </c>
      <c r="B181" t="s">
        <v>842</v>
      </c>
      <c r="C181">
        <v>136393</v>
      </c>
      <c r="D181">
        <v>2</v>
      </c>
      <c r="E181">
        <v>6</v>
      </c>
      <c r="F181" t="s">
        <v>992</v>
      </c>
      <c r="G181" t="s">
        <v>990</v>
      </c>
      <c r="I181">
        <v>6</v>
      </c>
    </row>
    <row r="182" spans="1:9" x14ac:dyDescent="0.35">
      <c r="A182" s="43">
        <v>46230.738645833335</v>
      </c>
      <c r="B182" t="s">
        <v>842</v>
      </c>
      <c r="C182">
        <v>136393</v>
      </c>
      <c r="D182">
        <v>2</v>
      </c>
      <c r="E182">
        <v>6</v>
      </c>
      <c r="F182" t="s">
        <v>993</v>
      </c>
      <c r="G182" t="s">
        <v>990</v>
      </c>
      <c r="I182">
        <v>0</v>
      </c>
    </row>
    <row r="183" spans="1:9" x14ac:dyDescent="0.35">
      <c r="A183" s="43">
        <v>46230.763923611114</v>
      </c>
      <c r="B183" t="s">
        <v>842</v>
      </c>
      <c r="C183">
        <v>136393</v>
      </c>
      <c r="D183">
        <v>2</v>
      </c>
      <c r="E183">
        <v>6</v>
      </c>
      <c r="F183" t="s">
        <v>994</v>
      </c>
      <c r="G183">
        <v>3.4</v>
      </c>
      <c r="I183">
        <v>0</v>
      </c>
    </row>
    <row r="184" spans="1:9" x14ac:dyDescent="0.35">
      <c r="A184" s="43">
        <v>46230.768194444441</v>
      </c>
      <c r="B184" t="s">
        <v>842</v>
      </c>
      <c r="C184">
        <v>136393</v>
      </c>
      <c r="D184">
        <v>2</v>
      </c>
      <c r="E184">
        <v>6</v>
      </c>
      <c r="F184" t="s">
        <v>995</v>
      </c>
      <c r="G184">
        <v>3.4</v>
      </c>
      <c r="I184">
        <v>0</v>
      </c>
    </row>
    <row r="185" spans="1:9" x14ac:dyDescent="0.35">
      <c r="A185" s="43">
        <v>46231.658634259256</v>
      </c>
      <c r="B185" t="s">
        <v>842</v>
      </c>
      <c r="C185">
        <v>129098</v>
      </c>
      <c r="D185">
        <v>2</v>
      </c>
      <c r="E185">
        <v>6</v>
      </c>
      <c r="F185" t="s">
        <v>996</v>
      </c>
      <c r="G185">
        <v>3.4</v>
      </c>
      <c r="I185">
        <v>0</v>
      </c>
    </row>
    <row r="186" spans="1:9" x14ac:dyDescent="0.35">
      <c r="A186" s="43">
        <v>46231.665891203702</v>
      </c>
      <c r="B186" t="s">
        <v>842</v>
      </c>
      <c r="C186">
        <v>129098</v>
      </c>
      <c r="D186">
        <v>4</v>
      </c>
      <c r="E186">
        <v>16</v>
      </c>
      <c r="F186" t="s">
        <v>894</v>
      </c>
      <c r="G186">
        <v>3.4</v>
      </c>
      <c r="I186">
        <v>0</v>
      </c>
    </row>
    <row r="187" spans="1:9" x14ac:dyDescent="0.35">
      <c r="A187" s="43">
        <v>46231.669849537036</v>
      </c>
      <c r="B187" t="s">
        <v>842</v>
      </c>
      <c r="C187">
        <v>129098</v>
      </c>
      <c r="D187">
        <v>4</v>
      </c>
      <c r="E187">
        <v>16</v>
      </c>
      <c r="F187" t="s">
        <v>997</v>
      </c>
      <c r="G187">
        <v>3.4</v>
      </c>
      <c r="I187">
        <v>0</v>
      </c>
    </row>
    <row r="188" spans="1:9" x14ac:dyDescent="0.35">
      <c r="A188" s="43">
        <v>46232.349340277775</v>
      </c>
      <c r="B188" t="s">
        <v>842</v>
      </c>
      <c r="C188">
        <v>137237</v>
      </c>
      <c r="D188">
        <v>4</v>
      </c>
      <c r="E188">
        <v>20</v>
      </c>
      <c r="F188" t="s">
        <v>935</v>
      </c>
      <c r="G188">
        <v>3.4</v>
      </c>
      <c r="I188">
        <v>0</v>
      </c>
    </row>
    <row r="189" spans="1:9" x14ac:dyDescent="0.35">
      <c r="A189" s="43">
        <v>46232.422881944447</v>
      </c>
      <c r="B189" t="s">
        <v>842</v>
      </c>
      <c r="C189">
        <v>135779</v>
      </c>
      <c r="D189">
        <v>7</v>
      </c>
      <c r="E189">
        <v>23</v>
      </c>
      <c r="F189" t="s">
        <v>896</v>
      </c>
      <c r="G189">
        <v>3.4</v>
      </c>
      <c r="I189">
        <v>0</v>
      </c>
    </row>
    <row r="190" spans="1:9" x14ac:dyDescent="0.35">
      <c r="A190" s="43">
        <v>46232.510266203702</v>
      </c>
      <c r="B190" t="s">
        <v>842</v>
      </c>
      <c r="C190">
        <v>129250</v>
      </c>
      <c r="D190">
        <v>4</v>
      </c>
      <c r="E190">
        <v>14</v>
      </c>
      <c r="F190" t="s">
        <v>998</v>
      </c>
      <c r="G190">
        <v>3.4</v>
      </c>
      <c r="I190">
        <v>0</v>
      </c>
    </row>
    <row r="191" spans="1:9" x14ac:dyDescent="0.35">
      <c r="A191" s="43">
        <v>46232.60533564815</v>
      </c>
      <c r="B191" t="s">
        <v>842</v>
      </c>
      <c r="C191">
        <v>128568</v>
      </c>
      <c r="D191">
        <v>4</v>
      </c>
      <c r="E191">
        <v>22</v>
      </c>
      <c r="F191" t="s">
        <v>999</v>
      </c>
      <c r="G191">
        <v>3.4</v>
      </c>
      <c r="I191">
        <v>0</v>
      </c>
    </row>
    <row r="192" spans="1:9" x14ac:dyDescent="0.35">
      <c r="A192" s="43">
        <v>46232.771134259259</v>
      </c>
      <c r="B192" t="s">
        <v>842</v>
      </c>
      <c r="C192">
        <v>128480</v>
      </c>
      <c r="D192">
        <v>5</v>
      </c>
      <c r="E192">
        <v>25</v>
      </c>
      <c r="F192" t="s">
        <v>1000</v>
      </c>
      <c r="G192">
        <v>3.4</v>
      </c>
      <c r="I192">
        <v>0</v>
      </c>
    </row>
    <row r="193" spans="1:9" x14ac:dyDescent="0.35">
      <c r="A193" s="43">
        <v>46233.394120370373</v>
      </c>
      <c r="B193" t="s">
        <v>842</v>
      </c>
      <c r="C193">
        <v>128504</v>
      </c>
      <c r="D193">
        <v>4</v>
      </c>
      <c r="E193">
        <v>20</v>
      </c>
      <c r="F193" t="s">
        <v>1001</v>
      </c>
      <c r="G193">
        <v>3.4</v>
      </c>
      <c r="I19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K29"/>
  <sheetViews>
    <sheetView topLeftCell="D1" zoomScale="90" zoomScaleNormal="90" workbookViewId="0">
      <selection activeCell="K19" sqref="K19"/>
    </sheetView>
  </sheetViews>
  <sheetFormatPr defaultColWidth="8.81640625" defaultRowHeight="14.5" x14ac:dyDescent="0.35"/>
  <cols>
    <col min="1" max="1" width="13.453125" style="30" bestFit="1" customWidth="1"/>
    <col min="2" max="2" width="13.1796875" style="30" bestFit="1" customWidth="1"/>
    <col min="3" max="3" width="20" style="30" bestFit="1" customWidth="1"/>
    <col min="4" max="4" width="13.1796875" style="30" bestFit="1" customWidth="1"/>
    <col min="5" max="5" width="18.81640625" style="30" bestFit="1" customWidth="1"/>
    <col min="6" max="9" width="8.81640625" style="30" customWidth="1"/>
    <col min="10" max="10" width="19.1796875" bestFit="1" customWidth="1"/>
    <col min="11" max="11" width="255.54296875" bestFit="1" customWidth="1"/>
    <col min="12" max="12" width="8.81640625" style="30" customWidth="1"/>
    <col min="13" max="16384" width="8.81640625" style="30"/>
  </cols>
  <sheetData>
    <row r="1" spans="1:11" x14ac:dyDescent="0.35">
      <c r="A1" s="35" t="s">
        <v>0</v>
      </c>
      <c r="B1" s="36" t="s">
        <v>1002</v>
      </c>
      <c r="C1" s="36" t="s">
        <v>1003</v>
      </c>
      <c r="D1" s="36" t="s">
        <v>1</v>
      </c>
      <c r="E1" s="37" t="s">
        <v>1004</v>
      </c>
      <c r="J1" t="s">
        <v>1005</v>
      </c>
      <c r="K1" s="34" t="s">
        <v>1006</v>
      </c>
    </row>
    <row r="2" spans="1:11" x14ac:dyDescent="0.35">
      <c r="A2" s="38" t="s">
        <v>1007</v>
      </c>
      <c r="B2" s="39" t="s">
        <v>1008</v>
      </c>
      <c r="C2" s="39" t="s">
        <v>1009</v>
      </c>
      <c r="D2" s="39" t="s">
        <v>1008</v>
      </c>
      <c r="E2" s="40" t="s">
        <v>1010</v>
      </c>
      <c r="J2" t="s">
        <v>1011</v>
      </c>
      <c r="K2" t="str">
        <f>IF(Sheet1!$J$6="Wise",IFERROR(VLOOKUP(Sheet1!$J$8, Template_DB!A:B, 2, FALSE), "Please Select an Escalation Scenario"),"" )</f>
        <v/>
      </c>
    </row>
    <row r="3" spans="1:11" x14ac:dyDescent="0.35">
      <c r="A3" s="38" t="s">
        <v>1007</v>
      </c>
      <c r="B3" s="39" t="s">
        <v>1012</v>
      </c>
      <c r="C3" s="39" t="s">
        <v>1013</v>
      </c>
      <c r="D3" s="39" t="s">
        <v>1012</v>
      </c>
      <c r="E3" s="40" t="s">
        <v>1014</v>
      </c>
      <c r="J3" t="s">
        <v>1015</v>
      </c>
      <c r="K3" s="34" t="str">
        <f t="array" ref="K3">_xlfn.IFS(AND(Sheet1!$J$5="Escalation", Sheet1!$J$6="Wise"), Template_DB!$B$2, AND(Sheet1!$J$5="Escalation", Sheet1!$J$6="Fluz"), Template_DB!$B$3, AND(Sheet1!$J$5="Non-Escalation", Sheet1!$J$6="Wise"), Template_DB!$B$4, AND(Sheet1!$J$5="Non-Escalation", Sheet1!$J$6="Fluz"), Template_DB!$B$4, AND(Sheet1!$J$5="Escalation", Sheet1!$J$6="Crypto"), Template_DB!$B$5, AND(Sheet1!$J$5="Non-Escalation", Sheet1!$J$6="Crypto"), Template_DB!$B$6, AND(Sheet1!$J$5="RFI", Sheet1!$J$6="Wise"), Template_DB!$B$7, AND(Sheet1!$J$5="RFI", Sheet1!$J$6="Airwallex"), Template_DB!$B$8, AND(Sheet1!$J$5="RFI", Sheet1!$J$6="Common"), Template_DB!$B$9, TRUE, "Select Template")</f>
        <v>Select Template</v>
      </c>
    </row>
    <row r="4" spans="1:11" x14ac:dyDescent="0.35">
      <c r="A4" s="38" t="s">
        <v>1007</v>
      </c>
      <c r="B4" s="39" t="s">
        <v>1016</v>
      </c>
      <c r="C4" s="39" t="s">
        <v>1017</v>
      </c>
      <c r="D4" s="39" t="s">
        <v>1016</v>
      </c>
      <c r="E4" s="40" t="s">
        <v>1014</v>
      </c>
      <c r="J4" t="s">
        <v>1018</v>
      </c>
      <c r="K4" s="34" t="str">
        <f>Sheet1!J13</f>
        <v>Steeve Tremblay</v>
      </c>
    </row>
    <row r="5" spans="1:11" x14ac:dyDescent="0.35">
      <c r="A5" s="38" t="s">
        <v>1019</v>
      </c>
      <c r="B5" s="39" t="s">
        <v>1020</v>
      </c>
      <c r="C5" s="39" t="s">
        <v>1021</v>
      </c>
      <c r="D5" s="39" t="s">
        <v>1020</v>
      </c>
      <c r="E5" s="40" t="s">
        <v>1014</v>
      </c>
      <c r="J5" t="s">
        <v>1022</v>
      </c>
      <c r="K5" s="34">
        <f>Sheet1!J9</f>
        <v>0</v>
      </c>
    </row>
    <row r="6" spans="1:11" ht="15" customHeight="1" thickBot="1" x14ac:dyDescent="0.4">
      <c r="A6" s="38" t="s">
        <v>1019</v>
      </c>
      <c r="B6" s="41" t="s">
        <v>1016</v>
      </c>
      <c r="C6" s="41" t="s">
        <v>1023</v>
      </c>
      <c r="D6" s="41" t="s">
        <v>1016</v>
      </c>
      <c r="E6" s="40" t="s">
        <v>1014</v>
      </c>
      <c r="J6" t="s">
        <v>1024</v>
      </c>
      <c r="K6" s="34">
        <f>Sheet1!J10</f>
        <v>0</v>
      </c>
    </row>
    <row r="7" spans="1:11" x14ac:dyDescent="0.35">
      <c r="J7" t="s">
        <v>1025</v>
      </c>
      <c r="K7" s="34">
        <f>Sheet1!J14</f>
        <v>0</v>
      </c>
    </row>
    <row r="8" spans="1:11" x14ac:dyDescent="0.35">
      <c r="A8" t="s">
        <v>1026</v>
      </c>
      <c r="D8" t="s">
        <v>1008</v>
      </c>
      <c r="E8" t="s">
        <v>1008</v>
      </c>
      <c r="J8" t="s">
        <v>1027</v>
      </c>
      <c r="K8" s="34" t="str">
        <f>IF(COUNTA(Sheet1!J18:J23)&gt;1,SUBSTITUTE(_xlfn.TEXTJOIN(", ", TRUE, Sheet1!J18:J23), ", "," and ", COUNTA(Sheet1!J18:J23)-1), _xlfn.TEXTJOIN(", ", TRUE, Sheet1!J18:J23))</f>
        <v>Amazon</v>
      </c>
    </row>
    <row r="9" spans="1:11" x14ac:dyDescent="0.35">
      <c r="A9" t="s">
        <v>1028</v>
      </c>
      <c r="D9" t="s">
        <v>1012</v>
      </c>
      <c r="E9" t="s">
        <v>1029</v>
      </c>
      <c r="J9" t="s">
        <v>1030</v>
      </c>
      <c r="K9" s="34" t="str">
        <f ca="1">TEXT(K11/K10, "#,##0.00")</f>
        <v>7,950.00</v>
      </c>
    </row>
    <row r="10" spans="1:11" x14ac:dyDescent="0.35">
      <c r="D10" t="s">
        <v>1016</v>
      </c>
      <c r="E10" t="s">
        <v>1031</v>
      </c>
      <c r="J10" t="s">
        <v>1032</v>
      </c>
      <c r="K10" s="34">
        <f ca="1">COUNT(INDIRECT("ConsolidatedData!K:K"))</f>
        <v>2</v>
      </c>
    </row>
    <row r="11" spans="1:11" x14ac:dyDescent="0.35">
      <c r="J11" t="s">
        <v>1033</v>
      </c>
      <c r="K11" s="34" t="str">
        <f ca="1">TEXT(SUM(INDIRECT("ConsolidatedData!K:K")), "#,##0.00")</f>
        <v>15,900.00</v>
      </c>
    </row>
    <row r="12" spans="1:11" x14ac:dyDescent="0.35">
      <c r="J12" t="s">
        <v>1034</v>
      </c>
      <c r="K12" s="34" t="str">
        <f ca="1">TEXT(MIN(INDIRECT("ConsolidatedData!L:L")),"mm/dd/yyyy")</f>
        <v>06/01/2026</v>
      </c>
    </row>
    <row r="13" spans="1:11" x14ac:dyDescent="0.35">
      <c r="J13" t="s">
        <v>1035</v>
      </c>
      <c r="K13" s="34" t="str">
        <f ca="1">TEXT(MAX(INDIRECT("ConsolidatedData!L:L")),"mm/dd/yyyy")</f>
        <v>06/02/2026</v>
      </c>
    </row>
    <row r="14" spans="1:11" x14ac:dyDescent="0.35">
      <c r="J14" t="s">
        <v>1036</v>
      </c>
      <c r="K14" s="34" t="str">
        <f t="array" aca="1" ref="K14" ca="1">_xlfn.TEXTJOIN(",",TRUE,_xlfn.UNIQUE(_xlfn._xlws.FILTER(INDIRECT("ConsolidatedData!F2:F10000"),INDIRECT("ConsolidatedData!F2:F10000")&lt;&gt;"")))</f>
        <v>GAL47145511849</v>
      </c>
    </row>
    <row r="15" spans="1:11" x14ac:dyDescent="0.35">
      <c r="J15" t="s">
        <v>1037</v>
      </c>
      <c r="K15" t="str">
        <f>IFERROR(VLOOKUP(Sheet1!J7, Program_Library!A:B, 2, FALSE), "Select a Program")</f>
        <v>Select a Program</v>
      </c>
    </row>
    <row r="16" spans="1:11" x14ac:dyDescent="0.35">
      <c r="J16" t="s">
        <v>1038</v>
      </c>
      <c r="K16" t="str">
        <f>Sheet1!J7&amp;""</f>
        <v/>
      </c>
    </row>
    <row r="17" spans="10:11" x14ac:dyDescent="0.35">
      <c r="J17" t="s">
        <v>1039</v>
      </c>
      <c r="K17" t="str">
        <f>Sheet1!J18&amp;""</f>
        <v>Amazon</v>
      </c>
    </row>
    <row r="18" spans="10:11" x14ac:dyDescent="0.35">
      <c r="J18" t="s">
        <v>1040</v>
      </c>
      <c r="K18" t="str">
        <f>Sheet1!J19&amp;""</f>
        <v/>
      </c>
    </row>
    <row r="19" spans="10:11" x14ac:dyDescent="0.35">
      <c r="J19" t="s">
        <v>1041</v>
      </c>
      <c r="K19" t="str">
        <f>Sheet1!J20&amp;""</f>
        <v/>
      </c>
    </row>
    <row r="20" spans="10:11" x14ac:dyDescent="0.35">
      <c r="J20" t="s">
        <v>1042</v>
      </c>
      <c r="K20" t="str">
        <f>Sheet1!J21&amp;""</f>
        <v/>
      </c>
    </row>
    <row r="21" spans="10:11" x14ac:dyDescent="0.35">
      <c r="J21" t="s">
        <v>1043</v>
      </c>
      <c r="K21" t="str">
        <f>Sheet1!J22&amp;""</f>
        <v/>
      </c>
    </row>
    <row r="22" spans="10:11" x14ac:dyDescent="0.35">
      <c r="J22" t="s">
        <v>1044</v>
      </c>
      <c r="K22" t="str">
        <f>Sheet1!J23&amp;""</f>
        <v/>
      </c>
    </row>
    <row r="23" spans="10:11" x14ac:dyDescent="0.35">
      <c r="J23" t="s">
        <v>1045</v>
      </c>
      <c r="K23" t="str">
        <f t="array" ref="K23">_xlfn.LET(_xlpm.AllAlerts, _xlfn.TEXTJOIN(",", TRUE, _xlfn._xlws.FILTER(ConsolidatedData!C2:C1000, ConsolidatedData!C2:C1000&lt;&gt;"")), _xlpm.SplitNames, _xlfn.UNIQUE(TRIM(_xlfn.TEXTSPLIT(_xlpm.AllAlerts, , ","))), _xlpm.RuleCodes, _xlfn.XLOOKUP(_xlpm.SplitNames, Rule_DB!C:C, Rule_DB!B:B, "Code Not Found"), _xlfn.TEXTJOIN(", ", TRUE, _xlpm.RuleCodes &amp; " - " &amp; _xlpm.SplitNames))</f>
        <v>RULE80 - Outgoing Activity To High Risk Jurisdiction</v>
      </c>
    </row>
    <row r="24" spans="10:11" x14ac:dyDescent="0.35">
      <c r="J24" t="s">
        <v>1046</v>
      </c>
      <c r="K24" s="34" t="str">
        <f>TEXT(_xlfn.MINIFS(ConsolidatedData!K:K, ConsolidatedData!K:K, "&gt;0"), "$#,##0.00")</f>
        <v>$7,900.00</v>
      </c>
    </row>
    <row r="25" spans="10:11" x14ac:dyDescent="0.35">
      <c r="J25" t="s">
        <v>1047</v>
      </c>
      <c r="K25" s="34" t="str">
        <f>TEXT(_xlfn.MAXIFS(ConsolidatedData!K:K, ConsolidatedData!K:K, "&gt;0"), "$#,##0.00")</f>
        <v>$8,000.00</v>
      </c>
    </row>
    <row r="26" spans="10:11" x14ac:dyDescent="0.35">
      <c r="J26" t="s">
        <v>1048</v>
      </c>
      <c r="K26" s="34" t="str">
        <f t="array" ref="K26">TEXT(SUMPRODUCT((ConsolidatedData!M:M="CR")*IFERROR(VALUE(SUBSTITUTE(ConsolidatedData!K:K, "$", "")), 0)), "#,##0.00")</f>
        <v>0.00</v>
      </c>
    </row>
    <row r="27" spans="10:11" x14ac:dyDescent="0.35">
      <c r="J27" t="s">
        <v>1049</v>
      </c>
      <c r="K27" s="34" t="str">
        <f t="array" ref="K27">TEXT(SUMPRODUCT((ConsolidatedData!M:M="DR")*IFERROR(VALUE(SUBSTITUTE(ConsolidatedData!K:K, "$", "")), 0)), "#,##0.00")</f>
        <v>15,900.00</v>
      </c>
    </row>
    <row r="28" spans="10:11" x14ac:dyDescent="0.35">
      <c r="J28" t="s">
        <v>1050</v>
      </c>
      <c r="K28" s="34">
        <f>COUNTIF(ConsolidatedData!M:M, "CR")</f>
        <v>0</v>
      </c>
    </row>
    <row r="29" spans="10:11" x14ac:dyDescent="0.35">
      <c r="J29" t="s">
        <v>1051</v>
      </c>
      <c r="K29" s="34">
        <f>COUNTIF(ConsolidatedData!M:M, "DR")</f>
        <v>2</v>
      </c>
    </row>
  </sheetData>
  <pageMargins left="0.7" right="0.7"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C50"/>
  <sheetViews>
    <sheetView zoomScale="80" zoomScaleNormal="80" workbookViewId="0">
      <selection activeCell="A6" sqref="A6"/>
    </sheetView>
  </sheetViews>
  <sheetFormatPr defaultRowHeight="14.5" x14ac:dyDescent="0.35"/>
  <cols>
    <col min="1" max="1" width="94" bestFit="1" customWidth="1"/>
    <col min="2" max="2" width="9.1796875" bestFit="1" customWidth="1"/>
    <col min="3" max="3" width="75.1796875" bestFit="1" customWidth="1"/>
  </cols>
  <sheetData>
    <row r="1" spans="1:3" ht="16" customHeight="1" x14ac:dyDescent="0.35">
      <c r="A1" s="28" t="s">
        <v>1052</v>
      </c>
      <c r="B1" t="s">
        <v>1053</v>
      </c>
      <c r="C1" t="s">
        <v>1054</v>
      </c>
    </row>
    <row r="2" spans="1:3" ht="16" customHeight="1" x14ac:dyDescent="0.35">
      <c r="A2" s="28" t="s">
        <v>1055</v>
      </c>
      <c r="B2" t="str">
        <f t="shared" ref="B2:B49" si="0">LEFT(A2, FIND(" ", A2) -1)</f>
        <v>RULE02</v>
      </c>
      <c r="C2" t="str">
        <f t="shared" ref="C2:C49" si="1">MID(A2, FIND( " ", A2) + 1, LEN(A2))</f>
        <v>Large value card transactions for purchase</v>
      </c>
    </row>
    <row r="3" spans="1:3" ht="16" customHeight="1" x14ac:dyDescent="0.35">
      <c r="A3" s="28" t="s">
        <v>1056</v>
      </c>
      <c r="B3" t="str">
        <f t="shared" si="0"/>
        <v>RULE03</v>
      </c>
      <c r="C3" t="str">
        <f t="shared" si="1"/>
        <v>Large value cash withdrawals against card - Weekly</v>
      </c>
    </row>
    <row r="4" spans="1:3" ht="16" customHeight="1" x14ac:dyDescent="0.35">
      <c r="A4" s="28" t="s">
        <v>1057</v>
      </c>
      <c r="B4" t="str">
        <f t="shared" si="0"/>
        <v>RULE03A</v>
      </c>
      <c r="C4" t="str">
        <f t="shared" si="1"/>
        <v>Large value cash withdrawals against card - Monthly</v>
      </c>
    </row>
    <row r="5" spans="1:3" ht="16" customHeight="1" x14ac:dyDescent="0.35">
      <c r="A5" s="28" t="s">
        <v>1058</v>
      </c>
      <c r="B5" t="str">
        <f t="shared" si="0"/>
        <v>RULE04</v>
      </c>
      <c r="C5" t="str">
        <f t="shared" si="1"/>
        <v>Repeated small value cash withdrawals against card</v>
      </c>
    </row>
    <row r="6" spans="1:3" ht="16" customHeight="1" x14ac:dyDescent="0.35">
      <c r="A6" s="28" t="s">
        <v>1059</v>
      </c>
      <c r="B6" t="str">
        <f t="shared" si="0"/>
        <v>RULE05</v>
      </c>
      <c r="C6" t="str">
        <f t="shared" si="1"/>
        <v>Large repetitive card usage at the same merchant</v>
      </c>
    </row>
    <row r="7" spans="1:3" ht="16" customHeight="1" x14ac:dyDescent="0.35">
      <c r="A7" s="28" t="s">
        <v>1060</v>
      </c>
      <c r="B7" t="str">
        <f t="shared" si="0"/>
        <v>RULE06</v>
      </c>
      <c r="C7" t="str">
        <f t="shared" si="1"/>
        <v>High value cash deposits in a month</v>
      </c>
    </row>
    <row r="8" spans="1:3" ht="16" customHeight="1" x14ac:dyDescent="0.35">
      <c r="A8" s="28" t="s">
        <v>1061</v>
      </c>
      <c r="B8" t="str">
        <f t="shared" si="0"/>
        <v>RULE07</v>
      </c>
      <c r="C8" t="str">
        <f t="shared" si="1"/>
        <v>High value cash withdrawals in a month</v>
      </c>
    </row>
    <row r="9" spans="1:3" ht="16" customHeight="1" x14ac:dyDescent="0.35">
      <c r="A9" s="28" t="s">
        <v>1062</v>
      </c>
      <c r="B9" t="str">
        <f t="shared" si="0"/>
        <v>RULE10</v>
      </c>
      <c r="C9" t="str">
        <f t="shared" si="1"/>
        <v>Sudden high value transaction for the client</v>
      </c>
    </row>
    <row r="10" spans="1:3" ht="16" customHeight="1" x14ac:dyDescent="0.35">
      <c r="A10" s="28" t="s">
        <v>1063</v>
      </c>
      <c r="B10" t="str">
        <f t="shared" si="0"/>
        <v>RULE11</v>
      </c>
      <c r="C10" t="str">
        <f t="shared" si="1"/>
        <v>Structuring: Splitting of cash withdrawal just below $10,000 in multiple accounts in a day</v>
      </c>
    </row>
    <row r="11" spans="1:3" ht="16" customHeight="1" x14ac:dyDescent="0.35">
      <c r="A11" s="28" t="s">
        <v>1064</v>
      </c>
      <c r="B11" t="str">
        <f t="shared" si="0"/>
        <v>RULE12</v>
      </c>
      <c r="C11" t="str">
        <f t="shared" si="1"/>
        <v>Structuring: Splitting cash deposits just below $10,000 in multiple accounts in a day</v>
      </c>
    </row>
    <row r="12" spans="1:3" ht="16" customHeight="1" x14ac:dyDescent="0.35">
      <c r="A12" s="28" t="s">
        <v>1065</v>
      </c>
      <c r="B12" t="str">
        <f t="shared" si="0"/>
        <v>RULE14</v>
      </c>
      <c r="C12" t="str">
        <f t="shared" si="1"/>
        <v>Frequent low cash deposits</v>
      </c>
    </row>
    <row r="13" spans="1:3" ht="16" customHeight="1" x14ac:dyDescent="0.35">
      <c r="A13" s="28" t="s">
        <v>1066</v>
      </c>
      <c r="B13" t="str">
        <f t="shared" si="0"/>
        <v>RULE15</v>
      </c>
      <c r="C13" t="str">
        <f t="shared" si="1"/>
        <v>Frequent low cash withdrawals</v>
      </c>
    </row>
    <row r="14" spans="1:3" ht="16" customHeight="1" x14ac:dyDescent="0.35">
      <c r="A14" s="28" t="s">
        <v>1067</v>
      </c>
      <c r="B14" t="str">
        <f t="shared" si="0"/>
        <v>RULE20</v>
      </c>
      <c r="C14" t="str">
        <f t="shared" si="1"/>
        <v>Early withdrawal of CD's</v>
      </c>
    </row>
    <row r="15" spans="1:3" ht="16" customHeight="1" x14ac:dyDescent="0.35">
      <c r="A15" s="28" t="s">
        <v>1068</v>
      </c>
      <c r="B15" t="str">
        <f t="shared" si="0"/>
        <v>RULE21</v>
      </c>
      <c r="C15" t="str">
        <f t="shared" si="1"/>
        <v>High value inward remittance</v>
      </c>
    </row>
    <row r="16" spans="1:3" ht="16" customHeight="1" x14ac:dyDescent="0.35">
      <c r="A16" s="28" t="s">
        <v>1069</v>
      </c>
      <c r="B16" t="str">
        <f t="shared" si="0"/>
        <v>RULE24</v>
      </c>
      <c r="C16" t="str">
        <f t="shared" si="1"/>
        <v>Alerts on Foreign Inward remittance of beyond a threshold limit</v>
      </c>
    </row>
    <row r="17" spans="1:3" ht="16" customHeight="1" x14ac:dyDescent="0.35">
      <c r="A17" s="28" t="s">
        <v>1070</v>
      </c>
      <c r="B17" t="str">
        <f t="shared" si="0"/>
        <v>RULE27A</v>
      </c>
      <c r="C17" t="str">
        <f t="shared" si="1"/>
        <v>Many to One ACH</v>
      </c>
    </row>
    <row r="18" spans="1:3" ht="16" customHeight="1" x14ac:dyDescent="0.35">
      <c r="A18" s="28" t="s">
        <v>1071</v>
      </c>
      <c r="B18" t="str">
        <f t="shared" si="0"/>
        <v>RULE27A1</v>
      </c>
      <c r="C18" t="str">
        <f t="shared" si="1"/>
        <v>Many to One RDFI ACH</v>
      </c>
    </row>
    <row r="19" spans="1:3" ht="16" customHeight="1" x14ac:dyDescent="0.35">
      <c r="A19" s="28" t="s">
        <v>1072</v>
      </c>
      <c r="B19" t="str">
        <f t="shared" si="0"/>
        <v>RULE27A2</v>
      </c>
      <c r="C19" t="str">
        <f t="shared" si="1"/>
        <v>Many to One High Volume ACH</v>
      </c>
    </row>
    <row r="20" spans="1:3" ht="16" customHeight="1" x14ac:dyDescent="0.35">
      <c r="A20" s="28" t="s">
        <v>1073</v>
      </c>
      <c r="B20" t="str">
        <f t="shared" si="0"/>
        <v>RULE27B</v>
      </c>
      <c r="C20" t="str">
        <f t="shared" si="1"/>
        <v>Many to one fund transfer - Wires</v>
      </c>
    </row>
    <row r="21" spans="1:3" ht="16" customHeight="1" x14ac:dyDescent="0.35">
      <c r="A21" s="28" t="s">
        <v>1074</v>
      </c>
      <c r="B21" t="str">
        <f t="shared" si="0"/>
        <v>RULE27C</v>
      </c>
      <c r="C21" t="str">
        <f t="shared" si="1"/>
        <v>Many to one fund transfer - ACH E-Corp</v>
      </c>
    </row>
    <row r="22" spans="1:3" ht="16" customHeight="1" x14ac:dyDescent="0.35">
      <c r="A22" s="28" t="s">
        <v>1075</v>
      </c>
      <c r="B22" t="str">
        <f t="shared" si="0"/>
        <v>RULE27D</v>
      </c>
      <c r="C22" t="str">
        <f t="shared" si="1"/>
        <v>Pseudo Debit Many to One</v>
      </c>
    </row>
    <row r="23" spans="1:3" ht="16" customHeight="1" x14ac:dyDescent="0.35">
      <c r="A23" s="28" t="s">
        <v>1076</v>
      </c>
      <c r="B23" t="str">
        <f t="shared" si="0"/>
        <v>RULE28A</v>
      </c>
      <c r="C23" t="str">
        <f t="shared" si="1"/>
        <v>One to many fund transfer - ACH</v>
      </c>
    </row>
    <row r="24" spans="1:3" ht="16" customHeight="1" x14ac:dyDescent="0.35">
      <c r="A24" s="28" t="s">
        <v>1077</v>
      </c>
      <c r="B24" t="str">
        <f t="shared" si="0"/>
        <v>RULE28B</v>
      </c>
      <c r="C24" t="str">
        <f t="shared" si="1"/>
        <v>One to many fund transfer - Wires</v>
      </c>
    </row>
    <row r="25" spans="1:3" ht="16" customHeight="1" x14ac:dyDescent="0.35">
      <c r="A25" s="28" t="s">
        <v>1078</v>
      </c>
      <c r="B25" t="str">
        <f t="shared" si="0"/>
        <v>RULE28C</v>
      </c>
      <c r="C25" t="str">
        <f t="shared" si="1"/>
        <v>One to many fund transfer - ACH E-Corp</v>
      </c>
    </row>
    <row r="26" spans="1:3" ht="16" customHeight="1" x14ac:dyDescent="0.35">
      <c r="A26" s="28" t="s">
        <v>1079</v>
      </c>
      <c r="B26" t="str">
        <f t="shared" si="0"/>
        <v>RULE28D</v>
      </c>
      <c r="C26" t="str">
        <f t="shared" si="1"/>
        <v>Pseudo Debit One to Many</v>
      </c>
    </row>
    <row r="27" spans="1:3" ht="16" customHeight="1" x14ac:dyDescent="0.35">
      <c r="A27" s="28" t="s">
        <v>1080</v>
      </c>
      <c r="B27" t="str">
        <f t="shared" si="0"/>
        <v>RULE30</v>
      </c>
      <c r="C27" t="str">
        <f t="shared" si="1"/>
        <v>High value transactions with a country with high ML risk</v>
      </c>
    </row>
    <row r="28" spans="1:3" ht="16" customHeight="1" x14ac:dyDescent="0.35">
      <c r="A28" s="28" t="s">
        <v>1081</v>
      </c>
      <c r="B28" t="str">
        <f t="shared" si="0"/>
        <v>RULE31</v>
      </c>
      <c r="C28" t="str">
        <f t="shared" si="1"/>
        <v>Inward and outward ACH of same amount on same day</v>
      </c>
    </row>
    <row r="29" spans="1:3" ht="16" customHeight="1" x14ac:dyDescent="0.35">
      <c r="A29" s="28" t="s">
        <v>1082</v>
      </c>
      <c r="B29" t="str">
        <f t="shared" si="0"/>
        <v>RULE37</v>
      </c>
      <c r="C29" t="str">
        <f t="shared" si="1"/>
        <v>Opening and closing of loan accounts within short period</v>
      </c>
    </row>
    <row r="30" spans="1:3" ht="16" customHeight="1" x14ac:dyDescent="0.35">
      <c r="A30" s="28" t="s">
        <v>1083</v>
      </c>
      <c r="B30" t="str">
        <f t="shared" si="0"/>
        <v>RULE43</v>
      </c>
      <c r="C30" t="str">
        <f t="shared" si="1"/>
        <v>High value cash transactions inconsistent with profile</v>
      </c>
    </row>
    <row r="31" spans="1:3" ht="16" customHeight="1" x14ac:dyDescent="0.35">
      <c r="A31" s="28" t="s">
        <v>1084</v>
      </c>
      <c r="B31" t="str">
        <f t="shared" si="0"/>
        <v>RULE45</v>
      </c>
      <c r="C31" t="str">
        <f t="shared" si="1"/>
        <v>High value transactions by high-risk customers compared to profile.</v>
      </c>
    </row>
    <row r="32" spans="1:3" ht="16" customHeight="1" x14ac:dyDescent="0.35">
      <c r="A32" s="28" t="s">
        <v>1085</v>
      </c>
      <c r="B32" t="str">
        <f t="shared" si="0"/>
        <v>RULE50</v>
      </c>
      <c r="C32" t="str">
        <f t="shared" si="1"/>
        <v>Cash Deposit of total $10,000 or above in a day</v>
      </c>
    </row>
    <row r="33" spans="1:3" ht="16" customHeight="1" x14ac:dyDescent="0.35">
      <c r="A33" s="28" t="s">
        <v>1086</v>
      </c>
      <c r="B33" t="str">
        <f t="shared" si="0"/>
        <v>RULE51</v>
      </c>
      <c r="C33" t="str">
        <f t="shared" si="1"/>
        <v>Cash withdrawal of total $10,000 or above in a day</v>
      </c>
    </row>
    <row r="34" spans="1:3" ht="16" customHeight="1" x14ac:dyDescent="0.35">
      <c r="A34" s="28" t="s">
        <v>1087</v>
      </c>
      <c r="B34" t="str">
        <f t="shared" si="0"/>
        <v>RULE54</v>
      </c>
      <c r="C34" t="str">
        <f t="shared" si="1"/>
        <v>Deviation from historical behaviors-All</v>
      </c>
    </row>
    <row r="35" spans="1:3" ht="16" customHeight="1" x14ac:dyDescent="0.35">
      <c r="A35" s="28" t="s">
        <v>1052</v>
      </c>
      <c r="B35" t="str">
        <f t="shared" si="0"/>
        <v>Rule</v>
      </c>
      <c r="C35" t="str">
        <f t="shared" si="1"/>
        <v>Code Rule Name</v>
      </c>
    </row>
    <row r="36" spans="1:3" ht="16" customHeight="1" x14ac:dyDescent="0.35">
      <c r="A36" s="28" t="s">
        <v>1088</v>
      </c>
      <c r="B36" t="str">
        <f t="shared" si="0"/>
        <v>RULE54A1</v>
      </c>
      <c r="C36" t="str">
        <f t="shared" si="1"/>
        <v>Deviation from historical behaviors-Prepaid Consumer</v>
      </c>
    </row>
    <row r="37" spans="1:3" ht="16" customHeight="1" x14ac:dyDescent="0.35">
      <c r="A37" s="28" t="s">
        <v>1089</v>
      </c>
      <c r="B37" t="str">
        <f t="shared" si="0"/>
        <v>RULE54A2</v>
      </c>
      <c r="C37" t="str">
        <f t="shared" si="1"/>
        <v>Deviation from historical behaviors-Prepaid Corporate</v>
      </c>
    </row>
    <row r="38" spans="1:3" ht="16" customHeight="1" x14ac:dyDescent="0.35">
      <c r="A38" s="28" t="s">
        <v>1090</v>
      </c>
      <c r="B38" t="str">
        <f t="shared" si="0"/>
        <v>RULE56</v>
      </c>
      <c r="C38" t="str">
        <f t="shared" si="1"/>
        <v>Pattern of "funding" in pre-pay card and rapid "spending" - min pre-load "spend"</v>
      </c>
    </row>
    <row r="39" spans="1:3" ht="16" customHeight="1" x14ac:dyDescent="0.35">
      <c r="A39" s="28" t="s">
        <v>1091</v>
      </c>
      <c r="B39" t="str">
        <f t="shared" si="0"/>
        <v>RULE76</v>
      </c>
      <c r="C39" t="str">
        <f t="shared" si="1"/>
        <v>Structuring patterns for IN wires between certain amounts.</v>
      </c>
    </row>
    <row r="40" spans="1:3" ht="16" customHeight="1" x14ac:dyDescent="0.35">
      <c r="A40" s="28" t="s">
        <v>1092</v>
      </c>
      <c r="B40" t="str">
        <f t="shared" si="0"/>
        <v>RULE79</v>
      </c>
      <c r="C40" t="str">
        <f t="shared" si="1"/>
        <v>Incoming Activity from High Risk Jurisdiction</v>
      </c>
    </row>
    <row r="41" spans="1:3" ht="16" customHeight="1" x14ac:dyDescent="0.35">
      <c r="A41" s="28" t="s">
        <v>1093</v>
      </c>
      <c r="B41" t="str">
        <f t="shared" si="0"/>
        <v>RULE79A</v>
      </c>
      <c r="C41" t="str">
        <f t="shared" si="1"/>
        <v>Incoming HR Jurisdiction High Volume Program</v>
      </c>
    </row>
    <row r="42" spans="1:3" ht="16" customHeight="1" x14ac:dyDescent="0.35">
      <c r="A42" s="28" t="s">
        <v>1094</v>
      </c>
      <c r="B42" t="str">
        <f t="shared" si="0"/>
        <v>RULE79B</v>
      </c>
      <c r="C42" t="str">
        <f t="shared" si="1"/>
        <v>Incoming Activity from Prohibited Jurisdiction</v>
      </c>
    </row>
    <row r="43" spans="1:3" ht="16" customHeight="1" x14ac:dyDescent="0.35">
      <c r="A43" s="28" t="s">
        <v>1095</v>
      </c>
      <c r="B43" t="str">
        <f t="shared" si="0"/>
        <v>RULE80</v>
      </c>
      <c r="C43" t="str">
        <f t="shared" si="1"/>
        <v>Outgoing Activity to High Risk Jurisdiction</v>
      </c>
    </row>
    <row r="44" spans="1:3" ht="16" customHeight="1" x14ac:dyDescent="0.35">
      <c r="A44" s="28" t="s">
        <v>1096</v>
      </c>
      <c r="B44" t="str">
        <f t="shared" si="0"/>
        <v>RULE80A</v>
      </c>
      <c r="C44" t="str">
        <f t="shared" si="1"/>
        <v>Outgoing Activity to High Risk Jurisdiction-TransferWise</v>
      </c>
    </row>
    <row r="45" spans="1:3" ht="16" customHeight="1" x14ac:dyDescent="0.35">
      <c r="A45" s="28" t="s">
        <v>1097</v>
      </c>
      <c r="B45" t="str">
        <f t="shared" si="0"/>
        <v>RULE80B</v>
      </c>
      <c r="C45" t="str">
        <f t="shared" si="1"/>
        <v>Outgoing Activity to Prohibited Jurisdiction</v>
      </c>
    </row>
    <row r="46" spans="1:3" ht="16" customHeight="1" x14ac:dyDescent="0.35">
      <c r="A46" s="28" t="s">
        <v>1098</v>
      </c>
      <c r="B46" t="str">
        <f t="shared" si="0"/>
        <v>RULE85</v>
      </c>
      <c r="C46" t="str">
        <f t="shared" si="1"/>
        <v>Transactions Involving Restricted or Prohibited Industries</v>
      </c>
    </row>
    <row r="47" spans="1:3" ht="16" customHeight="1" x14ac:dyDescent="0.35">
      <c r="A47" s="28" t="s">
        <v>1099</v>
      </c>
      <c r="B47" t="str">
        <f t="shared" si="0"/>
        <v>RULE86</v>
      </c>
      <c r="C47" t="str">
        <f t="shared" si="1"/>
        <v>Incoming wires from High-Risk Business</v>
      </c>
    </row>
    <row r="48" spans="1:3" ht="16" customHeight="1" x14ac:dyDescent="0.35">
      <c r="A48" s="28" t="s">
        <v>1100</v>
      </c>
      <c r="B48" t="str">
        <f t="shared" si="0"/>
        <v>RULE87</v>
      </c>
      <c r="C48" t="str">
        <f t="shared" si="1"/>
        <v>Outgoing Wires from High-Risk Business</v>
      </c>
    </row>
    <row r="49" spans="1:3" ht="16" customHeight="1" x14ac:dyDescent="0.35">
      <c r="A49" s="28" t="s">
        <v>1101</v>
      </c>
      <c r="B49" t="str">
        <f t="shared" si="0"/>
        <v>RULE88</v>
      </c>
      <c r="C49" t="str">
        <f t="shared" si="1"/>
        <v>Frequent low cash deposits</v>
      </c>
    </row>
    <row r="50" spans="1:3" ht="16" customHeight="1" x14ac:dyDescent="0.35">
      <c r="A50" s="28"/>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B84"/>
  <sheetViews>
    <sheetView topLeftCell="B8" zoomScale="70" zoomScaleNormal="70" workbookViewId="0">
      <selection activeCell="B16" sqref="B16"/>
    </sheetView>
  </sheetViews>
  <sheetFormatPr defaultRowHeight="14.5" x14ac:dyDescent="0.35"/>
  <cols>
    <col min="1" max="1" width="46.81640625" bestFit="1" customWidth="1"/>
    <col min="2" max="2" width="255.54296875" bestFit="1" customWidth="1"/>
  </cols>
  <sheetData>
    <row r="1" spans="1:2" ht="16" customHeight="1" thickBot="1" x14ac:dyDescent="0.4">
      <c r="A1" s="4" t="s">
        <v>1029</v>
      </c>
      <c r="B1" s="5" t="s">
        <v>1102</v>
      </c>
    </row>
    <row r="2" spans="1:2" ht="16" customHeight="1" thickBot="1" x14ac:dyDescent="0.4">
      <c r="A2" s="6" t="s">
        <v>1103</v>
      </c>
      <c r="B2" s="7" t="s">
        <v>1104</v>
      </c>
    </row>
    <row r="3" spans="1:2" ht="16" customHeight="1" thickBot="1" x14ac:dyDescent="0.4">
      <c r="A3" s="8" t="s">
        <v>1105</v>
      </c>
      <c r="B3" s="7" t="s">
        <v>1106</v>
      </c>
    </row>
    <row r="4" spans="1:2" ht="16" customHeight="1" thickBot="1" x14ac:dyDescent="0.4">
      <c r="A4" s="8" t="s">
        <v>1107</v>
      </c>
      <c r="B4" s="7" t="s">
        <v>1108</v>
      </c>
    </row>
    <row r="5" spans="1:2" ht="16" customHeight="1" thickBot="1" x14ac:dyDescent="0.4">
      <c r="A5" s="8" t="s">
        <v>1109</v>
      </c>
      <c r="B5" s="7" t="s">
        <v>1110</v>
      </c>
    </row>
    <row r="6" spans="1:2" ht="16" customHeight="1" thickBot="1" x14ac:dyDescent="0.4">
      <c r="A6" s="8" t="s">
        <v>1111</v>
      </c>
      <c r="B6" s="7" t="s">
        <v>1112</v>
      </c>
    </row>
    <row r="7" spans="1:2" ht="16" customHeight="1" thickBot="1" x14ac:dyDescent="0.4">
      <c r="A7" s="8" t="s">
        <v>1113</v>
      </c>
      <c r="B7" s="7" t="s">
        <v>1114</v>
      </c>
    </row>
    <row r="8" spans="1:2" ht="16" customHeight="1" thickBot="1" x14ac:dyDescent="0.4">
      <c r="A8" s="8" t="s">
        <v>1115</v>
      </c>
      <c r="B8" s="7" t="s">
        <v>1116</v>
      </c>
    </row>
    <row r="9" spans="1:2" ht="16" customHeight="1" thickBot="1" x14ac:dyDescent="0.4">
      <c r="A9" s="8" t="s">
        <v>1117</v>
      </c>
      <c r="B9" s="7" t="s">
        <v>1118</v>
      </c>
    </row>
    <row r="10" spans="1:2" ht="16" customHeight="1" thickBot="1" x14ac:dyDescent="0.4">
      <c r="A10" s="8" t="s">
        <v>1119</v>
      </c>
      <c r="B10" s="7" t="s">
        <v>1120</v>
      </c>
    </row>
    <row r="11" spans="1:2" ht="62.15" customHeight="1" x14ac:dyDescent="0.35">
      <c r="A11" s="12" t="s">
        <v>1121</v>
      </c>
      <c r="B11" s="13" t="s">
        <v>1122</v>
      </c>
    </row>
    <row r="12" spans="1:2" ht="16" customHeight="1" thickBot="1" x14ac:dyDescent="0.4">
      <c r="A12" s="8" t="s">
        <v>1123</v>
      </c>
      <c r="B12" s="7" t="s">
        <v>1124</v>
      </c>
    </row>
    <row r="13" spans="1:2" ht="93" customHeight="1" x14ac:dyDescent="0.35">
      <c r="A13" s="12" t="s">
        <v>1125</v>
      </c>
      <c r="B13" s="13" t="s">
        <v>1126</v>
      </c>
    </row>
    <row r="14" spans="1:2" ht="16" customHeight="1" thickBot="1" x14ac:dyDescent="0.4">
      <c r="A14" s="8" t="s">
        <v>1127</v>
      </c>
      <c r="B14" s="7" t="s">
        <v>1128</v>
      </c>
    </row>
    <row r="15" spans="1:2" ht="16" customHeight="1" thickBot="1" x14ac:dyDescent="0.4">
      <c r="A15" s="8" t="s">
        <v>1129</v>
      </c>
      <c r="B15" s="7" t="s">
        <v>1130</v>
      </c>
    </row>
    <row r="16" spans="1:2" ht="62.15" customHeight="1" x14ac:dyDescent="0.35">
      <c r="A16" s="12" t="s">
        <v>1131</v>
      </c>
      <c r="B16" s="14" t="s">
        <v>1132</v>
      </c>
    </row>
    <row r="17" spans="1:2" ht="16" customHeight="1" thickBot="1" x14ac:dyDescent="0.4">
      <c r="A17" s="8" t="s">
        <v>1133</v>
      </c>
      <c r="B17" s="7" t="s">
        <v>1134</v>
      </c>
    </row>
    <row r="18" spans="1:2" ht="16" customHeight="1" thickBot="1" x14ac:dyDescent="0.4">
      <c r="A18" s="8" t="s">
        <v>1135</v>
      </c>
      <c r="B18" s="7" t="s">
        <v>1136</v>
      </c>
    </row>
    <row r="19" spans="1:2" ht="16" customHeight="1" thickBot="1" x14ac:dyDescent="0.4">
      <c r="A19" s="8" t="s">
        <v>1137</v>
      </c>
      <c r="B19" s="7" t="s">
        <v>1138</v>
      </c>
    </row>
    <row r="20" spans="1:2" ht="16" customHeight="1" thickBot="1" x14ac:dyDescent="0.4">
      <c r="A20" s="8" t="s">
        <v>1139</v>
      </c>
      <c r="B20" s="10" t="s">
        <v>1140</v>
      </c>
    </row>
    <row r="21" spans="1:2" ht="16" customHeight="1" thickBot="1" x14ac:dyDescent="0.4">
      <c r="A21" s="8" t="s">
        <v>1141</v>
      </c>
      <c r="B21" s="7" t="s">
        <v>1142</v>
      </c>
    </row>
    <row r="22" spans="1:2" ht="16" customHeight="1" thickBot="1" x14ac:dyDescent="0.4">
      <c r="A22" s="8" t="s">
        <v>1143</v>
      </c>
      <c r="B22" s="7" t="s">
        <v>1144</v>
      </c>
    </row>
    <row r="23" spans="1:2" ht="16" customHeight="1" thickBot="1" x14ac:dyDescent="0.4">
      <c r="A23" s="8" t="s">
        <v>1145</v>
      </c>
      <c r="B23" s="7" t="s">
        <v>1146</v>
      </c>
    </row>
    <row r="24" spans="1:2" ht="16" customHeight="1" thickBot="1" x14ac:dyDescent="0.4">
      <c r="A24" s="8" t="s">
        <v>1147</v>
      </c>
      <c r="B24" s="7" t="s">
        <v>1148</v>
      </c>
    </row>
    <row r="25" spans="1:2" ht="16" customHeight="1" thickBot="1" x14ac:dyDescent="0.4">
      <c r="A25" s="8" t="s">
        <v>1149</v>
      </c>
      <c r="B25" s="9" t="s">
        <v>1150</v>
      </c>
    </row>
    <row r="26" spans="1:2" ht="16" customHeight="1" thickBot="1" x14ac:dyDescent="0.4">
      <c r="A26" s="8" t="s">
        <v>1151</v>
      </c>
      <c r="B26" s="7" t="s">
        <v>1152</v>
      </c>
    </row>
    <row r="27" spans="1:2" ht="16" customHeight="1" thickBot="1" x14ac:dyDescent="0.4">
      <c r="A27" s="8" t="s">
        <v>1153</v>
      </c>
      <c r="B27" s="7" t="s">
        <v>1154</v>
      </c>
    </row>
    <row r="28" spans="1:2" ht="16" customHeight="1" thickBot="1" x14ac:dyDescent="0.4">
      <c r="A28" s="8" t="s">
        <v>1155</v>
      </c>
      <c r="B28" s="7" t="s">
        <v>1156</v>
      </c>
    </row>
    <row r="29" spans="1:2" ht="16" customHeight="1" thickBot="1" x14ac:dyDescent="0.4">
      <c r="A29" s="8" t="s">
        <v>1157</v>
      </c>
      <c r="B29" s="7" t="s">
        <v>1158</v>
      </c>
    </row>
    <row r="30" spans="1:2" ht="16" customHeight="1" thickBot="1" x14ac:dyDescent="0.4">
      <c r="A30" s="8" t="s">
        <v>1159</v>
      </c>
      <c r="B30" s="7" t="s">
        <v>1160</v>
      </c>
    </row>
    <row r="31" spans="1:2" ht="16" customHeight="1" thickBot="1" x14ac:dyDescent="0.4">
      <c r="A31" s="8" t="s">
        <v>1161</v>
      </c>
      <c r="B31" s="7" t="s">
        <v>1162</v>
      </c>
    </row>
    <row r="32" spans="1:2" ht="16" customHeight="1" thickBot="1" x14ac:dyDescent="0.4">
      <c r="A32" s="8" t="s">
        <v>1163</v>
      </c>
      <c r="B32" s="7" t="s">
        <v>1164</v>
      </c>
    </row>
    <row r="33" spans="1:2" ht="16" customHeight="1" thickBot="1" x14ac:dyDescent="0.4">
      <c r="A33" s="8" t="s">
        <v>1165</v>
      </c>
      <c r="B33" s="7" t="s">
        <v>1166</v>
      </c>
    </row>
    <row r="34" spans="1:2" ht="16" customHeight="1" thickBot="1" x14ac:dyDescent="0.4">
      <c r="A34" s="8" t="s">
        <v>1167</v>
      </c>
      <c r="B34" s="7" t="s">
        <v>1168</v>
      </c>
    </row>
    <row r="35" spans="1:2" ht="16" customHeight="1" thickBot="1" x14ac:dyDescent="0.4">
      <c r="A35" s="8" t="s">
        <v>1169</v>
      </c>
      <c r="B35" s="7" t="s">
        <v>1170</v>
      </c>
    </row>
    <row r="36" spans="1:2" ht="16" customHeight="1" thickBot="1" x14ac:dyDescent="0.4">
      <c r="A36" s="8" t="s">
        <v>1171</v>
      </c>
      <c r="B36" s="7" t="s">
        <v>1172</v>
      </c>
    </row>
    <row r="37" spans="1:2" ht="16" customHeight="1" thickBot="1" x14ac:dyDescent="0.4">
      <c r="A37" s="8" t="s">
        <v>1173</v>
      </c>
      <c r="B37" s="7" t="s">
        <v>1174</v>
      </c>
    </row>
    <row r="38" spans="1:2" ht="16" customHeight="1" thickBot="1" x14ac:dyDescent="0.4">
      <c r="A38" s="8" t="s">
        <v>1175</v>
      </c>
      <c r="B38" s="7" t="s">
        <v>1176</v>
      </c>
    </row>
    <row r="39" spans="1:2" ht="16" customHeight="1" thickBot="1" x14ac:dyDescent="0.4">
      <c r="A39" s="8" t="s">
        <v>1177</v>
      </c>
      <c r="B39" s="7" t="s">
        <v>1178</v>
      </c>
    </row>
    <row r="40" spans="1:2" ht="16" customHeight="1" thickBot="1" x14ac:dyDescent="0.4">
      <c r="A40" s="8" t="s">
        <v>1179</v>
      </c>
      <c r="B40" s="7" t="s">
        <v>1180</v>
      </c>
    </row>
    <row r="41" spans="1:2" ht="16" customHeight="1" thickBot="1" x14ac:dyDescent="0.4">
      <c r="A41" s="8" t="s">
        <v>1181</v>
      </c>
      <c r="B41" s="7" t="s">
        <v>1182</v>
      </c>
    </row>
    <row r="42" spans="1:2" ht="16" customHeight="1" thickBot="1" x14ac:dyDescent="0.4">
      <c r="A42" s="8" t="s">
        <v>1183</v>
      </c>
      <c r="B42" s="9" t="s">
        <v>1184</v>
      </c>
    </row>
    <row r="43" spans="1:2" ht="16" customHeight="1" thickBot="1" x14ac:dyDescent="0.4">
      <c r="A43" s="8" t="s">
        <v>1185</v>
      </c>
      <c r="B43" s="7" t="s">
        <v>1186</v>
      </c>
    </row>
    <row r="44" spans="1:2" ht="16" customHeight="1" thickBot="1" x14ac:dyDescent="0.4">
      <c r="A44" s="8" t="s">
        <v>1187</v>
      </c>
      <c r="B44" s="7" t="s">
        <v>1188</v>
      </c>
    </row>
    <row r="45" spans="1:2" ht="16" customHeight="1" thickBot="1" x14ac:dyDescent="0.4">
      <c r="A45" s="8" t="s">
        <v>1189</v>
      </c>
      <c r="B45" s="7" t="s">
        <v>1190</v>
      </c>
    </row>
    <row r="46" spans="1:2" ht="16" customHeight="1" thickBot="1" x14ac:dyDescent="0.4">
      <c r="A46" s="8" t="s">
        <v>1191</v>
      </c>
      <c r="B46" s="9" t="s">
        <v>1192</v>
      </c>
    </row>
    <row r="47" spans="1:2" ht="16" customHeight="1" thickBot="1" x14ac:dyDescent="0.4">
      <c r="A47" s="8" t="s">
        <v>1193</v>
      </c>
      <c r="B47" s="7" t="s">
        <v>1194</v>
      </c>
    </row>
    <row r="48" spans="1:2" ht="16" customHeight="1" thickBot="1" x14ac:dyDescent="0.4">
      <c r="A48" s="8" t="s">
        <v>1195</v>
      </c>
      <c r="B48" s="7" t="s">
        <v>1196</v>
      </c>
    </row>
    <row r="49" spans="1:2" ht="16" customHeight="1" thickBot="1" x14ac:dyDescent="0.4">
      <c r="A49" s="8" t="s">
        <v>1197</v>
      </c>
      <c r="B49" s="7" t="s">
        <v>1198</v>
      </c>
    </row>
    <row r="50" spans="1:2" ht="16" customHeight="1" thickBot="1" x14ac:dyDescent="0.4">
      <c r="A50" s="11" t="s">
        <v>1199</v>
      </c>
      <c r="B50" s="7" t="s">
        <v>1200</v>
      </c>
    </row>
    <row r="51" spans="1:2" ht="16" customHeight="1" thickBot="1" x14ac:dyDescent="0.4">
      <c r="A51" s="8" t="s">
        <v>1201</v>
      </c>
      <c r="B51" s="7" t="s">
        <v>1202</v>
      </c>
    </row>
    <row r="52" spans="1:2" ht="16" customHeight="1" thickBot="1" x14ac:dyDescent="0.4">
      <c r="A52" s="8" t="s">
        <v>1203</v>
      </c>
      <c r="B52" s="7" t="s">
        <v>1204</v>
      </c>
    </row>
    <row r="53" spans="1:2" ht="16" customHeight="1" thickBot="1" x14ac:dyDescent="0.4">
      <c r="A53" s="8" t="s">
        <v>1205</v>
      </c>
      <c r="B53" s="7" t="s">
        <v>1206</v>
      </c>
    </row>
    <row r="54" spans="1:2" ht="16" customHeight="1" thickBot="1" x14ac:dyDescent="0.4">
      <c r="A54" s="8" t="s">
        <v>1207</v>
      </c>
      <c r="B54" s="7" t="s">
        <v>1208</v>
      </c>
    </row>
    <row r="55" spans="1:2" ht="16" customHeight="1" thickBot="1" x14ac:dyDescent="0.4">
      <c r="A55" s="8" t="s">
        <v>1209</v>
      </c>
      <c r="B55" s="7" t="s">
        <v>1210</v>
      </c>
    </row>
    <row r="56" spans="1:2" ht="16" customHeight="1" thickBot="1" x14ac:dyDescent="0.4">
      <c r="A56" s="8" t="s">
        <v>1211</v>
      </c>
      <c r="B56" s="7" t="s">
        <v>1212</v>
      </c>
    </row>
    <row r="57" spans="1:2" ht="16" customHeight="1" thickBot="1" x14ac:dyDescent="0.4">
      <c r="A57" s="8" t="s">
        <v>1213</v>
      </c>
      <c r="B57" s="7" t="s">
        <v>1214</v>
      </c>
    </row>
    <row r="58" spans="1:2" ht="16" customHeight="1" thickBot="1" x14ac:dyDescent="0.4">
      <c r="A58" s="8" t="s">
        <v>1215</v>
      </c>
      <c r="B58" s="9" t="s">
        <v>1216</v>
      </c>
    </row>
    <row r="59" spans="1:2" ht="16" customHeight="1" thickBot="1" x14ac:dyDescent="0.4">
      <c r="A59" s="8" t="s">
        <v>1217</v>
      </c>
      <c r="B59" s="7" t="s">
        <v>1218</v>
      </c>
    </row>
    <row r="60" spans="1:2" ht="18" customHeight="1" thickBot="1" x14ac:dyDescent="0.4">
      <c r="A60" s="8" t="s">
        <v>1219</v>
      </c>
      <c r="B60" s="7" t="s">
        <v>1220</v>
      </c>
    </row>
    <row r="61" spans="1:2" ht="16" customHeight="1" thickBot="1" x14ac:dyDescent="0.4">
      <c r="A61" s="8" t="s">
        <v>1221</v>
      </c>
      <c r="B61" s="7" t="s">
        <v>1222</v>
      </c>
    </row>
    <row r="62" spans="1:2" ht="16" customHeight="1" thickBot="1" x14ac:dyDescent="0.4">
      <c r="A62" s="8" t="s">
        <v>1223</v>
      </c>
      <c r="B62" s="7" t="s">
        <v>1224</v>
      </c>
    </row>
    <row r="63" spans="1:2" ht="16" customHeight="1" thickBot="1" x14ac:dyDescent="0.4">
      <c r="A63" s="8" t="s">
        <v>1225</v>
      </c>
      <c r="B63" s="7" t="s">
        <v>1226</v>
      </c>
    </row>
    <row r="64" spans="1:2" ht="16" customHeight="1" thickBot="1" x14ac:dyDescent="0.4">
      <c r="A64" s="8" t="s">
        <v>1227</v>
      </c>
      <c r="B64" s="7" t="s">
        <v>1228</v>
      </c>
    </row>
    <row r="65" spans="1:2" ht="16" customHeight="1" thickBot="1" x14ac:dyDescent="0.4">
      <c r="A65" s="8" t="s">
        <v>1229</v>
      </c>
      <c r="B65" s="7" t="s">
        <v>1230</v>
      </c>
    </row>
    <row r="66" spans="1:2" ht="16" customHeight="1" thickBot="1" x14ac:dyDescent="0.4">
      <c r="A66" s="8" t="s">
        <v>1231</v>
      </c>
      <c r="B66" s="7" t="s">
        <v>1232</v>
      </c>
    </row>
    <row r="67" spans="1:2" ht="16" customHeight="1" thickBot="1" x14ac:dyDescent="0.4">
      <c r="A67" s="8" t="s">
        <v>1233</v>
      </c>
      <c r="B67" s="7" t="s">
        <v>1234</v>
      </c>
    </row>
    <row r="68" spans="1:2" ht="16" customHeight="1" thickBot="1" x14ac:dyDescent="0.4">
      <c r="A68" s="8" t="s">
        <v>1235</v>
      </c>
      <c r="B68" s="7" t="s">
        <v>1236</v>
      </c>
    </row>
    <row r="69" spans="1:2" ht="16" customHeight="1" thickBot="1" x14ac:dyDescent="0.4">
      <c r="A69" s="8" t="s">
        <v>1237</v>
      </c>
      <c r="B69" s="7" t="s">
        <v>1238</v>
      </c>
    </row>
    <row r="70" spans="1:2" ht="16" customHeight="1" thickBot="1" x14ac:dyDescent="0.4">
      <c r="A70" s="8" t="s">
        <v>1239</v>
      </c>
      <c r="B70" s="7" t="s">
        <v>1240</v>
      </c>
    </row>
    <row r="71" spans="1:2" ht="16" customHeight="1" thickBot="1" x14ac:dyDescent="0.4">
      <c r="A71" s="8" t="s">
        <v>1241</v>
      </c>
      <c r="B71" s="9" t="s">
        <v>1242</v>
      </c>
    </row>
    <row r="72" spans="1:2" ht="16" customHeight="1" thickBot="1" x14ac:dyDescent="0.4">
      <c r="A72" s="8" t="s">
        <v>1243</v>
      </c>
      <c r="B72" s="7" t="s">
        <v>1244</v>
      </c>
    </row>
    <row r="73" spans="1:2" ht="16" customHeight="1" thickBot="1" x14ac:dyDescent="0.4">
      <c r="A73" s="8" t="s">
        <v>1245</v>
      </c>
      <c r="B73" s="7" t="s">
        <v>1246</v>
      </c>
    </row>
    <row r="74" spans="1:2" ht="16" customHeight="1" thickBot="1" x14ac:dyDescent="0.4">
      <c r="A74" s="8" t="s">
        <v>1247</v>
      </c>
      <c r="B74" s="7" t="s">
        <v>1248</v>
      </c>
    </row>
    <row r="75" spans="1:2" ht="16" customHeight="1" thickBot="1" x14ac:dyDescent="0.4">
      <c r="A75" s="8" t="s">
        <v>1249</v>
      </c>
      <c r="B75" s="7" t="s">
        <v>1250</v>
      </c>
    </row>
    <row r="76" spans="1:2" ht="16" customHeight="1" thickBot="1" x14ac:dyDescent="0.4">
      <c r="A76" s="8" t="s">
        <v>1251</v>
      </c>
      <c r="B76" s="7" t="s">
        <v>1252</v>
      </c>
    </row>
    <row r="77" spans="1:2" ht="16" customHeight="1" thickBot="1" x14ac:dyDescent="0.4">
      <c r="A77" s="8" t="s">
        <v>1253</v>
      </c>
      <c r="B77" s="7" t="s">
        <v>1254</v>
      </c>
    </row>
    <row r="78" spans="1:2" ht="16" customHeight="1" thickBot="1" x14ac:dyDescent="0.4">
      <c r="A78" s="8" t="s">
        <v>1255</v>
      </c>
      <c r="B78" s="7" t="s">
        <v>1256</v>
      </c>
    </row>
    <row r="79" spans="1:2" ht="16" customHeight="1" thickBot="1" x14ac:dyDescent="0.4">
      <c r="A79" s="8" t="s">
        <v>1257</v>
      </c>
      <c r="B79" s="7" t="s">
        <v>1258</v>
      </c>
    </row>
    <row r="80" spans="1:2" ht="16" customHeight="1" thickBot="1" x14ac:dyDescent="0.4">
      <c r="A80" s="8" t="s">
        <v>1259</v>
      </c>
      <c r="B80" s="7" t="s">
        <v>1260</v>
      </c>
    </row>
    <row r="81" spans="1:2" ht="16" customHeight="1" thickBot="1" x14ac:dyDescent="0.4">
      <c r="A81" s="8" t="s">
        <v>1261</v>
      </c>
      <c r="B81" s="7" t="s">
        <v>1262</v>
      </c>
    </row>
    <row r="82" spans="1:2" ht="16" customHeight="1" thickBot="1" x14ac:dyDescent="0.4">
      <c r="A82" s="8" t="s">
        <v>1263</v>
      </c>
      <c r="B82" s="7" t="s">
        <v>1264</v>
      </c>
    </row>
    <row r="83" spans="1:2" ht="16" customHeight="1" thickBot="1" x14ac:dyDescent="0.4">
      <c r="A83" s="8" t="s">
        <v>1265</v>
      </c>
      <c r="B83" s="7" t="s">
        <v>1266</v>
      </c>
    </row>
    <row r="84" spans="1:2" ht="15.65" customHeight="1" x14ac:dyDescent="0.35">
      <c r="A84" s="3"/>
    </row>
  </sheetData>
  <hyperlinks>
    <hyperlink ref="B25" r:id="rId1" display="https://euroexchange.uk/" xr:uid="{00000000-0004-0000-0600-000000000000}"/>
    <hyperlink ref="B42" r:id="rId2" display="https://www.ipaylinks.com/" xr:uid="{00000000-0004-0000-0600-000001000000}"/>
    <hyperlink ref="B46" r:id="rId3" display="https://leatherback.co/" xr:uid="{00000000-0004-0000-0600-000002000000}"/>
    <hyperlink ref="B58" r:id="rId4" display="https://www.pandaremit.com/en/usa/about" xr:uid="{00000000-0004-0000-0600-000003000000}"/>
    <hyperlink ref="B71" r:id="rId5" display="http://www.skrill.com/" xr:uid="{00000000-0004-0000-0600-000004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B18"/>
  <sheetViews>
    <sheetView topLeftCell="A3" zoomScale="50" zoomScaleNormal="50" workbookViewId="0">
      <selection activeCell="B10" sqref="B10"/>
    </sheetView>
  </sheetViews>
  <sheetFormatPr defaultRowHeight="14.5" x14ac:dyDescent="0.35"/>
  <cols>
    <col min="1" max="1" width="34" style="2" customWidth="1"/>
    <col min="2" max="2" width="95" style="1" customWidth="1"/>
  </cols>
  <sheetData>
    <row r="1" spans="1:2" ht="20.149999999999999" customHeight="1" x14ac:dyDescent="0.35">
      <c r="A1" s="15" t="s">
        <v>1267</v>
      </c>
      <c r="B1" s="15" t="s">
        <v>1268</v>
      </c>
    </row>
    <row r="2" spans="1:2" ht="110.15" customHeight="1" x14ac:dyDescent="0.35">
      <c r="A2" s="17" t="s">
        <v>1009</v>
      </c>
      <c r="B2" s="18" t="s">
        <v>1269</v>
      </c>
    </row>
    <row r="3" spans="1:2" ht="110.15" customHeight="1" x14ac:dyDescent="0.35">
      <c r="A3" s="17" t="s">
        <v>1013</v>
      </c>
      <c r="B3" s="18" t="s">
        <v>1270</v>
      </c>
    </row>
    <row r="4" spans="1:2" ht="110.15" customHeight="1" x14ac:dyDescent="0.35">
      <c r="A4" s="17" t="s">
        <v>1021</v>
      </c>
      <c r="B4" s="18" t="s">
        <v>1271</v>
      </c>
    </row>
    <row r="5" spans="1:2" ht="110.15" customHeight="1" x14ac:dyDescent="0.35">
      <c r="A5" s="17" t="s">
        <v>1272</v>
      </c>
      <c r="B5" s="18" t="s">
        <v>1273</v>
      </c>
    </row>
    <row r="6" spans="1:2" ht="110.15" customHeight="1" x14ac:dyDescent="0.35">
      <c r="A6" s="17" t="s">
        <v>1274</v>
      </c>
      <c r="B6" s="18" t="s">
        <v>1275</v>
      </c>
    </row>
    <row r="7" spans="1:2" ht="110.15" customHeight="1" x14ac:dyDescent="0.35">
      <c r="A7" s="17" t="s">
        <v>1276</v>
      </c>
      <c r="B7" s="18" t="s">
        <v>1277</v>
      </c>
    </row>
    <row r="8" spans="1:2" ht="110.15" customHeight="1" x14ac:dyDescent="0.35">
      <c r="A8" s="17" t="s">
        <v>1278</v>
      </c>
      <c r="B8" s="18" t="s">
        <v>1279</v>
      </c>
    </row>
    <row r="9" spans="1:2" ht="110.15" customHeight="1" x14ac:dyDescent="0.35">
      <c r="A9" s="17" t="s">
        <v>1280</v>
      </c>
      <c r="B9" s="18" t="s">
        <v>1281</v>
      </c>
    </row>
    <row r="10" spans="1:2" ht="110.15" customHeight="1" x14ac:dyDescent="0.35">
      <c r="A10" s="17"/>
      <c r="B10" s="18"/>
    </row>
    <row r="11" spans="1:2" ht="110.15" customHeight="1" x14ac:dyDescent="0.35">
      <c r="A11" s="17"/>
      <c r="B11" s="18"/>
    </row>
    <row r="12" spans="1:2" ht="110.15" customHeight="1" x14ac:dyDescent="0.35">
      <c r="A12" s="17"/>
      <c r="B12" s="18"/>
    </row>
    <row r="13" spans="1:2" ht="110.15" customHeight="1" x14ac:dyDescent="0.35">
      <c r="A13" s="17"/>
      <c r="B13" s="18"/>
    </row>
    <row r="14" spans="1:2" ht="110.15" customHeight="1" x14ac:dyDescent="0.35">
      <c r="A14" s="17"/>
      <c r="B14" s="18"/>
    </row>
    <row r="15" spans="1:2" ht="110.15" customHeight="1" x14ac:dyDescent="0.35">
      <c r="A15" s="17"/>
      <c r="B15" s="18"/>
    </row>
    <row r="16" spans="1:2" ht="200.15" customHeight="1" x14ac:dyDescent="0.35">
      <c r="A16" s="17"/>
      <c r="B16" s="18"/>
    </row>
    <row r="17" spans="1:2" ht="200.15" customHeight="1" x14ac:dyDescent="0.35">
      <c r="A17" s="17"/>
      <c r="B17" s="18"/>
    </row>
    <row r="18" spans="1:2" ht="200.15" customHeight="1" x14ac:dyDescent="0.35">
      <c r="A18" s="17"/>
      <c r="B18" s="18"/>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dimension ref="A1:B12"/>
  <sheetViews>
    <sheetView zoomScale="50" zoomScaleNormal="50" workbookViewId="0">
      <selection activeCell="B10" sqref="B10"/>
    </sheetView>
  </sheetViews>
  <sheetFormatPr defaultRowHeight="14.5" x14ac:dyDescent="0.35"/>
  <cols>
    <col min="1" max="1" width="26.81640625" style="2" bestFit="1" customWidth="1"/>
    <col min="2" max="2" width="83.453125" style="1" customWidth="1"/>
  </cols>
  <sheetData>
    <row r="1" spans="1:2" ht="15" customHeight="1" thickBot="1" x14ac:dyDescent="0.4">
      <c r="A1" s="15" t="s">
        <v>1282</v>
      </c>
      <c r="B1" s="16" t="s">
        <v>1283</v>
      </c>
    </row>
    <row r="2" spans="1:2" ht="56.5" customHeight="1" x14ac:dyDescent="0.35">
      <c r="A2" s="17" t="s">
        <v>1284</v>
      </c>
      <c r="B2" s="18" t="s">
        <v>1285</v>
      </c>
    </row>
    <row r="3" spans="1:2" ht="70" customHeight="1" x14ac:dyDescent="0.35">
      <c r="A3" s="19" t="s">
        <v>1286</v>
      </c>
      <c r="B3" s="20" t="s">
        <v>1287</v>
      </c>
    </row>
    <row r="4" spans="1:2" ht="174" customHeight="1" x14ac:dyDescent="0.35">
      <c r="A4" s="19" t="s">
        <v>1288</v>
      </c>
      <c r="B4" s="20" t="s">
        <v>1289</v>
      </c>
    </row>
    <row r="5" spans="1:2" ht="130.5" customHeight="1" x14ac:dyDescent="0.35">
      <c r="A5" s="19" t="s">
        <v>1290</v>
      </c>
      <c r="B5" s="20" t="s">
        <v>1291</v>
      </c>
    </row>
    <row r="6" spans="1:2" ht="159.65" customHeight="1" x14ac:dyDescent="0.35">
      <c r="A6" s="19" t="s">
        <v>1292</v>
      </c>
      <c r="B6" s="20" t="s">
        <v>1293</v>
      </c>
    </row>
    <row r="7" spans="1:2" ht="116.15" customHeight="1" x14ac:dyDescent="0.35">
      <c r="A7" s="19" t="s">
        <v>1294</v>
      </c>
      <c r="B7" s="20" t="s">
        <v>1295</v>
      </c>
    </row>
    <row r="8" spans="1:2" ht="130.5" customHeight="1" x14ac:dyDescent="0.35">
      <c r="A8" s="19" t="s">
        <v>1296</v>
      </c>
      <c r="B8" s="20" t="s">
        <v>1297</v>
      </c>
    </row>
    <row r="9" spans="1:2" ht="145" customHeight="1" x14ac:dyDescent="0.35">
      <c r="A9" s="19" t="s">
        <v>1298</v>
      </c>
      <c r="B9" s="20" t="s">
        <v>1299</v>
      </c>
    </row>
    <row r="10" spans="1:2" ht="145.5" customHeight="1" thickBot="1" x14ac:dyDescent="0.4">
      <c r="A10" s="21" t="s">
        <v>1284</v>
      </c>
      <c r="B10" s="22" t="s">
        <v>1300</v>
      </c>
    </row>
    <row r="11" spans="1:2" ht="409.5" customHeight="1" x14ac:dyDescent="0.35">
      <c r="A11" s="23" t="s">
        <v>1272</v>
      </c>
      <c r="B11" s="24" t="s">
        <v>1301</v>
      </c>
    </row>
    <row r="12" spans="1:2" ht="409.6" customHeight="1" thickBot="1" x14ac:dyDescent="0.4">
      <c r="A12" s="25" t="s">
        <v>1274</v>
      </c>
      <c r="B12" s="26" t="s">
        <v>1302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971AF-A170-4459-9A59-338A91848589}">
  <sheetPr codeName="Sheet9"/>
  <dimension ref="A1:K269"/>
  <sheetViews>
    <sheetView zoomScale="85" zoomScaleNormal="85" workbookViewId="0">
      <selection activeCell="D18" sqref="D18"/>
    </sheetView>
  </sheetViews>
  <sheetFormatPr defaultRowHeight="14.5" x14ac:dyDescent="0.35"/>
  <cols>
    <col min="1" max="1" width="11.1796875" bestFit="1" customWidth="1"/>
    <col min="2" max="2" width="7" bestFit="1" customWidth="1"/>
    <col min="3" max="3" width="11.1796875" bestFit="1" customWidth="1"/>
    <col min="4" max="4" width="7.1796875" bestFit="1" customWidth="1"/>
    <col min="5" max="5" width="14.453125" bestFit="1" customWidth="1"/>
    <col min="6" max="6" width="13.54296875" bestFit="1" customWidth="1"/>
    <col min="7" max="7" width="10" bestFit="1" customWidth="1"/>
    <col min="8" max="8" width="10.1796875" bestFit="1" customWidth="1"/>
    <col min="9" max="9" width="11.1796875" bestFit="1" customWidth="1"/>
    <col min="10" max="11" width="5.81640625" bestFit="1" customWidth="1"/>
  </cols>
  <sheetData>
    <row r="1" spans="1:11" x14ac:dyDescent="0.35">
      <c r="A1" s="44" t="s">
        <v>833</v>
      </c>
      <c r="B1" s="44" t="s">
        <v>1303</v>
      </c>
      <c r="C1" s="44" t="s">
        <v>835</v>
      </c>
      <c r="D1" s="44" t="s">
        <v>5</v>
      </c>
      <c r="E1" s="44" t="s">
        <v>6</v>
      </c>
      <c r="F1" s="44" t="s">
        <v>1304</v>
      </c>
      <c r="G1" s="44" t="s">
        <v>1305</v>
      </c>
      <c r="H1" s="44" t="s">
        <v>1306</v>
      </c>
      <c r="I1" s="44" t="s">
        <v>839</v>
      </c>
      <c r="J1" s="44" t="s">
        <v>1307</v>
      </c>
      <c r="K1" s="44" t="s">
        <v>1308</v>
      </c>
    </row>
    <row r="2" spans="1:11" x14ac:dyDescent="0.35">
      <c r="A2" s="43">
        <v>46233.471296296295</v>
      </c>
      <c r="B2" t="s">
        <v>842</v>
      </c>
      <c r="C2" t="s">
        <v>941</v>
      </c>
      <c r="D2" t="s">
        <v>1309</v>
      </c>
      <c r="E2" t="s">
        <v>1310</v>
      </c>
      <c r="G2" t="s">
        <v>1311</v>
      </c>
      <c r="H2" t="s">
        <v>1312</v>
      </c>
      <c r="I2" t="s">
        <v>844</v>
      </c>
      <c r="J2" t="s">
        <v>1313</v>
      </c>
    </row>
    <row r="3" spans="1:11" x14ac:dyDescent="0.35">
      <c r="A3" s="43">
        <v>46233.473692129628</v>
      </c>
      <c r="B3" t="s">
        <v>842</v>
      </c>
      <c r="C3" t="s">
        <v>941</v>
      </c>
      <c r="E3" t="s">
        <v>1310</v>
      </c>
      <c r="G3" t="s">
        <v>1314</v>
      </c>
      <c r="H3" t="s">
        <v>1315</v>
      </c>
      <c r="I3">
        <v>3.5</v>
      </c>
      <c r="J3" t="s">
        <v>1316</v>
      </c>
      <c r="K3" t="s">
        <v>1317</v>
      </c>
    </row>
    <row r="4" spans="1:11" x14ac:dyDescent="0.35">
      <c r="A4" s="43">
        <v>46233.479386574072</v>
      </c>
      <c r="B4" t="s">
        <v>842</v>
      </c>
      <c r="C4" t="s">
        <v>941</v>
      </c>
      <c r="E4" t="s">
        <v>1310</v>
      </c>
      <c r="G4" t="s">
        <v>1318</v>
      </c>
      <c r="H4" t="s">
        <v>1319</v>
      </c>
      <c r="I4" t="s">
        <v>844</v>
      </c>
      <c r="K4" t="s">
        <v>1320</v>
      </c>
    </row>
    <row r="5" spans="1:11" x14ac:dyDescent="0.35">
      <c r="A5" s="43">
        <v>46233.534942129627</v>
      </c>
      <c r="B5" t="s">
        <v>842</v>
      </c>
      <c r="C5">
        <v>132002</v>
      </c>
      <c r="D5" t="s">
        <v>1321</v>
      </c>
      <c r="G5" t="s">
        <v>1311</v>
      </c>
      <c r="H5" t="s">
        <v>1322</v>
      </c>
      <c r="I5" t="s">
        <v>844</v>
      </c>
      <c r="J5" t="s">
        <v>1313</v>
      </c>
    </row>
    <row r="6" spans="1:11" x14ac:dyDescent="0.35">
      <c r="A6" s="43">
        <v>46233.575636574074</v>
      </c>
      <c r="B6" t="s">
        <v>842</v>
      </c>
      <c r="C6">
        <v>132002</v>
      </c>
      <c r="D6" t="s">
        <v>1321</v>
      </c>
      <c r="E6" t="s">
        <v>1323</v>
      </c>
      <c r="F6" t="s">
        <v>1324</v>
      </c>
      <c r="G6" t="s">
        <v>1318</v>
      </c>
      <c r="H6" t="s">
        <v>1325</v>
      </c>
      <c r="I6" t="s">
        <v>844</v>
      </c>
      <c r="K6" t="s">
        <v>1326</v>
      </c>
    </row>
    <row r="7" spans="1:11" x14ac:dyDescent="0.35">
      <c r="A7" s="43">
        <v>46233.612384259257</v>
      </c>
      <c r="B7" t="s">
        <v>842</v>
      </c>
      <c r="C7">
        <v>132002</v>
      </c>
      <c r="D7" t="s">
        <v>1321</v>
      </c>
      <c r="E7" t="s">
        <v>1323</v>
      </c>
      <c r="F7" t="s">
        <v>1324</v>
      </c>
      <c r="G7" t="s">
        <v>1318</v>
      </c>
      <c r="H7" t="s">
        <v>1325</v>
      </c>
      <c r="I7" t="s">
        <v>844</v>
      </c>
      <c r="K7" t="s">
        <v>1326</v>
      </c>
    </row>
    <row r="8" spans="1:11" x14ac:dyDescent="0.35">
      <c r="A8" s="43">
        <v>46233.644895833335</v>
      </c>
      <c r="B8" t="s">
        <v>842</v>
      </c>
      <c r="C8">
        <v>131328</v>
      </c>
      <c r="D8" t="s">
        <v>1327</v>
      </c>
      <c r="G8" t="s">
        <v>1311</v>
      </c>
      <c r="H8" t="s">
        <v>1328</v>
      </c>
      <c r="I8" t="s">
        <v>844</v>
      </c>
      <c r="J8" t="s">
        <v>1313</v>
      </c>
    </row>
    <row r="9" spans="1:11" x14ac:dyDescent="0.35">
      <c r="A9" s="43">
        <v>46233.662002314813</v>
      </c>
      <c r="B9" t="s">
        <v>842</v>
      </c>
      <c r="C9">
        <v>131328</v>
      </c>
      <c r="D9" t="s">
        <v>1327</v>
      </c>
      <c r="E9" t="s">
        <v>1329</v>
      </c>
      <c r="F9" t="s">
        <v>1330</v>
      </c>
      <c r="G9" t="s">
        <v>1318</v>
      </c>
      <c r="H9" t="s">
        <v>1331</v>
      </c>
      <c r="I9" t="s">
        <v>844</v>
      </c>
      <c r="K9" t="s">
        <v>1332</v>
      </c>
    </row>
    <row r="10" spans="1:11" x14ac:dyDescent="0.35">
      <c r="A10" s="43">
        <v>46233.675682870373</v>
      </c>
      <c r="B10" t="s">
        <v>842</v>
      </c>
      <c r="C10">
        <v>114067</v>
      </c>
      <c r="D10" t="s">
        <v>1333</v>
      </c>
      <c r="E10" t="s">
        <v>1334</v>
      </c>
      <c r="G10" t="s">
        <v>1311</v>
      </c>
      <c r="H10" t="s">
        <v>1335</v>
      </c>
      <c r="I10" t="s">
        <v>844</v>
      </c>
      <c r="J10" t="s">
        <v>1313</v>
      </c>
    </row>
    <row r="11" spans="1:11" x14ac:dyDescent="0.35">
      <c r="A11" s="43">
        <v>46233.693287037036</v>
      </c>
      <c r="B11" t="s">
        <v>842</v>
      </c>
      <c r="C11">
        <v>114067</v>
      </c>
      <c r="D11" t="s">
        <v>1333</v>
      </c>
      <c r="E11" t="s">
        <v>1334</v>
      </c>
      <c r="F11" t="s">
        <v>1336</v>
      </c>
      <c r="G11" t="s">
        <v>1318</v>
      </c>
      <c r="H11" t="s">
        <v>1337</v>
      </c>
      <c r="I11" t="s">
        <v>844</v>
      </c>
      <c r="K11" t="s">
        <v>1338</v>
      </c>
    </row>
    <row r="12" spans="1:11" x14ac:dyDescent="0.35">
      <c r="A12" s="43">
        <v>46233.700289351851</v>
      </c>
      <c r="B12" t="s">
        <v>842</v>
      </c>
      <c r="C12">
        <v>131903</v>
      </c>
      <c r="D12" t="s">
        <v>1339</v>
      </c>
      <c r="E12" t="s">
        <v>1340</v>
      </c>
      <c r="G12" t="s">
        <v>1311</v>
      </c>
      <c r="H12" t="s">
        <v>1341</v>
      </c>
      <c r="I12" t="s">
        <v>844</v>
      </c>
      <c r="J12" t="s">
        <v>1313</v>
      </c>
    </row>
    <row r="13" spans="1:11" x14ac:dyDescent="0.35">
      <c r="A13" s="43">
        <v>46233.703460648147</v>
      </c>
      <c r="B13" t="s">
        <v>842</v>
      </c>
      <c r="C13">
        <v>131903</v>
      </c>
      <c r="D13" t="s">
        <v>1339</v>
      </c>
      <c r="E13" t="s">
        <v>1340</v>
      </c>
      <c r="F13" t="s">
        <v>1342</v>
      </c>
      <c r="G13" t="s">
        <v>1318</v>
      </c>
      <c r="H13" t="s">
        <v>1343</v>
      </c>
      <c r="I13" t="s">
        <v>844</v>
      </c>
      <c r="K13" t="s">
        <v>1344</v>
      </c>
    </row>
    <row r="14" spans="1:11" x14ac:dyDescent="0.35">
      <c r="A14" s="43">
        <v>46233.715231481481</v>
      </c>
      <c r="B14" t="s">
        <v>842</v>
      </c>
      <c r="C14">
        <v>131903</v>
      </c>
      <c r="D14" t="s">
        <v>1339</v>
      </c>
      <c r="E14" t="s">
        <v>1340</v>
      </c>
      <c r="G14" t="s">
        <v>1318</v>
      </c>
      <c r="H14" t="s">
        <v>1343</v>
      </c>
      <c r="I14" t="s">
        <v>844</v>
      </c>
      <c r="K14" t="s">
        <v>1344</v>
      </c>
    </row>
    <row r="15" spans="1:11" x14ac:dyDescent="0.35">
      <c r="A15" s="43">
        <v>46233.978009259263</v>
      </c>
      <c r="B15" t="s">
        <v>842</v>
      </c>
      <c r="C15">
        <v>131903</v>
      </c>
      <c r="D15" t="s">
        <v>1339</v>
      </c>
      <c r="E15" t="s">
        <v>1340</v>
      </c>
      <c r="G15" t="s">
        <v>1311</v>
      </c>
      <c r="H15" t="s">
        <v>1341</v>
      </c>
      <c r="I15" t="s">
        <v>844</v>
      </c>
      <c r="J15" t="s">
        <v>1313</v>
      </c>
    </row>
    <row r="16" spans="1:11" x14ac:dyDescent="0.35">
      <c r="A16" s="43">
        <v>46233.983958333331</v>
      </c>
      <c r="B16" t="s">
        <v>842</v>
      </c>
      <c r="C16">
        <v>131903</v>
      </c>
      <c r="D16" t="s">
        <v>1339</v>
      </c>
      <c r="E16" t="s">
        <v>1340</v>
      </c>
      <c r="G16" t="s">
        <v>1311</v>
      </c>
      <c r="H16" t="s">
        <v>1341</v>
      </c>
      <c r="I16" t="s">
        <v>844</v>
      </c>
      <c r="J16" t="s">
        <v>1313</v>
      </c>
    </row>
    <row r="17" spans="1:11" x14ac:dyDescent="0.35">
      <c r="A17" s="43">
        <v>46233.989317129628</v>
      </c>
      <c r="B17" t="s">
        <v>842</v>
      </c>
      <c r="C17">
        <v>131903</v>
      </c>
      <c r="D17" t="s">
        <v>1339</v>
      </c>
      <c r="E17" t="s">
        <v>1340</v>
      </c>
      <c r="G17" t="s">
        <v>1314</v>
      </c>
      <c r="H17" t="s">
        <v>1345</v>
      </c>
      <c r="I17">
        <v>3.5</v>
      </c>
      <c r="J17" t="s">
        <v>1346</v>
      </c>
      <c r="K17" t="s">
        <v>1347</v>
      </c>
    </row>
    <row r="18" spans="1:11" x14ac:dyDescent="0.35">
      <c r="A18" s="43">
        <v>46233.998425925929</v>
      </c>
      <c r="B18" t="s">
        <v>842</v>
      </c>
      <c r="C18">
        <v>131903</v>
      </c>
      <c r="D18" t="s">
        <v>1339</v>
      </c>
      <c r="E18" t="s">
        <v>1340</v>
      </c>
      <c r="G18" t="s">
        <v>1348</v>
      </c>
      <c r="H18" t="s">
        <v>1349</v>
      </c>
      <c r="I18" t="s">
        <v>1350</v>
      </c>
      <c r="J18" t="s">
        <v>1351</v>
      </c>
    </row>
    <row r="19" spans="1:11" x14ac:dyDescent="0.35">
      <c r="A19" s="43">
        <v>46234.001666666663</v>
      </c>
      <c r="B19" t="s">
        <v>842</v>
      </c>
      <c r="C19">
        <v>131903</v>
      </c>
      <c r="D19" t="s">
        <v>1339</v>
      </c>
      <c r="E19" t="s">
        <v>1340</v>
      </c>
      <c r="G19" t="s">
        <v>1311</v>
      </c>
      <c r="H19" t="s">
        <v>1341</v>
      </c>
      <c r="I19" t="s">
        <v>844</v>
      </c>
      <c r="J19" t="s">
        <v>1313</v>
      </c>
    </row>
    <row r="20" spans="1:11" x14ac:dyDescent="0.35">
      <c r="A20" s="43">
        <v>46234.005787037036</v>
      </c>
      <c r="B20" t="s">
        <v>842</v>
      </c>
      <c r="C20">
        <v>131903</v>
      </c>
      <c r="D20" t="s">
        <v>1339</v>
      </c>
      <c r="E20" t="s">
        <v>1340</v>
      </c>
      <c r="G20" t="s">
        <v>1314</v>
      </c>
      <c r="H20" t="s">
        <v>1345</v>
      </c>
      <c r="I20">
        <v>3.5</v>
      </c>
      <c r="J20" t="s">
        <v>1352</v>
      </c>
      <c r="K20" t="s">
        <v>1353</v>
      </c>
    </row>
    <row r="21" spans="1:11" x14ac:dyDescent="0.35">
      <c r="A21" s="43">
        <v>46234.491574074076</v>
      </c>
      <c r="B21" t="s">
        <v>842</v>
      </c>
      <c r="C21">
        <v>115987</v>
      </c>
      <c r="D21" t="s">
        <v>1354</v>
      </c>
      <c r="G21" t="s">
        <v>1311</v>
      </c>
      <c r="H21" t="s">
        <v>1355</v>
      </c>
      <c r="I21" t="s">
        <v>844</v>
      </c>
      <c r="J21" t="s">
        <v>1313</v>
      </c>
    </row>
    <row r="22" spans="1:11" x14ac:dyDescent="0.35">
      <c r="A22" s="43">
        <v>46234.520289351851</v>
      </c>
      <c r="B22" t="s">
        <v>842</v>
      </c>
      <c r="C22">
        <v>115987</v>
      </c>
      <c r="D22" t="s">
        <v>1354</v>
      </c>
      <c r="E22" t="s">
        <v>1356</v>
      </c>
      <c r="F22" t="s">
        <v>1357</v>
      </c>
      <c r="G22" t="s">
        <v>1318</v>
      </c>
      <c r="H22" t="s">
        <v>1358</v>
      </c>
      <c r="I22" t="s">
        <v>844</v>
      </c>
      <c r="K22" t="s">
        <v>1359</v>
      </c>
    </row>
    <row r="23" spans="1:11" x14ac:dyDescent="0.35">
      <c r="A23" s="43">
        <v>46234.522303240738</v>
      </c>
      <c r="B23" t="s">
        <v>842</v>
      </c>
      <c r="C23">
        <v>115987</v>
      </c>
      <c r="D23" t="s">
        <v>1354</v>
      </c>
      <c r="E23" t="s">
        <v>1360</v>
      </c>
      <c r="F23" t="s">
        <v>1361</v>
      </c>
      <c r="G23" t="s">
        <v>1318</v>
      </c>
      <c r="H23" t="s">
        <v>1362</v>
      </c>
      <c r="I23" t="s">
        <v>844</v>
      </c>
      <c r="K23" t="s">
        <v>1359</v>
      </c>
    </row>
    <row r="24" spans="1:11" x14ac:dyDescent="0.35">
      <c r="A24" s="43">
        <v>46237.510150462964</v>
      </c>
      <c r="B24" t="s">
        <v>842</v>
      </c>
      <c r="C24">
        <v>135281</v>
      </c>
      <c r="D24" t="s">
        <v>1363</v>
      </c>
      <c r="E24" t="s">
        <v>1364</v>
      </c>
      <c r="F24" t="s">
        <v>1365</v>
      </c>
      <c r="G24" t="s">
        <v>1348</v>
      </c>
      <c r="H24" t="s">
        <v>1366</v>
      </c>
      <c r="I24" t="s">
        <v>1350</v>
      </c>
      <c r="J24" t="s">
        <v>1351</v>
      </c>
    </row>
    <row r="25" spans="1:11" x14ac:dyDescent="0.35">
      <c r="A25" s="43">
        <v>46237.511030092595</v>
      </c>
      <c r="B25" t="s">
        <v>842</v>
      </c>
      <c r="C25">
        <v>135281</v>
      </c>
      <c r="D25" t="s">
        <v>1363</v>
      </c>
      <c r="E25" t="s">
        <v>1364</v>
      </c>
      <c r="F25" t="s">
        <v>1365</v>
      </c>
      <c r="G25" t="s">
        <v>1311</v>
      </c>
      <c r="H25" t="s">
        <v>1367</v>
      </c>
      <c r="I25" t="s">
        <v>844</v>
      </c>
      <c r="J25" t="s">
        <v>1313</v>
      </c>
    </row>
    <row r="26" spans="1:11" x14ac:dyDescent="0.35">
      <c r="A26" s="43">
        <v>46237.513472222221</v>
      </c>
      <c r="B26" t="s">
        <v>842</v>
      </c>
      <c r="C26">
        <v>135281</v>
      </c>
      <c r="D26" t="s">
        <v>1363</v>
      </c>
      <c r="E26" t="s">
        <v>1364</v>
      </c>
      <c r="F26" t="s">
        <v>1365</v>
      </c>
      <c r="G26" t="s">
        <v>1314</v>
      </c>
      <c r="H26" t="s">
        <v>1368</v>
      </c>
      <c r="I26">
        <v>3.5</v>
      </c>
      <c r="J26" t="s">
        <v>1369</v>
      </c>
      <c r="K26" t="s">
        <v>1370</v>
      </c>
    </row>
    <row r="27" spans="1:11" x14ac:dyDescent="0.35">
      <c r="A27" s="43">
        <v>46237.514120370368</v>
      </c>
      <c r="B27" t="s">
        <v>842</v>
      </c>
      <c r="C27">
        <v>135281</v>
      </c>
      <c r="D27" t="s">
        <v>1363</v>
      </c>
      <c r="E27" t="s">
        <v>1364</v>
      </c>
      <c r="F27" t="s">
        <v>1365</v>
      </c>
      <c r="G27" t="s">
        <v>1318</v>
      </c>
      <c r="H27" t="s">
        <v>1371</v>
      </c>
      <c r="I27" t="s">
        <v>844</v>
      </c>
      <c r="K27" t="s">
        <v>1372</v>
      </c>
    </row>
    <row r="28" spans="1:11" x14ac:dyDescent="0.35">
      <c r="A28" s="43">
        <v>46237.563564814816</v>
      </c>
      <c r="B28" t="s">
        <v>842</v>
      </c>
      <c r="C28">
        <v>136313</v>
      </c>
      <c r="D28" t="s">
        <v>1373</v>
      </c>
      <c r="E28" t="s">
        <v>1374</v>
      </c>
      <c r="G28" t="s">
        <v>1348</v>
      </c>
      <c r="H28" t="s">
        <v>1375</v>
      </c>
      <c r="I28" t="s">
        <v>1350</v>
      </c>
      <c r="J28" t="s">
        <v>1351</v>
      </c>
    </row>
    <row r="29" spans="1:11" x14ac:dyDescent="0.35">
      <c r="A29" s="43">
        <v>46237.565879629627</v>
      </c>
      <c r="B29" t="s">
        <v>842</v>
      </c>
      <c r="C29">
        <v>136313</v>
      </c>
      <c r="D29" t="s">
        <v>1373</v>
      </c>
      <c r="E29" t="s">
        <v>1374</v>
      </c>
      <c r="G29" t="s">
        <v>1311</v>
      </c>
      <c r="H29" t="s">
        <v>1376</v>
      </c>
      <c r="I29" t="s">
        <v>844</v>
      </c>
      <c r="J29" t="s">
        <v>1313</v>
      </c>
    </row>
    <row r="30" spans="1:11" x14ac:dyDescent="0.35">
      <c r="A30" s="43">
        <v>46237.573298611111</v>
      </c>
      <c r="B30" t="s">
        <v>842</v>
      </c>
      <c r="C30">
        <v>136313</v>
      </c>
      <c r="D30" t="s">
        <v>1373</v>
      </c>
      <c r="E30" t="s">
        <v>1374</v>
      </c>
      <c r="F30" t="s">
        <v>1377</v>
      </c>
      <c r="G30" t="s">
        <v>1314</v>
      </c>
      <c r="H30" t="s">
        <v>1378</v>
      </c>
      <c r="I30">
        <v>3.5</v>
      </c>
      <c r="J30" t="s">
        <v>1379</v>
      </c>
      <c r="K30" t="s">
        <v>1380</v>
      </c>
    </row>
    <row r="31" spans="1:11" x14ac:dyDescent="0.35">
      <c r="A31" s="43">
        <v>46237.582349537035</v>
      </c>
      <c r="B31" t="s">
        <v>842</v>
      </c>
      <c r="C31">
        <v>136313</v>
      </c>
      <c r="D31" t="s">
        <v>1373</v>
      </c>
      <c r="E31" t="s">
        <v>1374</v>
      </c>
      <c r="F31" t="s">
        <v>1377</v>
      </c>
      <c r="G31" t="s">
        <v>1318</v>
      </c>
      <c r="H31" t="s">
        <v>1381</v>
      </c>
      <c r="I31" t="s">
        <v>844</v>
      </c>
      <c r="K31" t="s">
        <v>1382</v>
      </c>
    </row>
    <row r="32" spans="1:11" x14ac:dyDescent="0.35">
      <c r="A32" s="43">
        <v>46237.586331018516</v>
      </c>
      <c r="B32" t="s">
        <v>842</v>
      </c>
      <c r="C32">
        <v>136313</v>
      </c>
      <c r="D32" t="s">
        <v>1373</v>
      </c>
      <c r="E32" t="s">
        <v>1374</v>
      </c>
      <c r="F32" t="s">
        <v>1377</v>
      </c>
      <c r="G32" t="s">
        <v>1311</v>
      </c>
      <c r="H32" t="s">
        <v>1383</v>
      </c>
      <c r="I32" t="s">
        <v>844</v>
      </c>
      <c r="J32" t="s">
        <v>1384</v>
      </c>
    </row>
    <row r="33" spans="1:11" x14ac:dyDescent="0.35">
      <c r="A33" s="43">
        <v>46237.753506944442</v>
      </c>
      <c r="B33" t="s">
        <v>842</v>
      </c>
      <c r="C33">
        <v>134049</v>
      </c>
      <c r="D33" t="s">
        <v>1385</v>
      </c>
      <c r="E33" t="s">
        <v>1386</v>
      </c>
      <c r="G33" t="s">
        <v>1348</v>
      </c>
      <c r="H33" t="s">
        <v>1387</v>
      </c>
      <c r="I33" t="s">
        <v>1350</v>
      </c>
      <c r="J33" t="s">
        <v>1351</v>
      </c>
    </row>
    <row r="34" spans="1:11" x14ac:dyDescent="0.35">
      <c r="A34" s="43">
        <v>46237.755011574074</v>
      </c>
      <c r="B34" t="s">
        <v>842</v>
      </c>
      <c r="C34">
        <v>134049</v>
      </c>
      <c r="D34" t="s">
        <v>1385</v>
      </c>
      <c r="E34" t="s">
        <v>1386</v>
      </c>
      <c r="G34" t="s">
        <v>1311</v>
      </c>
      <c r="H34" t="s">
        <v>1388</v>
      </c>
      <c r="I34" t="s">
        <v>844</v>
      </c>
      <c r="J34" t="s">
        <v>1313</v>
      </c>
    </row>
    <row r="35" spans="1:11" x14ac:dyDescent="0.35">
      <c r="A35" s="43">
        <v>46237.767858796295</v>
      </c>
      <c r="B35" t="s">
        <v>842</v>
      </c>
      <c r="C35">
        <v>134049</v>
      </c>
      <c r="D35" t="s">
        <v>1385</v>
      </c>
      <c r="E35" t="s">
        <v>1386</v>
      </c>
      <c r="F35" t="s">
        <v>1389</v>
      </c>
      <c r="G35" t="s">
        <v>1314</v>
      </c>
      <c r="H35" t="s">
        <v>1390</v>
      </c>
      <c r="I35">
        <v>3.5</v>
      </c>
      <c r="J35" t="s">
        <v>1391</v>
      </c>
      <c r="K35" t="s">
        <v>1392</v>
      </c>
    </row>
    <row r="36" spans="1:11" x14ac:dyDescent="0.35">
      <c r="A36" s="43">
        <v>46237.785891203705</v>
      </c>
      <c r="B36" t="s">
        <v>842</v>
      </c>
      <c r="C36">
        <v>134049</v>
      </c>
      <c r="D36" t="s">
        <v>1385</v>
      </c>
      <c r="E36" t="s">
        <v>1386</v>
      </c>
      <c r="F36" t="s">
        <v>1389</v>
      </c>
      <c r="G36" t="s">
        <v>1318</v>
      </c>
      <c r="H36" t="s">
        <v>1393</v>
      </c>
      <c r="I36" t="s">
        <v>844</v>
      </c>
      <c r="K36" t="s">
        <v>1394</v>
      </c>
    </row>
    <row r="37" spans="1:11" x14ac:dyDescent="0.35">
      <c r="A37" s="43">
        <v>46237.844837962963</v>
      </c>
      <c r="B37" t="s">
        <v>842</v>
      </c>
      <c r="C37">
        <v>137857</v>
      </c>
      <c r="D37" t="s">
        <v>1395</v>
      </c>
      <c r="E37" t="s">
        <v>1396</v>
      </c>
      <c r="G37" t="s">
        <v>1348</v>
      </c>
      <c r="H37" t="s">
        <v>1397</v>
      </c>
      <c r="I37" t="s">
        <v>1350</v>
      </c>
      <c r="J37" t="s">
        <v>1351</v>
      </c>
    </row>
    <row r="38" spans="1:11" x14ac:dyDescent="0.35">
      <c r="A38" s="43">
        <v>46237.846319444441</v>
      </c>
      <c r="B38" t="s">
        <v>842</v>
      </c>
      <c r="C38">
        <v>137857</v>
      </c>
      <c r="D38" t="s">
        <v>1395</v>
      </c>
      <c r="E38" t="s">
        <v>1396</v>
      </c>
      <c r="G38" t="s">
        <v>1311</v>
      </c>
      <c r="H38" t="s">
        <v>1398</v>
      </c>
      <c r="I38" t="s">
        <v>844</v>
      </c>
      <c r="J38" t="s">
        <v>1313</v>
      </c>
    </row>
    <row r="39" spans="1:11" x14ac:dyDescent="0.35">
      <c r="A39" s="43">
        <v>46237.864085648151</v>
      </c>
      <c r="B39" t="s">
        <v>842</v>
      </c>
      <c r="C39">
        <v>137857</v>
      </c>
      <c r="D39" t="s">
        <v>1395</v>
      </c>
      <c r="E39" t="s">
        <v>1396</v>
      </c>
      <c r="G39" t="s">
        <v>1314</v>
      </c>
      <c r="H39" t="s">
        <v>1399</v>
      </c>
      <c r="I39">
        <v>3.5</v>
      </c>
      <c r="J39" t="s">
        <v>1400</v>
      </c>
      <c r="K39" t="s">
        <v>1401</v>
      </c>
    </row>
    <row r="40" spans="1:11" x14ac:dyDescent="0.35">
      <c r="A40" s="43">
        <v>46237.871041666665</v>
      </c>
      <c r="B40" t="s">
        <v>842</v>
      </c>
      <c r="C40">
        <v>137857</v>
      </c>
      <c r="D40" t="s">
        <v>1395</v>
      </c>
      <c r="E40" t="s">
        <v>1396</v>
      </c>
      <c r="G40" t="s">
        <v>1318</v>
      </c>
      <c r="H40" t="s">
        <v>1402</v>
      </c>
      <c r="I40" t="s">
        <v>844</v>
      </c>
      <c r="K40" t="s">
        <v>1403</v>
      </c>
    </row>
    <row r="41" spans="1:11" x14ac:dyDescent="0.35">
      <c r="A41" s="43">
        <v>46237.899710648147</v>
      </c>
      <c r="B41" t="s">
        <v>842</v>
      </c>
      <c r="C41">
        <v>137313</v>
      </c>
      <c r="D41" t="s">
        <v>1404</v>
      </c>
      <c r="E41" t="s">
        <v>1405</v>
      </c>
      <c r="G41" t="s">
        <v>1314</v>
      </c>
      <c r="H41" t="s">
        <v>1406</v>
      </c>
      <c r="I41">
        <v>3.5</v>
      </c>
      <c r="J41" t="s">
        <v>1407</v>
      </c>
      <c r="K41" t="s">
        <v>1408</v>
      </c>
    </row>
    <row r="42" spans="1:11" x14ac:dyDescent="0.35">
      <c r="A42" s="43">
        <v>46237.910173611112</v>
      </c>
      <c r="B42" t="s">
        <v>842</v>
      </c>
      <c r="C42">
        <v>137313</v>
      </c>
      <c r="D42" t="s">
        <v>1404</v>
      </c>
      <c r="E42" t="s">
        <v>1405</v>
      </c>
      <c r="G42" t="s">
        <v>1348</v>
      </c>
      <c r="H42" t="s">
        <v>1409</v>
      </c>
      <c r="I42" t="s">
        <v>1350</v>
      </c>
      <c r="J42" t="s">
        <v>1351</v>
      </c>
    </row>
    <row r="43" spans="1:11" x14ac:dyDescent="0.35">
      <c r="A43" s="43">
        <v>46237.911145833335</v>
      </c>
      <c r="B43" t="s">
        <v>842</v>
      </c>
      <c r="C43">
        <v>137313</v>
      </c>
      <c r="D43" t="s">
        <v>1404</v>
      </c>
      <c r="E43" t="s">
        <v>1405</v>
      </c>
      <c r="G43" t="s">
        <v>1311</v>
      </c>
      <c r="H43" t="s">
        <v>1410</v>
      </c>
      <c r="I43" t="s">
        <v>844</v>
      </c>
      <c r="J43" t="s">
        <v>1313</v>
      </c>
    </row>
    <row r="44" spans="1:11" x14ac:dyDescent="0.35">
      <c r="A44" s="43">
        <v>46237.921539351853</v>
      </c>
      <c r="B44" t="s">
        <v>842</v>
      </c>
      <c r="C44">
        <v>137313</v>
      </c>
      <c r="D44" t="s">
        <v>1404</v>
      </c>
      <c r="E44" t="s">
        <v>1405</v>
      </c>
      <c r="G44" t="s">
        <v>1318</v>
      </c>
      <c r="H44" t="s">
        <v>1411</v>
      </c>
      <c r="I44" t="s">
        <v>844</v>
      </c>
      <c r="K44" t="s">
        <v>1412</v>
      </c>
    </row>
    <row r="45" spans="1:11" x14ac:dyDescent="0.35">
      <c r="A45" s="43">
        <v>46237.956319444442</v>
      </c>
      <c r="B45" t="s">
        <v>842</v>
      </c>
      <c r="C45">
        <v>134521</v>
      </c>
      <c r="D45" t="s">
        <v>1413</v>
      </c>
      <c r="E45" t="s">
        <v>1414</v>
      </c>
      <c r="F45" t="s">
        <v>1415</v>
      </c>
      <c r="G45" t="s">
        <v>1348</v>
      </c>
      <c r="H45" t="s">
        <v>1416</v>
      </c>
      <c r="I45" t="s">
        <v>1350</v>
      </c>
      <c r="J45" t="s">
        <v>1351</v>
      </c>
    </row>
    <row r="46" spans="1:11" x14ac:dyDescent="0.35">
      <c r="A46" s="43">
        <v>46237.959398148145</v>
      </c>
      <c r="B46" t="s">
        <v>842</v>
      </c>
      <c r="C46">
        <v>134521</v>
      </c>
      <c r="D46" t="s">
        <v>1413</v>
      </c>
      <c r="E46" t="s">
        <v>1414</v>
      </c>
      <c r="F46" t="s">
        <v>1415</v>
      </c>
      <c r="G46" t="s">
        <v>1311</v>
      </c>
      <c r="H46" t="s">
        <v>1417</v>
      </c>
      <c r="I46" t="s">
        <v>844</v>
      </c>
      <c r="J46" t="s">
        <v>1313</v>
      </c>
    </row>
    <row r="47" spans="1:11" x14ac:dyDescent="0.35">
      <c r="A47" s="43">
        <v>46237.962361111109</v>
      </c>
      <c r="B47" t="s">
        <v>842</v>
      </c>
      <c r="C47">
        <v>134521</v>
      </c>
      <c r="D47" t="s">
        <v>1413</v>
      </c>
      <c r="E47" t="s">
        <v>1414</v>
      </c>
      <c r="F47" t="s">
        <v>1415</v>
      </c>
      <c r="G47" t="s">
        <v>1314</v>
      </c>
      <c r="H47" t="s">
        <v>1418</v>
      </c>
      <c r="I47">
        <v>3.5</v>
      </c>
      <c r="J47" t="s">
        <v>1419</v>
      </c>
      <c r="K47" t="s">
        <v>1420</v>
      </c>
    </row>
    <row r="48" spans="1:11" x14ac:dyDescent="0.35">
      <c r="A48" s="43">
        <v>46237.970219907409</v>
      </c>
      <c r="B48" t="s">
        <v>842</v>
      </c>
      <c r="C48">
        <v>134521</v>
      </c>
      <c r="D48" t="s">
        <v>1413</v>
      </c>
      <c r="E48" t="s">
        <v>1414</v>
      </c>
      <c r="F48" t="s">
        <v>1415</v>
      </c>
      <c r="G48" t="s">
        <v>1318</v>
      </c>
      <c r="H48" t="s">
        <v>1421</v>
      </c>
      <c r="I48" t="s">
        <v>844</v>
      </c>
      <c r="K48" t="s">
        <v>1422</v>
      </c>
    </row>
    <row r="49" spans="1:11" x14ac:dyDescent="0.35">
      <c r="A49" s="43">
        <v>46237.988564814812</v>
      </c>
      <c r="B49" t="s">
        <v>842</v>
      </c>
      <c r="C49">
        <v>135873</v>
      </c>
      <c r="D49" t="s">
        <v>1423</v>
      </c>
      <c r="E49" t="s">
        <v>1424</v>
      </c>
      <c r="G49" t="s">
        <v>1348</v>
      </c>
      <c r="H49" t="s">
        <v>1425</v>
      </c>
      <c r="I49" t="s">
        <v>1350</v>
      </c>
      <c r="J49" t="s">
        <v>1351</v>
      </c>
    </row>
    <row r="50" spans="1:11" x14ac:dyDescent="0.35">
      <c r="A50" s="43">
        <v>46237.989849537036</v>
      </c>
      <c r="B50" t="s">
        <v>842</v>
      </c>
      <c r="C50">
        <v>135873</v>
      </c>
      <c r="D50" t="s">
        <v>1423</v>
      </c>
      <c r="E50" t="s">
        <v>1424</v>
      </c>
      <c r="G50" t="s">
        <v>1311</v>
      </c>
      <c r="H50" t="s">
        <v>1426</v>
      </c>
      <c r="I50" t="s">
        <v>844</v>
      </c>
      <c r="J50" t="s">
        <v>1313</v>
      </c>
    </row>
    <row r="51" spans="1:11" x14ac:dyDescent="0.35">
      <c r="A51" s="43">
        <v>46238.342835648145</v>
      </c>
      <c r="B51" t="s">
        <v>842</v>
      </c>
      <c r="C51">
        <v>135873</v>
      </c>
      <c r="D51" t="s">
        <v>1423</v>
      </c>
      <c r="E51" t="s">
        <v>1424</v>
      </c>
      <c r="F51" t="s">
        <v>1427</v>
      </c>
      <c r="G51" t="s">
        <v>1314</v>
      </c>
      <c r="H51" t="s">
        <v>1428</v>
      </c>
      <c r="I51">
        <v>3.5</v>
      </c>
      <c r="J51" t="s">
        <v>1429</v>
      </c>
      <c r="K51" t="s">
        <v>1430</v>
      </c>
    </row>
    <row r="52" spans="1:11" x14ac:dyDescent="0.35">
      <c r="A52" s="43">
        <v>46238.349328703705</v>
      </c>
      <c r="B52" t="s">
        <v>842</v>
      </c>
      <c r="C52">
        <v>135873</v>
      </c>
      <c r="D52" t="s">
        <v>1423</v>
      </c>
      <c r="E52" t="s">
        <v>1424</v>
      </c>
      <c r="F52" t="s">
        <v>1427</v>
      </c>
      <c r="G52" t="s">
        <v>1314</v>
      </c>
      <c r="H52" t="s">
        <v>1428</v>
      </c>
      <c r="I52">
        <v>3.5</v>
      </c>
      <c r="J52" t="s">
        <v>1431</v>
      </c>
      <c r="K52" t="s">
        <v>1430</v>
      </c>
    </row>
    <row r="53" spans="1:11" x14ac:dyDescent="0.35">
      <c r="A53" s="43">
        <v>46238.375868055555</v>
      </c>
      <c r="B53" t="s">
        <v>842</v>
      </c>
      <c r="C53">
        <v>135873</v>
      </c>
      <c r="D53" t="s">
        <v>1423</v>
      </c>
      <c r="E53" t="s">
        <v>1424</v>
      </c>
      <c r="F53" t="s">
        <v>1427</v>
      </c>
      <c r="G53" t="s">
        <v>1314</v>
      </c>
      <c r="H53" t="s">
        <v>1428</v>
      </c>
      <c r="I53">
        <v>3.5</v>
      </c>
      <c r="J53" t="s">
        <v>1432</v>
      </c>
      <c r="K53" t="s">
        <v>1430</v>
      </c>
    </row>
    <row r="54" spans="1:11" x14ac:dyDescent="0.35">
      <c r="A54" s="43">
        <v>46238.389317129629</v>
      </c>
      <c r="B54" t="s">
        <v>842</v>
      </c>
      <c r="C54">
        <v>135873</v>
      </c>
      <c r="D54" t="s">
        <v>1423</v>
      </c>
      <c r="E54" t="s">
        <v>1424</v>
      </c>
      <c r="F54" t="s">
        <v>1427</v>
      </c>
      <c r="G54" t="s">
        <v>1318</v>
      </c>
      <c r="H54" t="s">
        <v>1433</v>
      </c>
      <c r="I54" t="s">
        <v>844</v>
      </c>
      <c r="K54" t="s">
        <v>1434</v>
      </c>
    </row>
    <row r="55" spans="1:11" x14ac:dyDescent="0.35">
      <c r="A55" s="43">
        <v>46238.421030092592</v>
      </c>
      <c r="B55" t="s">
        <v>842</v>
      </c>
      <c r="C55">
        <v>138337</v>
      </c>
      <c r="D55" t="s">
        <v>1435</v>
      </c>
      <c r="E55" t="s">
        <v>1436</v>
      </c>
      <c r="G55" t="s">
        <v>1348</v>
      </c>
      <c r="H55" t="s">
        <v>1437</v>
      </c>
      <c r="I55" t="s">
        <v>1350</v>
      </c>
      <c r="J55" t="s">
        <v>1351</v>
      </c>
    </row>
    <row r="56" spans="1:11" x14ac:dyDescent="0.35">
      <c r="A56" s="43">
        <v>46238.422430555554</v>
      </c>
      <c r="B56" t="s">
        <v>842</v>
      </c>
      <c r="C56">
        <v>138337</v>
      </c>
      <c r="D56" t="s">
        <v>1435</v>
      </c>
      <c r="E56" t="s">
        <v>1436</v>
      </c>
      <c r="G56" t="s">
        <v>1311</v>
      </c>
      <c r="H56" t="s">
        <v>1438</v>
      </c>
      <c r="I56" t="s">
        <v>844</v>
      </c>
      <c r="J56" t="s">
        <v>1313</v>
      </c>
    </row>
    <row r="57" spans="1:11" x14ac:dyDescent="0.35">
      <c r="A57" s="43">
        <v>46238.465729166666</v>
      </c>
      <c r="B57" t="s">
        <v>842</v>
      </c>
      <c r="C57">
        <v>138337</v>
      </c>
      <c r="D57" t="s">
        <v>1435</v>
      </c>
      <c r="E57" t="s">
        <v>1436</v>
      </c>
      <c r="F57" t="s">
        <v>1439</v>
      </c>
      <c r="G57" t="s">
        <v>1314</v>
      </c>
      <c r="H57" t="s">
        <v>1440</v>
      </c>
      <c r="I57">
        <v>3.5</v>
      </c>
      <c r="J57" t="s">
        <v>1441</v>
      </c>
      <c r="K57" t="s">
        <v>1442</v>
      </c>
    </row>
    <row r="58" spans="1:11" x14ac:dyDescent="0.35">
      <c r="A58" s="43">
        <v>46238.492175925923</v>
      </c>
      <c r="B58" t="s">
        <v>842</v>
      </c>
      <c r="C58">
        <v>138337</v>
      </c>
      <c r="D58" t="s">
        <v>1435</v>
      </c>
      <c r="E58" t="s">
        <v>1436</v>
      </c>
      <c r="F58" t="s">
        <v>1439</v>
      </c>
      <c r="G58" t="s">
        <v>1318</v>
      </c>
      <c r="H58" t="s">
        <v>1443</v>
      </c>
      <c r="I58" t="s">
        <v>844</v>
      </c>
      <c r="K58" t="s">
        <v>1444</v>
      </c>
    </row>
    <row r="59" spans="1:11" x14ac:dyDescent="0.35">
      <c r="A59" s="43">
        <v>46238.527581018519</v>
      </c>
      <c r="B59" t="s">
        <v>842</v>
      </c>
      <c r="C59">
        <v>139093</v>
      </c>
      <c r="D59" t="s">
        <v>1445</v>
      </c>
      <c r="E59" t="s">
        <v>1446</v>
      </c>
      <c r="F59" t="s">
        <v>1447</v>
      </c>
      <c r="G59" t="s">
        <v>1348</v>
      </c>
      <c r="H59" t="s">
        <v>1448</v>
      </c>
      <c r="I59" t="s">
        <v>1350</v>
      </c>
      <c r="J59" t="s">
        <v>1351</v>
      </c>
    </row>
    <row r="60" spans="1:11" x14ac:dyDescent="0.35">
      <c r="A60" s="43">
        <v>46238.529085648152</v>
      </c>
      <c r="B60" t="s">
        <v>842</v>
      </c>
      <c r="C60">
        <v>139093</v>
      </c>
      <c r="D60" t="s">
        <v>1445</v>
      </c>
      <c r="E60" t="s">
        <v>1446</v>
      </c>
      <c r="F60" t="s">
        <v>1447</v>
      </c>
      <c r="G60" t="s">
        <v>1311</v>
      </c>
      <c r="H60" t="s">
        <v>1449</v>
      </c>
      <c r="I60" t="s">
        <v>844</v>
      </c>
      <c r="J60" t="s">
        <v>1313</v>
      </c>
    </row>
    <row r="61" spans="1:11" x14ac:dyDescent="0.35">
      <c r="A61" s="43">
        <v>46238.533483796295</v>
      </c>
      <c r="B61" t="s">
        <v>842</v>
      </c>
      <c r="C61">
        <v>139093</v>
      </c>
      <c r="D61" t="s">
        <v>1445</v>
      </c>
      <c r="E61" t="s">
        <v>1446</v>
      </c>
      <c r="F61" t="s">
        <v>1447</v>
      </c>
      <c r="G61" t="s">
        <v>1318</v>
      </c>
      <c r="H61" t="s">
        <v>1450</v>
      </c>
      <c r="I61" t="s">
        <v>844</v>
      </c>
      <c r="K61" t="s">
        <v>1451</v>
      </c>
    </row>
    <row r="62" spans="1:11" x14ac:dyDescent="0.35">
      <c r="A62" s="43">
        <v>46238.54146990741</v>
      </c>
      <c r="B62" t="s">
        <v>842</v>
      </c>
      <c r="C62">
        <v>139093</v>
      </c>
      <c r="D62" t="s">
        <v>1445</v>
      </c>
      <c r="E62" t="s">
        <v>1446</v>
      </c>
      <c r="F62" t="s">
        <v>1447</v>
      </c>
      <c r="G62" t="s">
        <v>1314</v>
      </c>
      <c r="H62" t="s">
        <v>1452</v>
      </c>
      <c r="I62">
        <v>3.5</v>
      </c>
      <c r="J62" t="s">
        <v>1453</v>
      </c>
      <c r="K62" t="s">
        <v>1454</v>
      </c>
    </row>
    <row r="63" spans="1:11" x14ac:dyDescent="0.35">
      <c r="A63" s="43">
        <v>46238.542847222219</v>
      </c>
      <c r="B63" t="s">
        <v>842</v>
      </c>
      <c r="C63">
        <v>139093</v>
      </c>
      <c r="D63" t="s">
        <v>1445</v>
      </c>
      <c r="E63" t="s">
        <v>1446</v>
      </c>
      <c r="F63" t="s">
        <v>1447</v>
      </c>
      <c r="G63" t="s">
        <v>1314</v>
      </c>
      <c r="H63" t="s">
        <v>1452</v>
      </c>
      <c r="I63">
        <v>3.5</v>
      </c>
      <c r="J63" t="s">
        <v>1455</v>
      </c>
      <c r="K63" t="s">
        <v>1454</v>
      </c>
    </row>
    <row r="64" spans="1:11" x14ac:dyDescent="0.35">
      <c r="A64" s="43">
        <v>46238.576539351852</v>
      </c>
      <c r="B64" t="s">
        <v>842</v>
      </c>
      <c r="C64">
        <v>134925</v>
      </c>
      <c r="D64" t="s">
        <v>1456</v>
      </c>
      <c r="E64" t="s">
        <v>1457</v>
      </c>
      <c r="F64" t="s">
        <v>1458</v>
      </c>
      <c r="G64" t="s">
        <v>1348</v>
      </c>
      <c r="H64" t="s">
        <v>1459</v>
      </c>
      <c r="I64" t="s">
        <v>1350</v>
      </c>
      <c r="J64" t="s">
        <v>1351</v>
      </c>
    </row>
    <row r="65" spans="1:11" x14ac:dyDescent="0.35">
      <c r="A65" s="43">
        <v>46238.578981481478</v>
      </c>
      <c r="B65" t="s">
        <v>842</v>
      </c>
      <c r="C65">
        <v>134925</v>
      </c>
      <c r="D65" t="s">
        <v>1456</v>
      </c>
      <c r="E65" t="s">
        <v>1457</v>
      </c>
      <c r="F65" t="s">
        <v>1458</v>
      </c>
      <c r="G65" t="s">
        <v>1311</v>
      </c>
      <c r="H65" t="s">
        <v>1460</v>
      </c>
      <c r="I65" t="s">
        <v>844</v>
      </c>
      <c r="J65" t="s">
        <v>1313</v>
      </c>
    </row>
    <row r="66" spans="1:11" x14ac:dyDescent="0.35">
      <c r="A66" s="43">
        <v>46238.583611111113</v>
      </c>
      <c r="B66" t="s">
        <v>842</v>
      </c>
      <c r="C66">
        <v>134925</v>
      </c>
      <c r="D66" t="s">
        <v>1456</v>
      </c>
      <c r="E66" t="s">
        <v>1457</v>
      </c>
      <c r="F66" t="s">
        <v>1458</v>
      </c>
      <c r="G66" t="s">
        <v>1314</v>
      </c>
      <c r="H66" t="s">
        <v>1461</v>
      </c>
      <c r="I66">
        <v>3.5</v>
      </c>
      <c r="J66" t="s">
        <v>1462</v>
      </c>
      <c r="K66" t="s">
        <v>1463</v>
      </c>
    </row>
    <row r="67" spans="1:11" x14ac:dyDescent="0.35">
      <c r="A67" s="43">
        <v>46238.588969907411</v>
      </c>
      <c r="B67" t="s">
        <v>842</v>
      </c>
      <c r="C67">
        <v>134925</v>
      </c>
      <c r="D67" t="s">
        <v>1456</v>
      </c>
      <c r="E67" t="s">
        <v>1457</v>
      </c>
      <c r="F67" t="s">
        <v>1458</v>
      </c>
      <c r="G67" t="s">
        <v>1318</v>
      </c>
      <c r="H67" t="s">
        <v>1464</v>
      </c>
      <c r="I67" t="s">
        <v>844</v>
      </c>
      <c r="K67" t="s">
        <v>1465</v>
      </c>
    </row>
    <row r="68" spans="1:11" x14ac:dyDescent="0.35">
      <c r="A68" s="43">
        <v>46238.604513888888</v>
      </c>
      <c r="B68" t="s">
        <v>842</v>
      </c>
      <c r="C68">
        <v>134917</v>
      </c>
      <c r="D68" t="s">
        <v>1466</v>
      </c>
      <c r="E68" t="s">
        <v>1467</v>
      </c>
      <c r="G68" t="s">
        <v>1348</v>
      </c>
      <c r="H68" t="s">
        <v>1468</v>
      </c>
      <c r="I68" t="s">
        <v>1350</v>
      </c>
      <c r="J68" t="s">
        <v>1351</v>
      </c>
    </row>
    <row r="69" spans="1:11" x14ac:dyDescent="0.35">
      <c r="A69" s="43">
        <v>46238.605868055558</v>
      </c>
      <c r="B69" t="s">
        <v>842</v>
      </c>
      <c r="C69">
        <v>134917</v>
      </c>
      <c r="D69" t="s">
        <v>1466</v>
      </c>
      <c r="E69" t="s">
        <v>1467</v>
      </c>
      <c r="G69" t="s">
        <v>1311</v>
      </c>
      <c r="H69" t="s">
        <v>1469</v>
      </c>
      <c r="I69" t="s">
        <v>844</v>
      </c>
      <c r="J69" t="s">
        <v>1313</v>
      </c>
    </row>
    <row r="70" spans="1:11" x14ac:dyDescent="0.35">
      <c r="A70" s="43">
        <v>46238.629525462966</v>
      </c>
      <c r="B70" t="s">
        <v>842</v>
      </c>
      <c r="C70">
        <v>134917</v>
      </c>
      <c r="D70" t="s">
        <v>1466</v>
      </c>
      <c r="E70" t="s">
        <v>1467</v>
      </c>
      <c r="F70" t="s">
        <v>1470</v>
      </c>
      <c r="G70" t="s">
        <v>1314</v>
      </c>
      <c r="H70" t="s">
        <v>1471</v>
      </c>
      <c r="I70">
        <v>3.5</v>
      </c>
      <c r="J70" t="s">
        <v>1472</v>
      </c>
      <c r="K70" t="s">
        <v>1473</v>
      </c>
    </row>
    <row r="71" spans="1:11" x14ac:dyDescent="0.35">
      <c r="A71" s="43">
        <v>46238.63689814815</v>
      </c>
      <c r="B71" t="s">
        <v>842</v>
      </c>
      <c r="C71">
        <v>134917</v>
      </c>
      <c r="D71" t="s">
        <v>1466</v>
      </c>
      <c r="E71" t="s">
        <v>1467</v>
      </c>
      <c r="F71" t="s">
        <v>1470</v>
      </c>
      <c r="G71" t="s">
        <v>1318</v>
      </c>
      <c r="H71" t="s">
        <v>1474</v>
      </c>
      <c r="I71" t="s">
        <v>844</v>
      </c>
      <c r="K71" t="s">
        <v>1475</v>
      </c>
    </row>
    <row r="72" spans="1:11" x14ac:dyDescent="0.35">
      <c r="A72" s="43">
        <v>46238.687141203707</v>
      </c>
      <c r="B72" t="s">
        <v>842</v>
      </c>
      <c r="C72">
        <v>134941</v>
      </c>
      <c r="D72" t="s">
        <v>1476</v>
      </c>
      <c r="E72" t="s">
        <v>1477</v>
      </c>
      <c r="G72" t="s">
        <v>1348</v>
      </c>
      <c r="H72" t="s">
        <v>1478</v>
      </c>
      <c r="I72" t="s">
        <v>1350</v>
      </c>
      <c r="J72" t="s">
        <v>1351</v>
      </c>
    </row>
    <row r="73" spans="1:11" x14ac:dyDescent="0.35">
      <c r="A73" s="43">
        <v>46238.690289351849</v>
      </c>
      <c r="B73" t="s">
        <v>842</v>
      </c>
      <c r="C73">
        <v>134941</v>
      </c>
      <c r="D73" t="s">
        <v>1476</v>
      </c>
      <c r="E73" t="s">
        <v>1477</v>
      </c>
      <c r="G73" t="s">
        <v>1311</v>
      </c>
      <c r="H73" t="s">
        <v>1479</v>
      </c>
      <c r="I73" t="s">
        <v>844</v>
      </c>
      <c r="J73" t="s">
        <v>1313</v>
      </c>
    </row>
    <row r="74" spans="1:11" x14ac:dyDescent="0.35">
      <c r="A74" s="43">
        <v>46238.698148148149</v>
      </c>
      <c r="B74" t="s">
        <v>842</v>
      </c>
      <c r="C74">
        <v>134941</v>
      </c>
      <c r="D74" t="s">
        <v>1476</v>
      </c>
      <c r="E74" t="s">
        <v>1477</v>
      </c>
      <c r="G74" t="s">
        <v>1314</v>
      </c>
      <c r="H74" t="s">
        <v>1480</v>
      </c>
      <c r="I74">
        <v>3.5</v>
      </c>
      <c r="J74" t="s">
        <v>1481</v>
      </c>
      <c r="K74" t="s">
        <v>1482</v>
      </c>
    </row>
    <row r="75" spans="1:11" x14ac:dyDescent="0.35">
      <c r="A75" s="43">
        <v>46238.705625000002</v>
      </c>
      <c r="B75" t="s">
        <v>842</v>
      </c>
      <c r="C75">
        <v>134941</v>
      </c>
      <c r="D75" t="s">
        <v>1476</v>
      </c>
      <c r="E75" t="s">
        <v>1477</v>
      </c>
      <c r="G75" t="s">
        <v>1318</v>
      </c>
      <c r="H75" t="s">
        <v>1483</v>
      </c>
      <c r="I75" t="s">
        <v>844</v>
      </c>
      <c r="K75" t="s">
        <v>1484</v>
      </c>
    </row>
    <row r="76" spans="1:11" x14ac:dyDescent="0.35">
      <c r="A76" s="43">
        <v>46239.362361111111</v>
      </c>
      <c r="B76" t="s">
        <v>842</v>
      </c>
      <c r="C76">
        <v>134825</v>
      </c>
      <c r="D76" t="s">
        <v>1485</v>
      </c>
      <c r="E76" t="s">
        <v>1486</v>
      </c>
      <c r="G76" t="s">
        <v>1348</v>
      </c>
      <c r="H76" t="s">
        <v>1487</v>
      </c>
      <c r="I76" t="s">
        <v>1350</v>
      </c>
      <c r="J76" t="s">
        <v>1351</v>
      </c>
    </row>
    <row r="77" spans="1:11" x14ac:dyDescent="0.35">
      <c r="A77" s="43">
        <v>46239.363877314812</v>
      </c>
      <c r="B77" t="s">
        <v>842</v>
      </c>
      <c r="C77">
        <v>134825</v>
      </c>
      <c r="D77" t="s">
        <v>1485</v>
      </c>
      <c r="E77" t="s">
        <v>1486</v>
      </c>
      <c r="G77" t="s">
        <v>1311</v>
      </c>
      <c r="H77" t="s">
        <v>1488</v>
      </c>
      <c r="I77" t="s">
        <v>844</v>
      </c>
      <c r="J77" t="s">
        <v>1313</v>
      </c>
    </row>
    <row r="78" spans="1:11" x14ac:dyDescent="0.35">
      <c r="A78" s="43">
        <v>46239.376377314817</v>
      </c>
      <c r="B78" t="s">
        <v>842</v>
      </c>
      <c r="C78">
        <v>134825</v>
      </c>
      <c r="D78" t="s">
        <v>1485</v>
      </c>
      <c r="E78" t="s">
        <v>1486</v>
      </c>
      <c r="F78" t="s">
        <v>1489</v>
      </c>
      <c r="G78" t="s">
        <v>1314</v>
      </c>
      <c r="H78" t="s">
        <v>1490</v>
      </c>
      <c r="I78">
        <v>3.5</v>
      </c>
      <c r="J78" t="s">
        <v>1491</v>
      </c>
      <c r="K78" t="s">
        <v>1492</v>
      </c>
    </row>
    <row r="79" spans="1:11" x14ac:dyDescent="0.35">
      <c r="A79" s="43">
        <v>46239.377962962964</v>
      </c>
      <c r="B79" t="s">
        <v>842</v>
      </c>
      <c r="C79">
        <v>134825</v>
      </c>
      <c r="D79" t="s">
        <v>1485</v>
      </c>
      <c r="E79" t="s">
        <v>1486</v>
      </c>
      <c r="F79" t="s">
        <v>1489</v>
      </c>
      <c r="G79" t="s">
        <v>1493</v>
      </c>
      <c r="H79" t="s">
        <v>1494</v>
      </c>
      <c r="I79" t="s">
        <v>844</v>
      </c>
      <c r="K79" t="s">
        <v>1495</v>
      </c>
    </row>
    <row r="80" spans="1:11" x14ac:dyDescent="0.35">
      <c r="A80" s="43">
        <v>46239.415682870371</v>
      </c>
      <c r="B80" t="s">
        <v>842</v>
      </c>
      <c r="C80">
        <v>134901</v>
      </c>
      <c r="D80" t="s">
        <v>1496</v>
      </c>
      <c r="E80" t="s">
        <v>1497</v>
      </c>
      <c r="G80" t="s">
        <v>1348</v>
      </c>
      <c r="H80" t="s">
        <v>1498</v>
      </c>
      <c r="I80" t="s">
        <v>1350</v>
      </c>
      <c r="J80" t="s">
        <v>1351</v>
      </c>
    </row>
    <row r="81" spans="1:11" x14ac:dyDescent="0.35">
      <c r="A81" s="43">
        <v>46239.417256944442</v>
      </c>
      <c r="B81" t="s">
        <v>842</v>
      </c>
      <c r="C81">
        <v>134901</v>
      </c>
      <c r="D81" t="s">
        <v>1496</v>
      </c>
      <c r="E81" t="s">
        <v>1497</v>
      </c>
      <c r="G81" t="s">
        <v>1311</v>
      </c>
      <c r="H81" t="s">
        <v>1499</v>
      </c>
      <c r="I81" t="s">
        <v>844</v>
      </c>
      <c r="J81" t="s">
        <v>1313</v>
      </c>
    </row>
    <row r="82" spans="1:11" x14ac:dyDescent="0.35">
      <c r="A82" s="43">
        <v>46239.424178240741</v>
      </c>
      <c r="B82" t="s">
        <v>842</v>
      </c>
      <c r="C82">
        <v>134901</v>
      </c>
      <c r="D82" t="s">
        <v>1496</v>
      </c>
      <c r="E82" t="s">
        <v>1497</v>
      </c>
      <c r="F82" t="s">
        <v>1500</v>
      </c>
      <c r="G82" t="s">
        <v>1314</v>
      </c>
      <c r="H82" t="s">
        <v>1501</v>
      </c>
      <c r="I82">
        <v>3.5</v>
      </c>
      <c r="J82" t="s">
        <v>1502</v>
      </c>
      <c r="K82" t="s">
        <v>1503</v>
      </c>
    </row>
    <row r="83" spans="1:11" x14ac:dyDescent="0.35">
      <c r="A83" s="43">
        <v>46239.448136574072</v>
      </c>
      <c r="B83" t="s">
        <v>842</v>
      </c>
      <c r="C83">
        <v>134901</v>
      </c>
      <c r="D83" t="s">
        <v>1496</v>
      </c>
      <c r="E83" t="s">
        <v>1497</v>
      </c>
      <c r="F83" t="s">
        <v>1500</v>
      </c>
      <c r="G83" t="s">
        <v>1318</v>
      </c>
      <c r="H83" t="s">
        <v>1504</v>
      </c>
      <c r="I83" t="s">
        <v>844</v>
      </c>
      <c r="K83" t="s">
        <v>1505</v>
      </c>
    </row>
    <row r="84" spans="1:11" x14ac:dyDescent="0.35">
      <c r="A84" s="43">
        <v>46239.487442129626</v>
      </c>
      <c r="B84" t="s">
        <v>842</v>
      </c>
      <c r="C84">
        <v>134933</v>
      </c>
      <c r="D84" t="s">
        <v>1506</v>
      </c>
      <c r="E84" t="s">
        <v>1507</v>
      </c>
      <c r="G84" t="s">
        <v>1348</v>
      </c>
      <c r="H84" t="s">
        <v>1508</v>
      </c>
      <c r="I84" t="s">
        <v>1350</v>
      </c>
      <c r="J84" t="s">
        <v>1351</v>
      </c>
    </row>
    <row r="85" spans="1:11" x14ac:dyDescent="0.35">
      <c r="A85" s="43">
        <v>46239.488553240742</v>
      </c>
      <c r="B85" t="s">
        <v>842</v>
      </c>
      <c r="C85">
        <v>134933</v>
      </c>
      <c r="D85" t="s">
        <v>1506</v>
      </c>
      <c r="E85" t="s">
        <v>1507</v>
      </c>
      <c r="G85" t="s">
        <v>1311</v>
      </c>
      <c r="H85" t="s">
        <v>1509</v>
      </c>
      <c r="I85" t="s">
        <v>844</v>
      </c>
      <c r="J85" t="s">
        <v>1313</v>
      </c>
    </row>
    <row r="86" spans="1:11" x14ac:dyDescent="0.35">
      <c r="A86" s="43">
        <v>46239.505115740743</v>
      </c>
      <c r="B86" t="s">
        <v>842</v>
      </c>
      <c r="C86">
        <v>134933</v>
      </c>
      <c r="D86" t="s">
        <v>1506</v>
      </c>
      <c r="E86" t="s">
        <v>1507</v>
      </c>
      <c r="F86" t="s">
        <v>1510</v>
      </c>
      <c r="G86" t="s">
        <v>1314</v>
      </c>
      <c r="H86" t="s">
        <v>1511</v>
      </c>
      <c r="I86">
        <v>3.5</v>
      </c>
      <c r="J86" t="s">
        <v>1512</v>
      </c>
      <c r="K86" t="s">
        <v>1513</v>
      </c>
    </row>
    <row r="87" spans="1:11" x14ac:dyDescent="0.35">
      <c r="A87" s="43">
        <v>46239.526446759257</v>
      </c>
      <c r="B87" t="s">
        <v>842</v>
      </c>
      <c r="C87">
        <v>134933</v>
      </c>
      <c r="D87" t="s">
        <v>1506</v>
      </c>
      <c r="E87" t="s">
        <v>1507</v>
      </c>
      <c r="F87" t="s">
        <v>1510</v>
      </c>
      <c r="G87" t="s">
        <v>1318</v>
      </c>
      <c r="H87" t="s">
        <v>1514</v>
      </c>
      <c r="I87" t="s">
        <v>844</v>
      </c>
      <c r="K87" t="s">
        <v>1515</v>
      </c>
    </row>
    <row r="88" spans="1:11" x14ac:dyDescent="0.35">
      <c r="A88" s="43">
        <v>46239.545891203707</v>
      </c>
      <c r="B88" t="s">
        <v>842</v>
      </c>
      <c r="C88">
        <v>139022</v>
      </c>
      <c r="D88" t="s">
        <v>1516</v>
      </c>
      <c r="E88" t="s">
        <v>1517</v>
      </c>
      <c r="F88" t="s">
        <v>1518</v>
      </c>
      <c r="G88" t="s">
        <v>1348</v>
      </c>
      <c r="H88" t="s">
        <v>1519</v>
      </c>
      <c r="I88" t="s">
        <v>1350</v>
      </c>
      <c r="J88" t="s">
        <v>1351</v>
      </c>
    </row>
    <row r="89" spans="1:11" x14ac:dyDescent="0.35">
      <c r="A89" s="43">
        <v>46239.547430555554</v>
      </c>
      <c r="B89" t="s">
        <v>842</v>
      </c>
      <c r="C89">
        <v>139022</v>
      </c>
      <c r="D89" t="s">
        <v>1516</v>
      </c>
      <c r="E89" t="s">
        <v>1517</v>
      </c>
      <c r="F89" t="s">
        <v>1518</v>
      </c>
      <c r="G89" t="s">
        <v>1311</v>
      </c>
      <c r="H89" t="s">
        <v>1520</v>
      </c>
      <c r="I89" t="s">
        <v>844</v>
      </c>
      <c r="J89" t="s">
        <v>1313</v>
      </c>
    </row>
    <row r="90" spans="1:11" x14ac:dyDescent="0.35">
      <c r="A90" s="43">
        <v>46239.551180555558</v>
      </c>
      <c r="B90" t="s">
        <v>842</v>
      </c>
      <c r="C90">
        <v>139022</v>
      </c>
      <c r="D90" t="s">
        <v>1516</v>
      </c>
      <c r="E90" t="s">
        <v>1517</v>
      </c>
      <c r="F90" t="s">
        <v>1518</v>
      </c>
      <c r="G90" t="s">
        <v>1314</v>
      </c>
      <c r="H90" t="s">
        <v>1521</v>
      </c>
      <c r="I90">
        <v>3.5</v>
      </c>
      <c r="J90" t="s">
        <v>1522</v>
      </c>
      <c r="K90" t="s">
        <v>1523</v>
      </c>
    </row>
    <row r="91" spans="1:11" x14ac:dyDescent="0.35">
      <c r="A91" s="43">
        <v>46239.55300925926</v>
      </c>
      <c r="B91" t="s">
        <v>842</v>
      </c>
      <c r="C91">
        <v>139022</v>
      </c>
      <c r="D91" t="s">
        <v>1516</v>
      </c>
      <c r="E91" t="s">
        <v>1517</v>
      </c>
      <c r="F91" t="s">
        <v>1518</v>
      </c>
      <c r="G91" t="s">
        <v>1314</v>
      </c>
      <c r="H91" t="s">
        <v>1521</v>
      </c>
      <c r="I91">
        <v>3.5</v>
      </c>
      <c r="J91" t="s">
        <v>1524</v>
      </c>
      <c r="K91" t="s">
        <v>1523</v>
      </c>
    </row>
    <row r="92" spans="1:11" x14ac:dyDescent="0.35">
      <c r="A92" s="43">
        <v>46239.561261574076</v>
      </c>
      <c r="B92" t="s">
        <v>842</v>
      </c>
      <c r="C92">
        <v>139022</v>
      </c>
      <c r="D92" t="s">
        <v>1516</v>
      </c>
      <c r="E92" t="s">
        <v>1517</v>
      </c>
      <c r="F92" t="s">
        <v>1518</v>
      </c>
      <c r="G92" t="s">
        <v>1318</v>
      </c>
      <c r="H92" t="s">
        <v>1525</v>
      </c>
      <c r="I92" t="s">
        <v>844</v>
      </c>
      <c r="K92" t="s">
        <v>1526</v>
      </c>
    </row>
    <row r="93" spans="1:11" x14ac:dyDescent="0.35">
      <c r="A93" s="43">
        <v>46239.579583333332</v>
      </c>
      <c r="B93" t="s">
        <v>842</v>
      </c>
      <c r="C93">
        <v>138974</v>
      </c>
      <c r="D93" t="s">
        <v>1527</v>
      </c>
      <c r="E93" t="s">
        <v>1528</v>
      </c>
      <c r="G93" t="s">
        <v>1348</v>
      </c>
      <c r="H93" t="s">
        <v>1529</v>
      </c>
      <c r="I93" t="s">
        <v>1350</v>
      </c>
      <c r="J93" t="s">
        <v>1351</v>
      </c>
    </row>
    <row r="94" spans="1:11" x14ac:dyDescent="0.35">
      <c r="A94" s="43">
        <v>46239.580925925926</v>
      </c>
      <c r="B94" t="s">
        <v>842</v>
      </c>
      <c r="C94">
        <v>138974</v>
      </c>
      <c r="D94" t="s">
        <v>1527</v>
      </c>
      <c r="E94" t="s">
        <v>1528</v>
      </c>
      <c r="G94" t="s">
        <v>1311</v>
      </c>
      <c r="H94" t="s">
        <v>1530</v>
      </c>
      <c r="I94" t="s">
        <v>844</v>
      </c>
      <c r="J94" t="s">
        <v>1313</v>
      </c>
    </row>
    <row r="95" spans="1:11" x14ac:dyDescent="0.35">
      <c r="A95" s="43">
        <v>46239.587534722225</v>
      </c>
      <c r="B95" t="s">
        <v>842</v>
      </c>
      <c r="C95">
        <v>138974</v>
      </c>
      <c r="D95" t="s">
        <v>1527</v>
      </c>
      <c r="E95" t="s">
        <v>1528</v>
      </c>
      <c r="F95" t="s">
        <v>1531</v>
      </c>
      <c r="G95" t="s">
        <v>1314</v>
      </c>
      <c r="H95" t="s">
        <v>1532</v>
      </c>
      <c r="I95">
        <v>3.5</v>
      </c>
      <c r="J95" t="s">
        <v>1533</v>
      </c>
      <c r="K95" t="s">
        <v>1534</v>
      </c>
    </row>
    <row r="96" spans="1:11" x14ac:dyDescent="0.35">
      <c r="A96" s="43">
        <v>46239.601643518516</v>
      </c>
      <c r="B96" t="s">
        <v>842</v>
      </c>
      <c r="C96">
        <v>138974</v>
      </c>
      <c r="D96" t="s">
        <v>1527</v>
      </c>
      <c r="E96" t="s">
        <v>1528</v>
      </c>
      <c r="F96" t="s">
        <v>1531</v>
      </c>
      <c r="G96" t="s">
        <v>1318</v>
      </c>
      <c r="H96" t="s">
        <v>1535</v>
      </c>
      <c r="I96" t="s">
        <v>844</v>
      </c>
      <c r="K96" t="s">
        <v>1536</v>
      </c>
    </row>
    <row r="97" spans="1:11" x14ac:dyDescent="0.35">
      <c r="A97" s="43">
        <v>46239.617048611108</v>
      </c>
      <c r="B97" t="s">
        <v>842</v>
      </c>
      <c r="C97">
        <v>134612</v>
      </c>
      <c r="D97" t="s">
        <v>1537</v>
      </c>
      <c r="E97" t="s">
        <v>1538</v>
      </c>
      <c r="G97" t="s">
        <v>1348</v>
      </c>
      <c r="H97" t="s">
        <v>1539</v>
      </c>
      <c r="I97" t="s">
        <v>1350</v>
      </c>
      <c r="J97" t="s">
        <v>1351</v>
      </c>
    </row>
    <row r="98" spans="1:11" x14ac:dyDescent="0.35">
      <c r="A98" s="43">
        <v>46239.620983796296</v>
      </c>
      <c r="B98" t="s">
        <v>842</v>
      </c>
      <c r="C98">
        <v>134612</v>
      </c>
      <c r="D98" t="s">
        <v>1537</v>
      </c>
      <c r="E98" t="s">
        <v>1538</v>
      </c>
      <c r="G98" t="s">
        <v>1311</v>
      </c>
      <c r="H98" t="s">
        <v>1540</v>
      </c>
      <c r="I98" t="s">
        <v>844</v>
      </c>
      <c r="J98" t="s">
        <v>1313</v>
      </c>
    </row>
    <row r="99" spans="1:11" x14ac:dyDescent="0.35">
      <c r="A99" s="43">
        <v>46239.633657407408</v>
      </c>
      <c r="B99" t="s">
        <v>842</v>
      </c>
      <c r="C99">
        <v>134612</v>
      </c>
      <c r="D99" t="s">
        <v>1537</v>
      </c>
      <c r="E99" t="s">
        <v>1538</v>
      </c>
      <c r="F99" t="s">
        <v>1541</v>
      </c>
      <c r="G99" t="s">
        <v>1314</v>
      </c>
      <c r="H99" t="s">
        <v>1542</v>
      </c>
      <c r="I99">
        <v>3.5</v>
      </c>
      <c r="J99" t="s">
        <v>1522</v>
      </c>
      <c r="K99" t="s">
        <v>1543</v>
      </c>
    </row>
    <row r="100" spans="1:11" x14ac:dyDescent="0.35">
      <c r="A100" s="43">
        <v>46239.639143518521</v>
      </c>
      <c r="B100" t="s">
        <v>842</v>
      </c>
      <c r="C100">
        <v>134612</v>
      </c>
      <c r="D100" t="s">
        <v>1537</v>
      </c>
      <c r="E100" t="s">
        <v>1538</v>
      </c>
      <c r="F100" t="s">
        <v>1541</v>
      </c>
      <c r="G100" t="s">
        <v>1318</v>
      </c>
      <c r="H100" t="s">
        <v>1544</v>
      </c>
      <c r="I100" t="s">
        <v>844</v>
      </c>
      <c r="K100" t="s">
        <v>1545</v>
      </c>
    </row>
    <row r="101" spans="1:11" x14ac:dyDescent="0.35">
      <c r="A101" s="43">
        <v>46240.478726851848</v>
      </c>
      <c r="B101" t="s">
        <v>842</v>
      </c>
      <c r="C101">
        <v>138580</v>
      </c>
      <c r="D101" t="s">
        <v>1546</v>
      </c>
      <c r="E101" t="s">
        <v>1547</v>
      </c>
      <c r="F101" t="s">
        <v>1548</v>
      </c>
      <c r="G101" t="s">
        <v>1348</v>
      </c>
      <c r="H101" t="s">
        <v>1549</v>
      </c>
      <c r="I101" t="s">
        <v>1350</v>
      </c>
      <c r="J101" t="s">
        <v>1351</v>
      </c>
    </row>
    <row r="102" spans="1:11" x14ac:dyDescent="0.35">
      <c r="A102" s="43">
        <v>46240.479050925926</v>
      </c>
      <c r="B102" t="s">
        <v>842</v>
      </c>
      <c r="C102">
        <v>138580</v>
      </c>
      <c r="D102" t="s">
        <v>1546</v>
      </c>
      <c r="E102" t="s">
        <v>1547</v>
      </c>
      <c r="F102" t="s">
        <v>1548</v>
      </c>
      <c r="G102" t="s">
        <v>1348</v>
      </c>
      <c r="H102" t="s">
        <v>1549</v>
      </c>
      <c r="I102" t="s">
        <v>1350</v>
      </c>
      <c r="J102" t="s">
        <v>1351</v>
      </c>
    </row>
    <row r="103" spans="1:11" x14ac:dyDescent="0.35">
      <c r="A103" s="43">
        <v>46240.481724537036</v>
      </c>
      <c r="B103" t="s">
        <v>842</v>
      </c>
      <c r="C103">
        <v>138580</v>
      </c>
      <c r="D103" t="s">
        <v>1546</v>
      </c>
      <c r="E103" t="s">
        <v>1547</v>
      </c>
      <c r="F103" t="s">
        <v>1548</v>
      </c>
      <c r="G103" t="s">
        <v>1311</v>
      </c>
      <c r="H103" t="s">
        <v>1550</v>
      </c>
      <c r="I103" t="s">
        <v>844</v>
      </c>
      <c r="J103" t="s">
        <v>1313</v>
      </c>
    </row>
    <row r="104" spans="1:11" x14ac:dyDescent="0.35">
      <c r="A104" s="43">
        <v>46240.484432870369</v>
      </c>
      <c r="B104" t="s">
        <v>842</v>
      </c>
      <c r="C104">
        <v>138580</v>
      </c>
      <c r="D104" t="s">
        <v>1546</v>
      </c>
      <c r="E104" t="s">
        <v>1547</v>
      </c>
      <c r="F104" t="s">
        <v>1548</v>
      </c>
      <c r="G104" t="s">
        <v>1318</v>
      </c>
      <c r="H104" t="s">
        <v>1551</v>
      </c>
      <c r="I104" t="s">
        <v>844</v>
      </c>
      <c r="K104" t="s">
        <v>1552</v>
      </c>
    </row>
    <row r="105" spans="1:11" x14ac:dyDescent="0.35">
      <c r="A105" s="43">
        <v>46240.510729166665</v>
      </c>
      <c r="B105" t="s">
        <v>842</v>
      </c>
      <c r="C105">
        <v>138580</v>
      </c>
      <c r="D105" t="s">
        <v>1546</v>
      </c>
      <c r="E105" t="s">
        <v>1547</v>
      </c>
      <c r="F105" t="s">
        <v>1548</v>
      </c>
      <c r="G105" t="s">
        <v>1493</v>
      </c>
      <c r="H105" t="s">
        <v>1553</v>
      </c>
      <c r="I105" t="s">
        <v>844</v>
      </c>
      <c r="K105" t="s">
        <v>1552</v>
      </c>
    </row>
    <row r="106" spans="1:11" x14ac:dyDescent="0.35">
      <c r="A106" s="43">
        <v>46240.516122685185</v>
      </c>
      <c r="B106" t="s">
        <v>842</v>
      </c>
      <c r="C106">
        <v>138580</v>
      </c>
      <c r="D106" t="s">
        <v>1546</v>
      </c>
      <c r="E106" t="s">
        <v>1547</v>
      </c>
      <c r="F106" t="s">
        <v>1548</v>
      </c>
      <c r="G106" t="s">
        <v>1314</v>
      </c>
      <c r="H106" t="s">
        <v>1554</v>
      </c>
      <c r="I106">
        <v>3.5</v>
      </c>
      <c r="J106" t="s">
        <v>1555</v>
      </c>
      <c r="K106" t="s">
        <v>1556</v>
      </c>
    </row>
    <row r="107" spans="1:11" x14ac:dyDescent="0.35">
      <c r="A107" s="43">
        <v>46240.532048611109</v>
      </c>
      <c r="B107" t="s">
        <v>842</v>
      </c>
      <c r="C107">
        <v>128480</v>
      </c>
      <c r="D107" t="s">
        <v>1557</v>
      </c>
      <c r="E107" t="s">
        <v>1558</v>
      </c>
      <c r="G107" t="s">
        <v>1311</v>
      </c>
      <c r="H107" t="s">
        <v>1559</v>
      </c>
      <c r="I107" t="s">
        <v>844</v>
      </c>
      <c r="J107" t="s">
        <v>1313</v>
      </c>
    </row>
    <row r="108" spans="1:11" x14ac:dyDescent="0.35">
      <c r="A108" s="43">
        <v>46240.543020833335</v>
      </c>
      <c r="B108" t="s">
        <v>842</v>
      </c>
      <c r="C108">
        <v>128480</v>
      </c>
      <c r="D108" t="s">
        <v>1557</v>
      </c>
      <c r="E108" t="s">
        <v>1558</v>
      </c>
      <c r="F108" t="s">
        <v>1560</v>
      </c>
      <c r="G108" t="s">
        <v>1318</v>
      </c>
      <c r="H108" t="s">
        <v>1561</v>
      </c>
      <c r="I108" t="s">
        <v>844</v>
      </c>
      <c r="K108" t="s">
        <v>1562</v>
      </c>
    </row>
    <row r="109" spans="1:11" x14ac:dyDescent="0.35">
      <c r="A109" s="43">
        <v>46240.569027777776</v>
      </c>
      <c r="B109" t="s">
        <v>842</v>
      </c>
      <c r="C109">
        <v>134236</v>
      </c>
      <c r="D109" t="s">
        <v>1563</v>
      </c>
      <c r="E109" t="s">
        <v>1564</v>
      </c>
      <c r="G109" t="s">
        <v>1348</v>
      </c>
      <c r="H109" t="s">
        <v>1565</v>
      </c>
      <c r="I109" t="s">
        <v>1350</v>
      </c>
      <c r="J109" t="s">
        <v>1351</v>
      </c>
    </row>
    <row r="110" spans="1:11" x14ac:dyDescent="0.35">
      <c r="A110" s="43">
        <v>46240.580046296294</v>
      </c>
      <c r="B110" t="s">
        <v>842</v>
      </c>
      <c r="C110">
        <v>134236</v>
      </c>
      <c r="D110" t="s">
        <v>1563</v>
      </c>
      <c r="E110" t="s">
        <v>1564</v>
      </c>
      <c r="G110" t="s">
        <v>1311</v>
      </c>
      <c r="H110" t="s">
        <v>1566</v>
      </c>
      <c r="I110" t="s">
        <v>844</v>
      </c>
      <c r="J110" t="s">
        <v>1313</v>
      </c>
    </row>
    <row r="111" spans="1:11" x14ac:dyDescent="0.35">
      <c r="A111" s="43">
        <v>46240.602152777778</v>
      </c>
      <c r="B111" t="s">
        <v>842</v>
      </c>
      <c r="C111">
        <v>134236</v>
      </c>
      <c r="D111" t="s">
        <v>1563</v>
      </c>
      <c r="E111" t="s">
        <v>1564</v>
      </c>
      <c r="G111" t="s">
        <v>1314</v>
      </c>
      <c r="H111" t="s">
        <v>1567</v>
      </c>
      <c r="I111">
        <v>3.5</v>
      </c>
      <c r="J111" t="s">
        <v>1568</v>
      </c>
      <c r="K111" t="s">
        <v>1569</v>
      </c>
    </row>
    <row r="112" spans="1:11" x14ac:dyDescent="0.35">
      <c r="A112" s="43">
        <v>46240.632743055554</v>
      </c>
      <c r="B112" t="s">
        <v>842</v>
      </c>
      <c r="C112">
        <v>134236</v>
      </c>
      <c r="D112" t="s">
        <v>1563</v>
      </c>
      <c r="E112" t="s">
        <v>1564</v>
      </c>
      <c r="G112" t="s">
        <v>1493</v>
      </c>
      <c r="H112" t="s">
        <v>1570</v>
      </c>
      <c r="I112" t="s">
        <v>844</v>
      </c>
      <c r="K112" t="s">
        <v>1571</v>
      </c>
    </row>
    <row r="113" spans="1:11" x14ac:dyDescent="0.35">
      <c r="A113" s="43">
        <v>46240.725347222222</v>
      </c>
      <c r="B113" t="s">
        <v>842</v>
      </c>
      <c r="C113">
        <v>134572</v>
      </c>
      <c r="D113" t="s">
        <v>1572</v>
      </c>
      <c r="E113" t="s">
        <v>1573</v>
      </c>
      <c r="F113" t="s">
        <v>1574</v>
      </c>
      <c r="G113" t="s">
        <v>1348</v>
      </c>
      <c r="H113" t="s">
        <v>1575</v>
      </c>
      <c r="I113" t="s">
        <v>1350</v>
      </c>
      <c r="J113" t="s">
        <v>1351</v>
      </c>
    </row>
    <row r="114" spans="1:11" x14ac:dyDescent="0.35">
      <c r="A114" s="43">
        <v>46240.735127314816</v>
      </c>
      <c r="B114" t="s">
        <v>842</v>
      </c>
      <c r="C114">
        <v>134572</v>
      </c>
      <c r="D114" t="s">
        <v>1572</v>
      </c>
      <c r="E114" t="s">
        <v>1573</v>
      </c>
      <c r="F114" t="s">
        <v>1574</v>
      </c>
      <c r="G114" t="s">
        <v>1314</v>
      </c>
      <c r="H114" t="s">
        <v>1576</v>
      </c>
      <c r="I114">
        <v>3.5</v>
      </c>
      <c r="J114" t="s">
        <v>1577</v>
      </c>
      <c r="K114" t="s">
        <v>1578</v>
      </c>
    </row>
    <row r="115" spans="1:11" x14ac:dyDescent="0.35">
      <c r="A115" s="43">
        <v>46240.745567129627</v>
      </c>
      <c r="B115" t="s">
        <v>842</v>
      </c>
      <c r="C115">
        <v>134572</v>
      </c>
      <c r="D115" t="s">
        <v>1572</v>
      </c>
      <c r="E115" t="s">
        <v>1573</v>
      </c>
      <c r="F115" t="s">
        <v>1574</v>
      </c>
      <c r="G115" t="s">
        <v>1311</v>
      </c>
      <c r="H115" t="s">
        <v>1579</v>
      </c>
      <c r="I115" t="s">
        <v>844</v>
      </c>
      <c r="J115" t="s">
        <v>1313</v>
      </c>
    </row>
    <row r="116" spans="1:11" x14ac:dyDescent="0.35">
      <c r="A116" s="43">
        <v>46240.755439814813</v>
      </c>
      <c r="B116" t="s">
        <v>842</v>
      </c>
      <c r="C116">
        <v>134572</v>
      </c>
      <c r="D116" t="s">
        <v>1572</v>
      </c>
      <c r="E116" t="s">
        <v>1580</v>
      </c>
      <c r="F116" t="s">
        <v>1574</v>
      </c>
      <c r="G116" t="s">
        <v>1314</v>
      </c>
      <c r="H116" t="s">
        <v>1576</v>
      </c>
      <c r="I116">
        <v>3.5</v>
      </c>
      <c r="J116" t="s">
        <v>1581</v>
      </c>
      <c r="K116" t="s">
        <v>1582</v>
      </c>
    </row>
    <row r="117" spans="1:11" x14ac:dyDescent="0.35">
      <c r="A117" s="43">
        <v>46240.75675925926</v>
      </c>
      <c r="B117" t="s">
        <v>842</v>
      </c>
      <c r="C117">
        <v>134572</v>
      </c>
      <c r="D117" t="s">
        <v>1572</v>
      </c>
      <c r="E117" t="s">
        <v>1583</v>
      </c>
      <c r="F117" t="s">
        <v>1574</v>
      </c>
      <c r="G117" t="s">
        <v>1318</v>
      </c>
      <c r="H117" t="s">
        <v>1584</v>
      </c>
      <c r="I117" t="s">
        <v>844</v>
      </c>
      <c r="K117" t="s">
        <v>1585</v>
      </c>
    </row>
    <row r="118" spans="1:11" x14ac:dyDescent="0.35">
      <c r="A118" s="43">
        <v>46240.959710648145</v>
      </c>
      <c r="B118" t="s">
        <v>842</v>
      </c>
      <c r="C118">
        <v>138268</v>
      </c>
      <c r="D118" t="s">
        <v>1586</v>
      </c>
      <c r="E118" t="s">
        <v>1587</v>
      </c>
      <c r="F118" t="s">
        <v>1574</v>
      </c>
      <c r="G118" t="s">
        <v>1348</v>
      </c>
      <c r="H118" t="s">
        <v>1588</v>
      </c>
      <c r="I118" t="s">
        <v>1350</v>
      </c>
      <c r="J118" t="s">
        <v>1351</v>
      </c>
    </row>
    <row r="119" spans="1:11" x14ac:dyDescent="0.35">
      <c r="A119" s="43">
        <v>46240.961828703701</v>
      </c>
      <c r="B119" t="s">
        <v>842</v>
      </c>
      <c r="C119">
        <v>138268</v>
      </c>
      <c r="D119" t="s">
        <v>1586</v>
      </c>
      <c r="E119" t="s">
        <v>1587</v>
      </c>
      <c r="F119" t="s">
        <v>1574</v>
      </c>
      <c r="G119" t="s">
        <v>1311</v>
      </c>
      <c r="H119" t="s">
        <v>1589</v>
      </c>
      <c r="I119" t="s">
        <v>844</v>
      </c>
      <c r="J119" t="s">
        <v>1313</v>
      </c>
    </row>
    <row r="120" spans="1:11" x14ac:dyDescent="0.35">
      <c r="A120" s="43">
        <v>46240.9846412037</v>
      </c>
      <c r="B120" t="s">
        <v>842</v>
      </c>
      <c r="C120">
        <v>138268</v>
      </c>
      <c r="D120" t="s">
        <v>1586</v>
      </c>
      <c r="E120" t="s">
        <v>1587</v>
      </c>
      <c r="F120" t="s">
        <v>1590</v>
      </c>
      <c r="G120" t="s">
        <v>1318</v>
      </c>
      <c r="H120" t="s">
        <v>1591</v>
      </c>
      <c r="I120" t="s">
        <v>844</v>
      </c>
      <c r="K120" t="s">
        <v>1592</v>
      </c>
    </row>
    <row r="121" spans="1:11" x14ac:dyDescent="0.35">
      <c r="A121" s="43">
        <v>46241.020208333335</v>
      </c>
      <c r="B121" t="s">
        <v>842</v>
      </c>
      <c r="C121">
        <v>134596</v>
      </c>
      <c r="D121" t="s">
        <v>1593</v>
      </c>
      <c r="E121" t="s">
        <v>1594</v>
      </c>
      <c r="F121" t="s">
        <v>1595</v>
      </c>
      <c r="G121" t="s">
        <v>1348</v>
      </c>
      <c r="H121" t="s">
        <v>1596</v>
      </c>
      <c r="I121" t="s">
        <v>1350</v>
      </c>
      <c r="J121" t="s">
        <v>1351</v>
      </c>
    </row>
    <row r="122" spans="1:11" x14ac:dyDescent="0.35">
      <c r="A122" s="43">
        <v>46241.022638888891</v>
      </c>
      <c r="B122" t="s">
        <v>842</v>
      </c>
      <c r="C122">
        <v>134596</v>
      </c>
      <c r="D122" t="s">
        <v>1593</v>
      </c>
      <c r="E122" t="s">
        <v>1594</v>
      </c>
      <c r="F122" t="s">
        <v>1595</v>
      </c>
      <c r="G122" t="s">
        <v>1311</v>
      </c>
      <c r="H122" t="s">
        <v>1597</v>
      </c>
      <c r="I122" t="s">
        <v>844</v>
      </c>
      <c r="J122" t="s">
        <v>1313</v>
      </c>
    </row>
    <row r="123" spans="1:11" x14ac:dyDescent="0.35">
      <c r="A123" s="43">
        <v>46241.030914351853</v>
      </c>
      <c r="B123" t="s">
        <v>842</v>
      </c>
      <c r="C123">
        <v>134596</v>
      </c>
      <c r="D123" t="s">
        <v>1593</v>
      </c>
      <c r="E123" t="s">
        <v>1594</v>
      </c>
      <c r="F123" t="s">
        <v>1595</v>
      </c>
      <c r="G123" t="s">
        <v>1314</v>
      </c>
      <c r="H123" t="s">
        <v>1598</v>
      </c>
      <c r="I123">
        <v>3.5</v>
      </c>
      <c r="J123" t="s">
        <v>1599</v>
      </c>
      <c r="K123" t="s">
        <v>1600</v>
      </c>
    </row>
    <row r="124" spans="1:11" x14ac:dyDescent="0.35">
      <c r="A124" s="43">
        <v>46241.037418981483</v>
      </c>
      <c r="B124" t="s">
        <v>842</v>
      </c>
      <c r="C124">
        <v>134596</v>
      </c>
      <c r="D124" t="s">
        <v>1593</v>
      </c>
      <c r="E124" t="s">
        <v>1594</v>
      </c>
      <c r="F124" t="s">
        <v>1595</v>
      </c>
      <c r="G124" t="s">
        <v>1318</v>
      </c>
      <c r="H124" t="s">
        <v>1601</v>
      </c>
      <c r="I124" t="s">
        <v>844</v>
      </c>
      <c r="K124" t="s">
        <v>1602</v>
      </c>
    </row>
    <row r="125" spans="1:11" x14ac:dyDescent="0.35">
      <c r="A125" s="43">
        <v>46241.347129629627</v>
      </c>
      <c r="B125" t="s">
        <v>842</v>
      </c>
      <c r="C125">
        <v>134244</v>
      </c>
      <c r="D125" t="s">
        <v>1603</v>
      </c>
      <c r="E125" t="s">
        <v>1604</v>
      </c>
      <c r="G125" t="s">
        <v>1348</v>
      </c>
      <c r="H125" t="s">
        <v>1605</v>
      </c>
      <c r="I125" t="s">
        <v>1350</v>
      </c>
      <c r="J125" t="s">
        <v>1351</v>
      </c>
    </row>
    <row r="126" spans="1:11" x14ac:dyDescent="0.35">
      <c r="A126" s="43">
        <v>46241.348819444444</v>
      </c>
      <c r="B126" t="s">
        <v>842</v>
      </c>
      <c r="C126">
        <v>134244</v>
      </c>
      <c r="D126" t="s">
        <v>1603</v>
      </c>
      <c r="E126" t="s">
        <v>1604</v>
      </c>
      <c r="G126" t="s">
        <v>1311</v>
      </c>
      <c r="H126" t="s">
        <v>1606</v>
      </c>
      <c r="I126" t="s">
        <v>844</v>
      </c>
      <c r="J126" t="s">
        <v>1313</v>
      </c>
    </row>
    <row r="127" spans="1:11" x14ac:dyDescent="0.35">
      <c r="A127" s="43">
        <v>46241.354062500002</v>
      </c>
      <c r="B127" t="s">
        <v>842</v>
      </c>
      <c r="C127">
        <v>134244</v>
      </c>
      <c r="D127" t="s">
        <v>1603</v>
      </c>
      <c r="E127" t="s">
        <v>1607</v>
      </c>
      <c r="F127" t="s">
        <v>1608</v>
      </c>
      <c r="G127" t="s">
        <v>1314</v>
      </c>
      <c r="H127" t="s">
        <v>1609</v>
      </c>
      <c r="I127">
        <v>3.5</v>
      </c>
      <c r="J127" t="s">
        <v>1610</v>
      </c>
      <c r="K127" t="s">
        <v>1611</v>
      </c>
    </row>
    <row r="128" spans="1:11" x14ac:dyDescent="0.35">
      <c r="A128" s="43">
        <v>46241.36619212963</v>
      </c>
      <c r="B128" t="s">
        <v>842</v>
      </c>
      <c r="C128">
        <v>134244</v>
      </c>
      <c r="D128" t="s">
        <v>1603</v>
      </c>
      <c r="E128" t="s">
        <v>1607</v>
      </c>
      <c r="F128" t="s">
        <v>1608</v>
      </c>
      <c r="G128" t="s">
        <v>1318</v>
      </c>
      <c r="H128" t="s">
        <v>1612</v>
      </c>
      <c r="I128" t="s">
        <v>844</v>
      </c>
      <c r="K128" t="s">
        <v>1613</v>
      </c>
    </row>
    <row r="129" spans="1:11" x14ac:dyDescent="0.35">
      <c r="A129" s="43">
        <v>46241.3906712963</v>
      </c>
      <c r="B129" t="s">
        <v>842</v>
      </c>
      <c r="C129">
        <v>134244</v>
      </c>
      <c r="D129" t="s">
        <v>1603</v>
      </c>
      <c r="F129" t="s">
        <v>1614</v>
      </c>
      <c r="G129" t="s">
        <v>1314</v>
      </c>
      <c r="H129" t="s">
        <v>1609</v>
      </c>
      <c r="I129">
        <v>3.5</v>
      </c>
      <c r="J129" t="s">
        <v>1615</v>
      </c>
      <c r="K129" t="s">
        <v>1616</v>
      </c>
    </row>
    <row r="130" spans="1:11" x14ac:dyDescent="0.35">
      <c r="A130" s="43">
        <v>46241.398553240739</v>
      </c>
      <c r="B130" t="s">
        <v>842</v>
      </c>
      <c r="C130">
        <v>138164</v>
      </c>
      <c r="E130" t="s">
        <v>1617</v>
      </c>
      <c r="F130" t="s">
        <v>1618</v>
      </c>
      <c r="G130" t="s">
        <v>1348</v>
      </c>
      <c r="H130" t="s">
        <v>1619</v>
      </c>
      <c r="I130" t="s">
        <v>1350</v>
      </c>
      <c r="J130" t="s">
        <v>1351</v>
      </c>
    </row>
    <row r="131" spans="1:11" x14ac:dyDescent="0.35">
      <c r="A131" s="43">
        <v>46241.401828703703</v>
      </c>
      <c r="B131" t="s">
        <v>842</v>
      </c>
      <c r="C131">
        <v>138164</v>
      </c>
      <c r="D131" t="s">
        <v>1309</v>
      </c>
      <c r="E131" t="s">
        <v>1617</v>
      </c>
      <c r="F131" t="s">
        <v>1618</v>
      </c>
      <c r="G131" t="s">
        <v>1311</v>
      </c>
      <c r="H131" t="s">
        <v>1620</v>
      </c>
      <c r="I131" t="s">
        <v>844</v>
      </c>
      <c r="J131" t="s">
        <v>1313</v>
      </c>
    </row>
    <row r="132" spans="1:11" x14ac:dyDescent="0.35">
      <c r="A132" s="43">
        <v>46241.406701388885</v>
      </c>
      <c r="B132" t="s">
        <v>842</v>
      </c>
      <c r="C132">
        <v>138164</v>
      </c>
      <c r="D132" t="s">
        <v>1621</v>
      </c>
      <c r="E132" t="s">
        <v>1617</v>
      </c>
      <c r="F132" t="s">
        <v>1618</v>
      </c>
      <c r="G132" t="s">
        <v>1314</v>
      </c>
      <c r="H132" t="s">
        <v>1622</v>
      </c>
      <c r="I132">
        <v>3.5</v>
      </c>
      <c r="J132" t="s">
        <v>1623</v>
      </c>
      <c r="K132" t="s">
        <v>1624</v>
      </c>
    </row>
    <row r="133" spans="1:11" x14ac:dyDescent="0.35">
      <c r="A133" s="43">
        <v>46241.413877314815</v>
      </c>
      <c r="B133" t="s">
        <v>842</v>
      </c>
      <c r="C133">
        <v>138164</v>
      </c>
      <c r="D133" t="s">
        <v>1621</v>
      </c>
      <c r="E133" t="s">
        <v>1617</v>
      </c>
      <c r="F133" t="s">
        <v>1618</v>
      </c>
      <c r="G133" t="s">
        <v>1318</v>
      </c>
      <c r="H133" t="s">
        <v>1625</v>
      </c>
      <c r="I133" t="s">
        <v>844</v>
      </c>
      <c r="K133" t="s">
        <v>1626</v>
      </c>
    </row>
    <row r="134" spans="1:11" x14ac:dyDescent="0.35">
      <c r="A134" s="43">
        <v>46241.425879629627</v>
      </c>
      <c r="B134" t="s">
        <v>842</v>
      </c>
      <c r="C134">
        <v>138308</v>
      </c>
      <c r="D134" t="s">
        <v>1627</v>
      </c>
      <c r="E134" t="s">
        <v>1628</v>
      </c>
      <c r="G134" t="s">
        <v>1348</v>
      </c>
      <c r="H134" t="s">
        <v>1629</v>
      </c>
      <c r="I134" t="s">
        <v>1350</v>
      </c>
      <c r="J134" t="s">
        <v>1351</v>
      </c>
    </row>
    <row r="135" spans="1:11" x14ac:dyDescent="0.35">
      <c r="A135" s="43">
        <v>46241.44866898148</v>
      </c>
      <c r="B135" t="s">
        <v>842</v>
      </c>
      <c r="C135">
        <v>138308</v>
      </c>
      <c r="D135" t="s">
        <v>1627</v>
      </c>
      <c r="E135" t="s">
        <v>1628</v>
      </c>
      <c r="G135" t="s">
        <v>1311</v>
      </c>
      <c r="H135" t="s">
        <v>1630</v>
      </c>
      <c r="I135" t="s">
        <v>844</v>
      </c>
      <c r="J135" t="s">
        <v>1313</v>
      </c>
    </row>
    <row r="136" spans="1:11" x14ac:dyDescent="0.35">
      <c r="A136" s="43">
        <v>46241.455868055556</v>
      </c>
      <c r="B136" t="s">
        <v>842</v>
      </c>
      <c r="C136">
        <v>138308</v>
      </c>
      <c r="D136" t="s">
        <v>1627</v>
      </c>
      <c r="E136" t="s">
        <v>1628</v>
      </c>
      <c r="F136" t="s">
        <v>1631</v>
      </c>
      <c r="G136" t="s">
        <v>1314</v>
      </c>
      <c r="H136" t="s">
        <v>1632</v>
      </c>
      <c r="I136">
        <v>3.5</v>
      </c>
      <c r="J136" t="s">
        <v>1633</v>
      </c>
      <c r="K136" t="s">
        <v>1634</v>
      </c>
    </row>
    <row r="137" spans="1:11" x14ac:dyDescent="0.35">
      <c r="A137" s="43">
        <v>46241.474386574075</v>
      </c>
      <c r="B137" t="s">
        <v>842</v>
      </c>
      <c r="C137">
        <v>138308</v>
      </c>
      <c r="D137" t="s">
        <v>1627</v>
      </c>
      <c r="E137" t="s">
        <v>1628</v>
      </c>
      <c r="F137" t="s">
        <v>1635</v>
      </c>
      <c r="G137" t="s">
        <v>1318</v>
      </c>
      <c r="H137" t="s">
        <v>1636</v>
      </c>
      <c r="I137" t="s">
        <v>844</v>
      </c>
      <c r="K137" t="s">
        <v>1637</v>
      </c>
    </row>
    <row r="138" spans="1:11" x14ac:dyDescent="0.35">
      <c r="A138" s="43">
        <v>46241.488819444443</v>
      </c>
      <c r="B138" t="s">
        <v>842</v>
      </c>
      <c r="C138">
        <v>138460</v>
      </c>
      <c r="D138" t="s">
        <v>1638</v>
      </c>
      <c r="E138" t="s">
        <v>1639</v>
      </c>
      <c r="G138" t="s">
        <v>1348</v>
      </c>
      <c r="H138" t="s">
        <v>1640</v>
      </c>
      <c r="I138" t="s">
        <v>1350</v>
      </c>
      <c r="J138" t="s">
        <v>1351</v>
      </c>
    </row>
    <row r="139" spans="1:11" x14ac:dyDescent="0.35">
      <c r="A139" s="43">
        <v>46241.495844907404</v>
      </c>
      <c r="B139" t="s">
        <v>842</v>
      </c>
      <c r="C139">
        <v>138460</v>
      </c>
      <c r="D139" t="s">
        <v>1638</v>
      </c>
      <c r="E139" t="s">
        <v>1641</v>
      </c>
      <c r="F139" t="s">
        <v>1642</v>
      </c>
      <c r="G139" t="s">
        <v>1311</v>
      </c>
      <c r="H139" t="s">
        <v>1643</v>
      </c>
      <c r="I139" t="s">
        <v>844</v>
      </c>
      <c r="J139" t="s">
        <v>1313</v>
      </c>
    </row>
    <row r="140" spans="1:11" x14ac:dyDescent="0.35">
      <c r="A140" s="43">
        <v>46241.504594907405</v>
      </c>
      <c r="B140" t="s">
        <v>842</v>
      </c>
      <c r="C140">
        <v>138460</v>
      </c>
      <c r="D140" t="s">
        <v>1638</v>
      </c>
      <c r="E140" t="s">
        <v>1641</v>
      </c>
      <c r="F140" t="s">
        <v>1642</v>
      </c>
      <c r="G140" t="s">
        <v>1314</v>
      </c>
      <c r="H140" t="s">
        <v>1644</v>
      </c>
      <c r="I140">
        <v>3.5</v>
      </c>
      <c r="J140" t="s">
        <v>1645</v>
      </c>
      <c r="K140" t="s">
        <v>1646</v>
      </c>
    </row>
    <row r="141" spans="1:11" x14ac:dyDescent="0.35">
      <c r="A141" s="43">
        <v>46241.511030092595</v>
      </c>
      <c r="B141" t="s">
        <v>842</v>
      </c>
      <c r="C141">
        <v>138460</v>
      </c>
      <c r="D141" t="s">
        <v>1638</v>
      </c>
      <c r="E141" t="s">
        <v>1641</v>
      </c>
      <c r="F141" t="s">
        <v>1642</v>
      </c>
      <c r="G141" t="s">
        <v>1318</v>
      </c>
      <c r="H141" t="s">
        <v>1647</v>
      </c>
      <c r="I141" t="s">
        <v>844</v>
      </c>
      <c r="K141" t="s">
        <v>1648</v>
      </c>
    </row>
    <row r="142" spans="1:11" x14ac:dyDescent="0.35">
      <c r="A142" s="43">
        <v>46241.519467592596</v>
      </c>
      <c r="B142" t="s">
        <v>842</v>
      </c>
      <c r="C142">
        <v>137780</v>
      </c>
      <c r="D142" t="s">
        <v>1649</v>
      </c>
      <c r="E142" t="s">
        <v>1650</v>
      </c>
      <c r="G142" t="s">
        <v>1348</v>
      </c>
      <c r="H142" t="s">
        <v>1651</v>
      </c>
      <c r="I142" t="s">
        <v>1350</v>
      </c>
      <c r="J142" t="s">
        <v>1351</v>
      </c>
    </row>
    <row r="143" spans="1:11" x14ac:dyDescent="0.35">
      <c r="A143" s="43">
        <v>46241.521053240744</v>
      </c>
      <c r="B143" t="s">
        <v>842</v>
      </c>
      <c r="C143">
        <v>137780</v>
      </c>
      <c r="D143" t="s">
        <v>1649</v>
      </c>
      <c r="E143" t="s">
        <v>1650</v>
      </c>
      <c r="G143" t="s">
        <v>1311</v>
      </c>
      <c r="H143" t="s">
        <v>1652</v>
      </c>
      <c r="I143" t="s">
        <v>844</v>
      </c>
      <c r="J143" t="s">
        <v>1313</v>
      </c>
    </row>
    <row r="144" spans="1:11" x14ac:dyDescent="0.35">
      <c r="A144" s="43">
        <v>46241.527071759258</v>
      </c>
      <c r="B144" t="s">
        <v>842</v>
      </c>
      <c r="C144">
        <v>137780</v>
      </c>
      <c r="D144" t="s">
        <v>1649</v>
      </c>
      <c r="E144" t="s">
        <v>1650</v>
      </c>
      <c r="F144" t="s">
        <v>1653</v>
      </c>
      <c r="G144" t="s">
        <v>1314</v>
      </c>
      <c r="H144" t="s">
        <v>1654</v>
      </c>
      <c r="I144">
        <v>3.5</v>
      </c>
      <c r="J144" t="s">
        <v>1655</v>
      </c>
      <c r="K144" t="s">
        <v>1656</v>
      </c>
    </row>
    <row r="145" spans="1:11" x14ac:dyDescent="0.35">
      <c r="A145" s="43">
        <v>46241.550902777781</v>
      </c>
      <c r="B145" t="s">
        <v>842</v>
      </c>
      <c r="C145">
        <v>137780</v>
      </c>
      <c r="D145" t="s">
        <v>1649</v>
      </c>
      <c r="E145" t="s">
        <v>1650</v>
      </c>
      <c r="F145" t="s">
        <v>1653</v>
      </c>
      <c r="G145" t="s">
        <v>1318</v>
      </c>
      <c r="H145" t="s">
        <v>1657</v>
      </c>
      <c r="I145" t="s">
        <v>844</v>
      </c>
      <c r="K145" t="s">
        <v>1658</v>
      </c>
    </row>
    <row r="146" spans="1:11" x14ac:dyDescent="0.35">
      <c r="A146" s="43">
        <v>46241.618414351855</v>
      </c>
      <c r="B146" t="s">
        <v>842</v>
      </c>
      <c r="C146">
        <v>137237</v>
      </c>
      <c r="D146" t="s">
        <v>1659</v>
      </c>
      <c r="E146" t="s">
        <v>1660</v>
      </c>
      <c r="G146" t="s">
        <v>1311</v>
      </c>
      <c r="H146" t="s">
        <v>1661</v>
      </c>
      <c r="I146" t="s">
        <v>844</v>
      </c>
      <c r="J146" t="s">
        <v>1313</v>
      </c>
    </row>
    <row r="147" spans="1:11" x14ac:dyDescent="0.35">
      <c r="A147" s="43">
        <v>46243.359479166669</v>
      </c>
      <c r="B147" t="s">
        <v>842</v>
      </c>
      <c r="C147" t="s">
        <v>941</v>
      </c>
      <c r="D147" t="s">
        <v>1659</v>
      </c>
      <c r="E147" t="s">
        <v>1660</v>
      </c>
      <c r="G147" t="s">
        <v>1314</v>
      </c>
      <c r="H147" t="s">
        <v>1315</v>
      </c>
      <c r="I147">
        <v>3.5</v>
      </c>
      <c r="J147" t="s">
        <v>1662</v>
      </c>
      <c r="K147" t="s">
        <v>1663</v>
      </c>
    </row>
    <row r="148" spans="1:11" x14ac:dyDescent="0.35">
      <c r="A148" s="43">
        <v>46244.472557870373</v>
      </c>
      <c r="B148" t="s">
        <v>842</v>
      </c>
      <c r="C148">
        <v>135968</v>
      </c>
      <c r="D148" t="s">
        <v>1664</v>
      </c>
      <c r="E148" t="s">
        <v>1665</v>
      </c>
      <c r="G148" t="s">
        <v>1348</v>
      </c>
      <c r="H148" t="s">
        <v>1666</v>
      </c>
      <c r="I148" t="s">
        <v>1350</v>
      </c>
      <c r="J148" t="s">
        <v>1351</v>
      </c>
    </row>
    <row r="149" spans="1:11" x14ac:dyDescent="0.35">
      <c r="A149" s="43">
        <v>46244.473229166666</v>
      </c>
      <c r="B149" t="s">
        <v>842</v>
      </c>
      <c r="C149">
        <v>135968</v>
      </c>
      <c r="D149" t="s">
        <v>1664</v>
      </c>
      <c r="E149" t="s">
        <v>1665</v>
      </c>
      <c r="G149" t="s">
        <v>1311</v>
      </c>
      <c r="H149" t="s">
        <v>1667</v>
      </c>
      <c r="I149" t="s">
        <v>844</v>
      </c>
      <c r="J149" t="s">
        <v>1313</v>
      </c>
    </row>
    <row r="150" spans="1:11" x14ac:dyDescent="0.35">
      <c r="A150" s="43">
        <v>46244.479502314818</v>
      </c>
      <c r="B150" t="s">
        <v>842</v>
      </c>
      <c r="C150">
        <v>135968</v>
      </c>
      <c r="D150" t="s">
        <v>1664</v>
      </c>
      <c r="E150" t="s">
        <v>1665</v>
      </c>
      <c r="F150" t="s">
        <v>1668</v>
      </c>
      <c r="G150" t="s">
        <v>1314</v>
      </c>
      <c r="H150" t="s">
        <v>1669</v>
      </c>
      <c r="I150">
        <v>3.5</v>
      </c>
      <c r="J150" t="s">
        <v>1670</v>
      </c>
      <c r="K150" t="s">
        <v>1671</v>
      </c>
    </row>
    <row r="151" spans="1:11" x14ac:dyDescent="0.35">
      <c r="A151" s="43">
        <v>46244.486481481479</v>
      </c>
      <c r="B151" t="s">
        <v>842</v>
      </c>
      <c r="C151">
        <v>135968</v>
      </c>
      <c r="D151" t="s">
        <v>1664</v>
      </c>
      <c r="E151" t="s">
        <v>1665</v>
      </c>
      <c r="F151" t="s">
        <v>1668</v>
      </c>
      <c r="G151" t="s">
        <v>1314</v>
      </c>
      <c r="H151" t="s">
        <v>1669</v>
      </c>
      <c r="I151">
        <v>3.5</v>
      </c>
      <c r="J151" t="s">
        <v>1672</v>
      </c>
      <c r="K151" t="s">
        <v>1673</v>
      </c>
    </row>
    <row r="152" spans="1:11" x14ac:dyDescent="0.35">
      <c r="A152" s="43">
        <v>46244.496724537035</v>
      </c>
      <c r="B152" t="s">
        <v>842</v>
      </c>
      <c r="C152">
        <v>135968</v>
      </c>
      <c r="D152" t="s">
        <v>1664</v>
      </c>
      <c r="E152" t="s">
        <v>1665</v>
      </c>
      <c r="F152" t="s">
        <v>1668</v>
      </c>
      <c r="G152" t="s">
        <v>1493</v>
      </c>
      <c r="H152" t="s">
        <v>1674</v>
      </c>
      <c r="I152" t="s">
        <v>844</v>
      </c>
      <c r="K152" t="s">
        <v>1675</v>
      </c>
    </row>
    <row r="153" spans="1:11" x14ac:dyDescent="0.35">
      <c r="A153" s="43">
        <v>46244.529537037037</v>
      </c>
      <c r="B153" t="s">
        <v>842</v>
      </c>
      <c r="C153">
        <v>135952</v>
      </c>
      <c r="D153" t="s">
        <v>1676</v>
      </c>
      <c r="E153" t="s">
        <v>1677</v>
      </c>
      <c r="F153" t="s">
        <v>1678</v>
      </c>
      <c r="G153" t="s">
        <v>1348</v>
      </c>
      <c r="H153" t="s">
        <v>1679</v>
      </c>
      <c r="I153" t="s">
        <v>1350</v>
      </c>
      <c r="J153" t="s">
        <v>1351</v>
      </c>
    </row>
    <row r="154" spans="1:11" x14ac:dyDescent="0.35">
      <c r="A154" s="43">
        <v>46244.530034722222</v>
      </c>
      <c r="B154" t="s">
        <v>842</v>
      </c>
      <c r="C154">
        <v>135952</v>
      </c>
      <c r="D154" t="s">
        <v>1676</v>
      </c>
      <c r="E154" t="s">
        <v>1677</v>
      </c>
      <c r="F154" t="s">
        <v>1678</v>
      </c>
      <c r="G154" t="s">
        <v>1348</v>
      </c>
      <c r="H154" t="s">
        <v>1679</v>
      </c>
      <c r="I154" t="s">
        <v>1350</v>
      </c>
      <c r="J154" t="s">
        <v>1351</v>
      </c>
    </row>
    <row r="155" spans="1:11" x14ac:dyDescent="0.35">
      <c r="A155" s="43">
        <v>46244.532418981478</v>
      </c>
      <c r="B155" t="s">
        <v>842</v>
      </c>
      <c r="C155">
        <v>135952</v>
      </c>
      <c r="D155" t="s">
        <v>1676</v>
      </c>
      <c r="E155" t="s">
        <v>1677</v>
      </c>
      <c r="F155" t="s">
        <v>1678</v>
      </c>
      <c r="G155" t="s">
        <v>1311</v>
      </c>
      <c r="H155" t="s">
        <v>1680</v>
      </c>
      <c r="I155" t="s">
        <v>844</v>
      </c>
      <c r="J155" t="s">
        <v>1313</v>
      </c>
    </row>
    <row r="156" spans="1:11" x14ac:dyDescent="0.35">
      <c r="A156" s="43">
        <v>46244.535127314812</v>
      </c>
      <c r="B156" t="s">
        <v>842</v>
      </c>
      <c r="C156">
        <v>135952</v>
      </c>
      <c r="D156" t="s">
        <v>1676</v>
      </c>
      <c r="E156" t="s">
        <v>1677</v>
      </c>
      <c r="F156" t="s">
        <v>1678</v>
      </c>
      <c r="G156" t="s">
        <v>1314</v>
      </c>
      <c r="H156" t="s">
        <v>1681</v>
      </c>
      <c r="I156">
        <v>3.5</v>
      </c>
      <c r="J156" t="s">
        <v>1682</v>
      </c>
      <c r="K156" t="s">
        <v>1683</v>
      </c>
    </row>
    <row r="157" spans="1:11" x14ac:dyDescent="0.35">
      <c r="A157" s="43">
        <v>46244.540324074071</v>
      </c>
      <c r="B157" t="s">
        <v>842</v>
      </c>
      <c r="C157">
        <v>135952</v>
      </c>
      <c r="D157" t="s">
        <v>1676</v>
      </c>
      <c r="E157" t="s">
        <v>1678</v>
      </c>
      <c r="G157" t="s">
        <v>1314</v>
      </c>
      <c r="H157" t="s">
        <v>1681</v>
      </c>
      <c r="I157">
        <v>3.5</v>
      </c>
      <c r="J157" t="s">
        <v>1684</v>
      </c>
      <c r="K157" t="s">
        <v>1685</v>
      </c>
    </row>
    <row r="158" spans="1:11" x14ac:dyDescent="0.35">
      <c r="A158" s="43">
        <v>46244.543368055558</v>
      </c>
      <c r="B158" t="s">
        <v>842</v>
      </c>
      <c r="C158">
        <v>135952</v>
      </c>
      <c r="D158" t="s">
        <v>1676</v>
      </c>
      <c r="E158" t="s">
        <v>1678</v>
      </c>
      <c r="G158" t="s">
        <v>1493</v>
      </c>
      <c r="H158" t="s">
        <v>1686</v>
      </c>
      <c r="I158" t="s">
        <v>844</v>
      </c>
      <c r="K158" t="s">
        <v>1687</v>
      </c>
    </row>
    <row r="159" spans="1:11" x14ac:dyDescent="0.35">
      <c r="A159" s="43">
        <v>46244.587731481479</v>
      </c>
      <c r="B159" t="s">
        <v>842</v>
      </c>
      <c r="C159">
        <v>135944</v>
      </c>
      <c r="D159" t="s">
        <v>1688</v>
      </c>
      <c r="E159" t="s">
        <v>1689</v>
      </c>
      <c r="G159" t="s">
        <v>1348</v>
      </c>
      <c r="H159" t="s">
        <v>1690</v>
      </c>
      <c r="I159" t="s">
        <v>1350</v>
      </c>
      <c r="J159" t="s">
        <v>1351</v>
      </c>
    </row>
    <row r="160" spans="1:11" x14ac:dyDescent="0.35">
      <c r="A160" s="43">
        <v>46244.58965277778</v>
      </c>
      <c r="B160" t="s">
        <v>842</v>
      </c>
      <c r="C160">
        <v>135944</v>
      </c>
      <c r="D160" t="s">
        <v>1688</v>
      </c>
      <c r="E160" t="s">
        <v>1689</v>
      </c>
      <c r="G160" t="s">
        <v>1311</v>
      </c>
      <c r="H160" t="s">
        <v>1691</v>
      </c>
      <c r="I160" t="s">
        <v>844</v>
      </c>
      <c r="J160" t="s">
        <v>1313</v>
      </c>
    </row>
    <row r="161" spans="1:11" x14ac:dyDescent="0.35">
      <c r="A161" s="43">
        <v>46244.59679398148</v>
      </c>
      <c r="B161" t="s">
        <v>842</v>
      </c>
      <c r="C161">
        <v>135944</v>
      </c>
      <c r="D161" t="s">
        <v>1688</v>
      </c>
      <c r="E161" t="s">
        <v>1689</v>
      </c>
      <c r="F161" t="s">
        <v>1692</v>
      </c>
      <c r="G161" t="s">
        <v>1314</v>
      </c>
      <c r="H161" t="s">
        <v>1693</v>
      </c>
      <c r="I161">
        <v>3.5</v>
      </c>
      <c r="J161" t="s">
        <v>1694</v>
      </c>
      <c r="K161" t="s">
        <v>1695</v>
      </c>
    </row>
    <row r="162" spans="1:11" x14ac:dyDescent="0.35">
      <c r="A162" s="43">
        <v>46244.605706018519</v>
      </c>
      <c r="B162" t="s">
        <v>842</v>
      </c>
      <c r="C162">
        <v>135944</v>
      </c>
      <c r="D162" t="s">
        <v>1688</v>
      </c>
      <c r="E162" t="s">
        <v>1689</v>
      </c>
      <c r="F162" t="s">
        <v>1692</v>
      </c>
      <c r="G162" t="s">
        <v>1318</v>
      </c>
      <c r="H162" t="s">
        <v>1696</v>
      </c>
      <c r="I162" t="s">
        <v>844</v>
      </c>
      <c r="K162" t="s">
        <v>1697</v>
      </c>
    </row>
    <row r="163" spans="1:11" x14ac:dyDescent="0.35">
      <c r="A163" s="43">
        <v>46244.659236111111</v>
      </c>
      <c r="B163" t="s">
        <v>842</v>
      </c>
      <c r="C163">
        <v>135920</v>
      </c>
      <c r="D163" t="s">
        <v>1698</v>
      </c>
      <c r="E163" t="s">
        <v>1699</v>
      </c>
      <c r="G163" t="s">
        <v>1348</v>
      </c>
      <c r="H163" t="s">
        <v>1700</v>
      </c>
      <c r="I163" t="s">
        <v>1350</v>
      </c>
      <c r="J163" t="s">
        <v>1351</v>
      </c>
    </row>
    <row r="164" spans="1:11" x14ac:dyDescent="0.35">
      <c r="A164" s="43">
        <v>46244.660196759258</v>
      </c>
      <c r="B164" t="s">
        <v>842</v>
      </c>
      <c r="C164">
        <v>135920</v>
      </c>
      <c r="D164" t="s">
        <v>1698</v>
      </c>
      <c r="E164" t="s">
        <v>1699</v>
      </c>
      <c r="G164" t="s">
        <v>1311</v>
      </c>
      <c r="H164" t="s">
        <v>1701</v>
      </c>
      <c r="I164" t="s">
        <v>844</v>
      </c>
      <c r="J164" t="s">
        <v>1313</v>
      </c>
    </row>
    <row r="165" spans="1:11" x14ac:dyDescent="0.35">
      <c r="A165" s="43">
        <v>46244.670347222222</v>
      </c>
      <c r="B165" t="s">
        <v>842</v>
      </c>
      <c r="C165">
        <v>135920</v>
      </c>
      <c r="D165" t="s">
        <v>1698</v>
      </c>
      <c r="E165" t="s">
        <v>1699</v>
      </c>
      <c r="F165" t="s">
        <v>1702</v>
      </c>
      <c r="G165" t="s">
        <v>1314</v>
      </c>
      <c r="H165" t="s">
        <v>1703</v>
      </c>
      <c r="I165">
        <v>3.5</v>
      </c>
      <c r="J165" t="s">
        <v>1704</v>
      </c>
      <c r="K165" t="s">
        <v>1705</v>
      </c>
    </row>
    <row r="166" spans="1:11" x14ac:dyDescent="0.35">
      <c r="A166" s="43">
        <v>46244.698067129626</v>
      </c>
      <c r="B166" t="s">
        <v>842</v>
      </c>
      <c r="C166">
        <v>135920</v>
      </c>
      <c r="D166" t="s">
        <v>1698</v>
      </c>
      <c r="E166" t="s">
        <v>1699</v>
      </c>
      <c r="F166" t="s">
        <v>1702</v>
      </c>
      <c r="G166" t="s">
        <v>1318</v>
      </c>
      <c r="H166" t="s">
        <v>1706</v>
      </c>
      <c r="I166" t="s">
        <v>844</v>
      </c>
      <c r="K166" t="s">
        <v>1707</v>
      </c>
    </row>
    <row r="167" spans="1:11" x14ac:dyDescent="0.35">
      <c r="A167" s="43">
        <v>46244.719224537039</v>
      </c>
      <c r="B167" t="s">
        <v>842</v>
      </c>
      <c r="C167">
        <v>135864</v>
      </c>
      <c r="D167" t="s">
        <v>1708</v>
      </c>
      <c r="E167" t="s">
        <v>1709</v>
      </c>
      <c r="F167" t="s">
        <v>1710</v>
      </c>
      <c r="G167" t="s">
        <v>1348</v>
      </c>
      <c r="H167" t="s">
        <v>1711</v>
      </c>
      <c r="I167" t="s">
        <v>1350</v>
      </c>
      <c r="J167" t="s">
        <v>1351</v>
      </c>
    </row>
    <row r="168" spans="1:11" x14ac:dyDescent="0.35">
      <c r="A168" s="43">
        <v>46244.721099537041</v>
      </c>
      <c r="B168" t="s">
        <v>842</v>
      </c>
      <c r="C168">
        <v>135864</v>
      </c>
      <c r="D168" t="s">
        <v>1708</v>
      </c>
      <c r="E168" t="s">
        <v>1709</v>
      </c>
      <c r="F168" t="s">
        <v>1710</v>
      </c>
      <c r="G168" t="s">
        <v>1311</v>
      </c>
      <c r="H168" t="s">
        <v>1712</v>
      </c>
      <c r="I168" t="s">
        <v>844</v>
      </c>
      <c r="J168" t="s">
        <v>1313</v>
      </c>
    </row>
    <row r="169" spans="1:11" x14ac:dyDescent="0.35">
      <c r="A169" s="43">
        <v>46244.727361111109</v>
      </c>
      <c r="B169" t="s">
        <v>842</v>
      </c>
      <c r="C169">
        <v>135864</v>
      </c>
      <c r="D169" t="s">
        <v>1708</v>
      </c>
      <c r="E169" t="s">
        <v>1709</v>
      </c>
      <c r="F169" t="s">
        <v>1710</v>
      </c>
      <c r="G169" t="s">
        <v>1314</v>
      </c>
      <c r="H169" t="s">
        <v>1713</v>
      </c>
      <c r="I169">
        <v>3.5</v>
      </c>
      <c r="J169" t="s">
        <v>1714</v>
      </c>
      <c r="K169" t="s">
        <v>1715</v>
      </c>
    </row>
    <row r="170" spans="1:11" x14ac:dyDescent="0.35">
      <c r="A170" s="43">
        <v>46244.737303240741</v>
      </c>
      <c r="B170" t="s">
        <v>842</v>
      </c>
      <c r="C170">
        <v>135864</v>
      </c>
      <c r="D170" t="s">
        <v>1708</v>
      </c>
      <c r="E170" t="s">
        <v>1709</v>
      </c>
      <c r="F170" t="s">
        <v>1710</v>
      </c>
      <c r="G170" t="s">
        <v>1493</v>
      </c>
      <c r="H170" t="s">
        <v>1716</v>
      </c>
      <c r="I170" t="s">
        <v>844</v>
      </c>
      <c r="K170" t="s">
        <v>1717</v>
      </c>
    </row>
    <row r="171" spans="1:11" x14ac:dyDescent="0.35">
      <c r="A171" s="43">
        <v>46244.770740740743</v>
      </c>
      <c r="B171" t="s">
        <v>842</v>
      </c>
      <c r="C171">
        <v>135800</v>
      </c>
      <c r="D171" t="s">
        <v>1718</v>
      </c>
      <c r="E171" t="s">
        <v>1719</v>
      </c>
      <c r="G171" t="s">
        <v>1348</v>
      </c>
      <c r="H171" t="s">
        <v>1720</v>
      </c>
      <c r="I171" t="s">
        <v>1350</v>
      </c>
      <c r="J171" t="s">
        <v>1351</v>
      </c>
    </row>
    <row r="172" spans="1:11" x14ac:dyDescent="0.35">
      <c r="A172" s="43">
        <v>46244.771921296298</v>
      </c>
      <c r="B172" t="s">
        <v>842</v>
      </c>
      <c r="C172">
        <v>135800</v>
      </c>
      <c r="D172" t="s">
        <v>1718</v>
      </c>
      <c r="E172" t="s">
        <v>1719</v>
      </c>
      <c r="G172" t="s">
        <v>1311</v>
      </c>
      <c r="H172" t="s">
        <v>1721</v>
      </c>
      <c r="I172" t="s">
        <v>844</v>
      </c>
      <c r="J172" t="s">
        <v>1313</v>
      </c>
    </row>
    <row r="173" spans="1:11" x14ac:dyDescent="0.35">
      <c r="A173" s="43">
        <v>46244.797013888892</v>
      </c>
      <c r="B173" t="s">
        <v>842</v>
      </c>
      <c r="C173">
        <v>135800</v>
      </c>
      <c r="D173" t="s">
        <v>1718</v>
      </c>
      <c r="E173" t="s">
        <v>1719</v>
      </c>
      <c r="F173" t="s">
        <v>1722</v>
      </c>
      <c r="G173" t="s">
        <v>1314</v>
      </c>
      <c r="H173" t="s">
        <v>1723</v>
      </c>
      <c r="I173">
        <v>3.5</v>
      </c>
      <c r="J173" t="s">
        <v>1724</v>
      </c>
      <c r="K173" t="s">
        <v>1725</v>
      </c>
    </row>
    <row r="174" spans="1:11" x14ac:dyDescent="0.35">
      <c r="A174" s="43">
        <v>46244.816631944443</v>
      </c>
      <c r="B174" t="s">
        <v>842</v>
      </c>
      <c r="C174">
        <v>135800</v>
      </c>
      <c r="D174" t="s">
        <v>1718</v>
      </c>
      <c r="E174" t="s">
        <v>1719</v>
      </c>
      <c r="F174" t="s">
        <v>1722</v>
      </c>
      <c r="G174" t="s">
        <v>1318</v>
      </c>
      <c r="H174" t="s">
        <v>1726</v>
      </c>
      <c r="I174" t="s">
        <v>844</v>
      </c>
      <c r="K174" t="s">
        <v>1727</v>
      </c>
    </row>
    <row r="175" spans="1:11" x14ac:dyDescent="0.35">
      <c r="A175" s="43">
        <v>46244.897615740738</v>
      </c>
      <c r="B175" t="s">
        <v>842</v>
      </c>
      <c r="C175">
        <v>137043</v>
      </c>
      <c r="D175" t="s">
        <v>1728</v>
      </c>
      <c r="E175" t="s">
        <v>1729</v>
      </c>
      <c r="G175" t="s">
        <v>1348</v>
      </c>
      <c r="H175" t="s">
        <v>1730</v>
      </c>
      <c r="I175" t="s">
        <v>1350</v>
      </c>
      <c r="J175" t="s">
        <v>1351</v>
      </c>
    </row>
    <row r="176" spans="1:11" x14ac:dyDescent="0.35">
      <c r="A176" s="43">
        <v>46244.901828703703</v>
      </c>
      <c r="B176" t="s">
        <v>842</v>
      </c>
      <c r="C176">
        <v>137043</v>
      </c>
      <c r="D176" t="s">
        <v>1728</v>
      </c>
      <c r="E176" t="s">
        <v>1729</v>
      </c>
      <c r="G176" t="s">
        <v>1311</v>
      </c>
      <c r="H176" t="s">
        <v>1731</v>
      </c>
      <c r="I176" t="s">
        <v>844</v>
      </c>
      <c r="J176" t="s">
        <v>1313</v>
      </c>
    </row>
    <row r="177" spans="1:11" x14ac:dyDescent="0.35">
      <c r="A177" s="43">
        <v>46244.911840277775</v>
      </c>
      <c r="B177" t="s">
        <v>842</v>
      </c>
      <c r="C177">
        <v>137043</v>
      </c>
      <c r="D177" t="s">
        <v>1728</v>
      </c>
      <c r="E177" t="s">
        <v>1729</v>
      </c>
      <c r="F177" t="s">
        <v>1732</v>
      </c>
      <c r="G177" t="s">
        <v>1314</v>
      </c>
      <c r="H177" t="s">
        <v>1733</v>
      </c>
      <c r="I177">
        <v>3.5</v>
      </c>
      <c r="J177" t="s">
        <v>1734</v>
      </c>
      <c r="K177" t="s">
        <v>1735</v>
      </c>
    </row>
    <row r="178" spans="1:11" x14ac:dyDescent="0.35">
      <c r="A178" s="43">
        <v>46244.923321759263</v>
      </c>
      <c r="B178" t="s">
        <v>842</v>
      </c>
      <c r="C178">
        <v>137043</v>
      </c>
      <c r="D178" t="s">
        <v>1728</v>
      </c>
      <c r="E178" t="s">
        <v>1729</v>
      </c>
      <c r="F178" t="s">
        <v>1732</v>
      </c>
      <c r="G178" t="s">
        <v>1493</v>
      </c>
      <c r="H178" t="s">
        <v>1736</v>
      </c>
      <c r="I178" t="s">
        <v>844</v>
      </c>
      <c r="K178" t="s">
        <v>1737</v>
      </c>
    </row>
    <row r="179" spans="1:11" x14ac:dyDescent="0.35">
      <c r="A179" s="43">
        <v>46245.316747685189</v>
      </c>
      <c r="B179" t="s">
        <v>842</v>
      </c>
      <c r="C179">
        <v>135856</v>
      </c>
      <c r="D179" t="s">
        <v>1738</v>
      </c>
      <c r="E179" t="s">
        <v>1739</v>
      </c>
      <c r="G179" t="s">
        <v>1348</v>
      </c>
      <c r="H179" t="s">
        <v>1740</v>
      </c>
      <c r="I179" t="s">
        <v>1350</v>
      </c>
      <c r="J179" t="s">
        <v>1741</v>
      </c>
    </row>
    <row r="180" spans="1:11" x14ac:dyDescent="0.35">
      <c r="A180" s="43">
        <v>46245.32234953704</v>
      </c>
      <c r="B180" t="s">
        <v>842</v>
      </c>
      <c r="C180">
        <v>135856</v>
      </c>
      <c r="D180" t="s">
        <v>1738</v>
      </c>
      <c r="E180" t="s">
        <v>1739</v>
      </c>
      <c r="G180" t="s">
        <v>1311</v>
      </c>
      <c r="H180" t="s">
        <v>1742</v>
      </c>
      <c r="I180" t="s">
        <v>844</v>
      </c>
      <c r="J180" t="s">
        <v>1313</v>
      </c>
    </row>
    <row r="181" spans="1:11" x14ac:dyDescent="0.35">
      <c r="A181" s="43">
        <v>46245.346712962964</v>
      </c>
      <c r="B181" t="s">
        <v>842</v>
      </c>
      <c r="C181">
        <v>135856</v>
      </c>
      <c r="D181" t="s">
        <v>1738</v>
      </c>
      <c r="E181" t="s">
        <v>1739</v>
      </c>
      <c r="F181" t="s">
        <v>1743</v>
      </c>
      <c r="G181" t="s">
        <v>1314</v>
      </c>
      <c r="H181" t="s">
        <v>1744</v>
      </c>
      <c r="I181">
        <v>3.5</v>
      </c>
      <c r="J181" t="s">
        <v>1745</v>
      </c>
      <c r="K181" t="s">
        <v>1746</v>
      </c>
    </row>
    <row r="182" spans="1:11" x14ac:dyDescent="0.35">
      <c r="A182" s="43">
        <v>46245.373437499999</v>
      </c>
      <c r="B182" t="s">
        <v>842</v>
      </c>
      <c r="C182">
        <v>135856</v>
      </c>
      <c r="D182" t="s">
        <v>1738</v>
      </c>
      <c r="E182" t="s">
        <v>1739</v>
      </c>
      <c r="F182" t="s">
        <v>1743</v>
      </c>
      <c r="G182" t="s">
        <v>1493</v>
      </c>
      <c r="H182" t="s">
        <v>1747</v>
      </c>
      <c r="I182" t="s">
        <v>844</v>
      </c>
      <c r="K182" t="s">
        <v>1748</v>
      </c>
    </row>
    <row r="183" spans="1:11" x14ac:dyDescent="0.35">
      <c r="A183" s="43">
        <v>46245.405497685184</v>
      </c>
      <c r="B183" t="s">
        <v>842</v>
      </c>
      <c r="C183">
        <v>135976</v>
      </c>
      <c r="D183" t="s">
        <v>1749</v>
      </c>
      <c r="E183" t="s">
        <v>1750</v>
      </c>
      <c r="G183" t="s">
        <v>1348</v>
      </c>
      <c r="H183" t="s">
        <v>1751</v>
      </c>
      <c r="I183" t="s">
        <v>1350</v>
      </c>
      <c r="J183" t="s">
        <v>1741</v>
      </c>
    </row>
    <row r="184" spans="1:11" x14ac:dyDescent="0.35">
      <c r="A184" s="43">
        <v>46245.406689814816</v>
      </c>
      <c r="B184" t="s">
        <v>842</v>
      </c>
      <c r="C184">
        <v>135976</v>
      </c>
      <c r="D184" t="s">
        <v>1749</v>
      </c>
      <c r="E184" t="s">
        <v>1750</v>
      </c>
      <c r="G184" t="s">
        <v>1311</v>
      </c>
      <c r="H184" t="s">
        <v>1752</v>
      </c>
      <c r="I184" t="s">
        <v>844</v>
      </c>
      <c r="J184" t="s">
        <v>1313</v>
      </c>
    </row>
    <row r="185" spans="1:11" x14ac:dyDescent="0.35">
      <c r="A185" s="43">
        <v>46245.483148148145</v>
      </c>
      <c r="B185" t="s">
        <v>842</v>
      </c>
      <c r="C185">
        <v>135976</v>
      </c>
      <c r="D185" t="s">
        <v>1749</v>
      </c>
      <c r="E185" t="s">
        <v>1750</v>
      </c>
      <c r="F185" t="s">
        <v>1753</v>
      </c>
      <c r="G185" t="s">
        <v>1314</v>
      </c>
      <c r="H185" t="s">
        <v>1754</v>
      </c>
      <c r="I185">
        <v>3.5</v>
      </c>
      <c r="J185" t="s">
        <v>1755</v>
      </c>
      <c r="K185" t="s">
        <v>1756</v>
      </c>
    </row>
    <row r="186" spans="1:11" x14ac:dyDescent="0.35">
      <c r="A186" s="43">
        <v>46245.488182870373</v>
      </c>
      <c r="B186" t="s">
        <v>842</v>
      </c>
      <c r="C186">
        <v>135976</v>
      </c>
      <c r="D186" t="s">
        <v>1749</v>
      </c>
      <c r="E186" t="s">
        <v>1750</v>
      </c>
      <c r="F186" t="s">
        <v>1753</v>
      </c>
      <c r="G186" t="s">
        <v>1493</v>
      </c>
      <c r="H186" t="s">
        <v>1757</v>
      </c>
      <c r="I186" t="s">
        <v>844</v>
      </c>
      <c r="K186" t="s">
        <v>1758</v>
      </c>
    </row>
    <row r="187" spans="1:11" x14ac:dyDescent="0.35">
      <c r="A187" s="43">
        <v>46245.587766203702</v>
      </c>
      <c r="B187" t="s">
        <v>842</v>
      </c>
      <c r="C187">
        <v>134828</v>
      </c>
      <c r="D187" t="s">
        <v>1759</v>
      </c>
      <c r="E187" t="s">
        <v>1760</v>
      </c>
      <c r="G187" t="s">
        <v>1348</v>
      </c>
      <c r="H187" t="s">
        <v>1761</v>
      </c>
      <c r="I187" t="s">
        <v>1350</v>
      </c>
      <c r="J187" t="s">
        <v>1741</v>
      </c>
    </row>
    <row r="188" spans="1:11" x14ac:dyDescent="0.35">
      <c r="A188" s="43">
        <v>46245.589907407404</v>
      </c>
      <c r="B188" t="s">
        <v>842</v>
      </c>
      <c r="C188">
        <v>134828</v>
      </c>
      <c r="D188" t="s">
        <v>1759</v>
      </c>
      <c r="E188" t="s">
        <v>1760</v>
      </c>
      <c r="G188" t="s">
        <v>1311</v>
      </c>
      <c r="H188" t="s">
        <v>1762</v>
      </c>
      <c r="I188" t="s">
        <v>844</v>
      </c>
      <c r="J188" t="s">
        <v>1313</v>
      </c>
    </row>
    <row r="189" spans="1:11" x14ac:dyDescent="0.35">
      <c r="A189" s="43">
        <v>46245.610162037039</v>
      </c>
      <c r="B189" t="s">
        <v>842</v>
      </c>
      <c r="C189">
        <v>134828</v>
      </c>
      <c r="D189" t="s">
        <v>1759</v>
      </c>
      <c r="E189" t="s">
        <v>1760</v>
      </c>
      <c r="G189" t="s">
        <v>1314</v>
      </c>
      <c r="H189" t="s">
        <v>1763</v>
      </c>
      <c r="I189">
        <v>3.5</v>
      </c>
      <c r="J189" t="s">
        <v>1764</v>
      </c>
      <c r="K189" t="s">
        <v>1765</v>
      </c>
    </row>
    <row r="190" spans="1:11" x14ac:dyDescent="0.35">
      <c r="A190" s="43">
        <v>46245.618993055556</v>
      </c>
      <c r="B190" t="s">
        <v>842</v>
      </c>
      <c r="C190">
        <v>134828</v>
      </c>
      <c r="D190" t="s">
        <v>1759</v>
      </c>
      <c r="E190" t="s">
        <v>1760</v>
      </c>
      <c r="G190" t="s">
        <v>1318</v>
      </c>
      <c r="H190" t="s">
        <v>1766</v>
      </c>
      <c r="I190" t="s">
        <v>844</v>
      </c>
      <c r="K190" t="s">
        <v>1767</v>
      </c>
    </row>
    <row r="191" spans="1:11" x14ac:dyDescent="0.35">
      <c r="A191" s="43">
        <v>46245.636562500003</v>
      </c>
      <c r="B191" t="s">
        <v>842</v>
      </c>
      <c r="C191">
        <v>135632</v>
      </c>
      <c r="D191" t="s">
        <v>1768</v>
      </c>
      <c r="E191" t="s">
        <v>1769</v>
      </c>
      <c r="F191" t="s">
        <v>1770</v>
      </c>
      <c r="G191" t="s">
        <v>1348</v>
      </c>
      <c r="H191" t="s">
        <v>1771</v>
      </c>
      <c r="I191" t="s">
        <v>1350</v>
      </c>
      <c r="J191" t="s">
        <v>1741</v>
      </c>
    </row>
    <row r="192" spans="1:11" x14ac:dyDescent="0.35">
      <c r="A192" s="43">
        <v>46245.638148148151</v>
      </c>
      <c r="B192" t="s">
        <v>842</v>
      </c>
      <c r="C192">
        <v>135632</v>
      </c>
      <c r="D192" t="s">
        <v>1768</v>
      </c>
      <c r="E192" t="s">
        <v>1769</v>
      </c>
      <c r="F192" t="s">
        <v>1770</v>
      </c>
      <c r="G192" t="s">
        <v>1311</v>
      </c>
      <c r="H192" t="s">
        <v>1772</v>
      </c>
      <c r="I192" t="s">
        <v>844</v>
      </c>
      <c r="J192" t="s">
        <v>1313</v>
      </c>
    </row>
    <row r="193" spans="1:11" x14ac:dyDescent="0.35">
      <c r="A193" s="43">
        <v>46245.647453703707</v>
      </c>
      <c r="B193" t="s">
        <v>842</v>
      </c>
      <c r="C193">
        <v>135632</v>
      </c>
      <c r="D193" t="s">
        <v>1768</v>
      </c>
      <c r="E193" t="s">
        <v>1769</v>
      </c>
      <c r="F193" t="s">
        <v>1770</v>
      </c>
      <c r="G193" t="s">
        <v>1314</v>
      </c>
      <c r="H193" t="s">
        <v>1773</v>
      </c>
      <c r="I193">
        <v>3.5</v>
      </c>
      <c r="J193" t="s">
        <v>1774</v>
      </c>
      <c r="K193" t="s">
        <v>1775</v>
      </c>
    </row>
    <row r="194" spans="1:11" x14ac:dyDescent="0.35">
      <c r="A194" s="43">
        <v>46245.65011574074</v>
      </c>
      <c r="B194" t="s">
        <v>842</v>
      </c>
      <c r="C194">
        <v>135632</v>
      </c>
      <c r="D194" t="s">
        <v>1768</v>
      </c>
      <c r="E194" t="s">
        <v>1769</v>
      </c>
      <c r="F194" t="s">
        <v>1770</v>
      </c>
      <c r="G194" t="s">
        <v>1318</v>
      </c>
      <c r="H194" t="s">
        <v>1776</v>
      </c>
      <c r="I194" t="s">
        <v>844</v>
      </c>
      <c r="K194" t="s">
        <v>1777</v>
      </c>
    </row>
    <row r="195" spans="1:11" x14ac:dyDescent="0.35">
      <c r="A195" s="43">
        <v>46245.679386574076</v>
      </c>
      <c r="B195" t="s">
        <v>842</v>
      </c>
      <c r="C195">
        <v>137251</v>
      </c>
      <c r="D195" t="s">
        <v>1778</v>
      </c>
      <c r="E195" t="s">
        <v>1779</v>
      </c>
      <c r="G195" t="s">
        <v>1348</v>
      </c>
      <c r="H195" t="s">
        <v>1780</v>
      </c>
      <c r="I195" t="s">
        <v>1350</v>
      </c>
      <c r="J195" t="s">
        <v>1741</v>
      </c>
    </row>
    <row r="196" spans="1:11" x14ac:dyDescent="0.35">
      <c r="A196" s="43">
        <v>46245.681192129632</v>
      </c>
      <c r="B196" t="s">
        <v>842</v>
      </c>
      <c r="C196">
        <v>137251</v>
      </c>
      <c r="D196" t="s">
        <v>1778</v>
      </c>
      <c r="E196" t="s">
        <v>1779</v>
      </c>
      <c r="G196" t="s">
        <v>1311</v>
      </c>
      <c r="H196" t="s">
        <v>1781</v>
      </c>
      <c r="I196" t="s">
        <v>844</v>
      </c>
      <c r="J196" t="s">
        <v>1313</v>
      </c>
    </row>
    <row r="197" spans="1:11" x14ac:dyDescent="0.35">
      <c r="A197" s="43">
        <v>46245.738935185182</v>
      </c>
      <c r="B197" t="s">
        <v>842</v>
      </c>
      <c r="C197">
        <v>137251</v>
      </c>
      <c r="D197" t="s">
        <v>1778</v>
      </c>
      <c r="E197" t="s">
        <v>1779</v>
      </c>
      <c r="F197" t="s">
        <v>1782</v>
      </c>
      <c r="G197" t="s">
        <v>1314</v>
      </c>
      <c r="H197" t="s">
        <v>1783</v>
      </c>
      <c r="I197">
        <v>3.5</v>
      </c>
      <c r="J197" t="s">
        <v>1784</v>
      </c>
      <c r="K197" t="s">
        <v>1785</v>
      </c>
    </row>
    <row r="198" spans="1:11" x14ac:dyDescent="0.35">
      <c r="A198" s="43">
        <v>46245.766759259262</v>
      </c>
      <c r="B198" t="s">
        <v>842</v>
      </c>
      <c r="C198">
        <v>137251</v>
      </c>
      <c r="D198" t="s">
        <v>1778</v>
      </c>
      <c r="E198" t="s">
        <v>1779</v>
      </c>
      <c r="F198" t="s">
        <v>1782</v>
      </c>
      <c r="G198" t="s">
        <v>1318</v>
      </c>
      <c r="H198" t="s">
        <v>1786</v>
      </c>
      <c r="I198" t="s">
        <v>844</v>
      </c>
      <c r="K198" t="s">
        <v>1787</v>
      </c>
    </row>
    <row r="199" spans="1:11" x14ac:dyDescent="0.35">
      <c r="A199" s="43">
        <v>46245.965578703705</v>
      </c>
      <c r="B199" t="s">
        <v>842</v>
      </c>
      <c r="C199">
        <v>136987</v>
      </c>
      <c r="D199" t="s">
        <v>1788</v>
      </c>
      <c r="E199" t="s">
        <v>1789</v>
      </c>
      <c r="G199" t="s">
        <v>1348</v>
      </c>
      <c r="H199" t="s">
        <v>1790</v>
      </c>
      <c r="I199" t="s">
        <v>1350</v>
      </c>
      <c r="J199" t="s">
        <v>1741</v>
      </c>
    </row>
    <row r="200" spans="1:11" x14ac:dyDescent="0.35">
      <c r="A200" s="43">
        <v>46245.967465277776</v>
      </c>
      <c r="B200" t="s">
        <v>842</v>
      </c>
      <c r="C200">
        <v>136987</v>
      </c>
      <c r="D200" t="s">
        <v>1788</v>
      </c>
      <c r="E200" t="s">
        <v>1789</v>
      </c>
      <c r="G200" t="s">
        <v>1311</v>
      </c>
      <c r="H200" t="s">
        <v>1791</v>
      </c>
      <c r="I200" t="s">
        <v>844</v>
      </c>
      <c r="J200" t="s">
        <v>1313</v>
      </c>
    </row>
    <row r="201" spans="1:11" x14ac:dyDescent="0.35">
      <c r="A201" s="43">
        <v>46245.971608796295</v>
      </c>
      <c r="B201" t="s">
        <v>842</v>
      </c>
      <c r="C201">
        <v>136987</v>
      </c>
      <c r="D201" t="s">
        <v>1788</v>
      </c>
      <c r="E201" t="s">
        <v>1789</v>
      </c>
      <c r="F201" t="s">
        <v>1792</v>
      </c>
      <c r="G201" t="s">
        <v>1314</v>
      </c>
      <c r="H201" t="s">
        <v>1793</v>
      </c>
      <c r="I201">
        <v>3.5</v>
      </c>
      <c r="J201" t="s">
        <v>1794</v>
      </c>
      <c r="K201" t="s">
        <v>1795</v>
      </c>
    </row>
    <row r="202" spans="1:11" x14ac:dyDescent="0.35">
      <c r="A202" s="43">
        <v>46245.977222222224</v>
      </c>
      <c r="B202" t="s">
        <v>842</v>
      </c>
      <c r="C202">
        <v>136987</v>
      </c>
      <c r="D202" t="s">
        <v>1788</v>
      </c>
      <c r="E202" t="s">
        <v>1789</v>
      </c>
      <c r="F202" t="s">
        <v>1792</v>
      </c>
      <c r="G202" t="s">
        <v>1318</v>
      </c>
      <c r="H202" t="s">
        <v>1796</v>
      </c>
      <c r="I202" t="s">
        <v>844</v>
      </c>
      <c r="K202" t="s">
        <v>1797</v>
      </c>
    </row>
    <row r="203" spans="1:11" x14ac:dyDescent="0.35">
      <c r="A203" s="43">
        <v>46246.019583333335</v>
      </c>
      <c r="B203" t="s">
        <v>842</v>
      </c>
      <c r="C203">
        <v>137123</v>
      </c>
      <c r="D203" t="s">
        <v>1798</v>
      </c>
      <c r="E203" t="s">
        <v>1799</v>
      </c>
      <c r="G203" t="s">
        <v>1348</v>
      </c>
      <c r="H203" t="s">
        <v>1800</v>
      </c>
      <c r="I203" t="s">
        <v>1350</v>
      </c>
      <c r="J203" t="s">
        <v>1741</v>
      </c>
    </row>
    <row r="204" spans="1:11" x14ac:dyDescent="0.35">
      <c r="A204" s="43">
        <v>46246.021597222221</v>
      </c>
      <c r="B204" t="s">
        <v>842</v>
      </c>
      <c r="C204">
        <v>137123</v>
      </c>
      <c r="D204" t="s">
        <v>1798</v>
      </c>
      <c r="E204" t="s">
        <v>1799</v>
      </c>
      <c r="G204" t="s">
        <v>1311</v>
      </c>
      <c r="H204" t="s">
        <v>1801</v>
      </c>
      <c r="I204" t="s">
        <v>844</v>
      </c>
      <c r="J204" t="s">
        <v>1313</v>
      </c>
    </row>
    <row r="205" spans="1:11" x14ac:dyDescent="0.35">
      <c r="A205" s="43">
        <v>46246.312071759261</v>
      </c>
      <c r="B205" t="s">
        <v>842</v>
      </c>
      <c r="C205">
        <v>137123</v>
      </c>
      <c r="D205" t="s">
        <v>1798</v>
      </c>
      <c r="E205" t="s">
        <v>1799</v>
      </c>
      <c r="F205" t="s">
        <v>1802</v>
      </c>
      <c r="G205" t="s">
        <v>1314</v>
      </c>
      <c r="H205" t="s">
        <v>1803</v>
      </c>
      <c r="I205">
        <v>3.5</v>
      </c>
      <c r="J205" t="s">
        <v>1804</v>
      </c>
      <c r="K205" t="s">
        <v>1805</v>
      </c>
    </row>
    <row r="206" spans="1:11" x14ac:dyDescent="0.35">
      <c r="A206" s="43">
        <v>46246.33222222222</v>
      </c>
      <c r="B206" t="s">
        <v>842</v>
      </c>
      <c r="C206">
        <v>137123</v>
      </c>
      <c r="D206" t="s">
        <v>1798</v>
      </c>
      <c r="E206" t="s">
        <v>1799</v>
      </c>
      <c r="F206" t="s">
        <v>1806</v>
      </c>
      <c r="G206" t="s">
        <v>1493</v>
      </c>
      <c r="H206" t="s">
        <v>1807</v>
      </c>
      <c r="I206" t="s">
        <v>844</v>
      </c>
      <c r="K206" t="s">
        <v>1808</v>
      </c>
    </row>
    <row r="207" spans="1:11" x14ac:dyDescent="0.35">
      <c r="A207" s="43">
        <v>46246.333148148151</v>
      </c>
      <c r="B207" t="s">
        <v>842</v>
      </c>
      <c r="C207">
        <v>137123</v>
      </c>
      <c r="D207" t="s">
        <v>1798</v>
      </c>
      <c r="E207" t="s">
        <v>1799</v>
      </c>
      <c r="F207" t="s">
        <v>1806</v>
      </c>
      <c r="G207" t="s">
        <v>1809</v>
      </c>
      <c r="H207" t="s">
        <v>1810</v>
      </c>
      <c r="I207" t="s">
        <v>844</v>
      </c>
      <c r="K207" t="s">
        <v>1811</v>
      </c>
    </row>
    <row r="208" spans="1:11" x14ac:dyDescent="0.35">
      <c r="A208" s="43">
        <v>46246.356770833336</v>
      </c>
      <c r="B208" t="s">
        <v>842</v>
      </c>
      <c r="C208">
        <v>137195</v>
      </c>
      <c r="D208" t="s">
        <v>1812</v>
      </c>
      <c r="E208" t="s">
        <v>1813</v>
      </c>
      <c r="G208" t="s">
        <v>1348</v>
      </c>
      <c r="H208" t="s">
        <v>1814</v>
      </c>
      <c r="I208" t="s">
        <v>1350</v>
      </c>
      <c r="J208" t="s">
        <v>1741</v>
      </c>
    </row>
    <row r="209" spans="1:11" x14ac:dyDescent="0.35">
      <c r="A209" s="43">
        <v>46246.367476851854</v>
      </c>
      <c r="B209" t="s">
        <v>842</v>
      </c>
      <c r="C209">
        <v>137195</v>
      </c>
      <c r="D209" t="s">
        <v>1812</v>
      </c>
      <c r="E209" t="s">
        <v>1813</v>
      </c>
      <c r="G209" t="s">
        <v>1311</v>
      </c>
      <c r="H209" t="s">
        <v>1815</v>
      </c>
      <c r="I209" t="s">
        <v>844</v>
      </c>
      <c r="J209" t="s">
        <v>1313</v>
      </c>
    </row>
    <row r="210" spans="1:11" x14ac:dyDescent="0.35">
      <c r="A210" s="43">
        <v>46246.373761574076</v>
      </c>
      <c r="B210" t="s">
        <v>842</v>
      </c>
      <c r="C210">
        <v>137195</v>
      </c>
      <c r="D210" t="s">
        <v>1812</v>
      </c>
      <c r="E210" t="s">
        <v>1813</v>
      </c>
      <c r="F210" t="s">
        <v>1816</v>
      </c>
      <c r="G210" t="s">
        <v>1314</v>
      </c>
      <c r="H210" t="s">
        <v>1817</v>
      </c>
      <c r="I210">
        <v>3.5</v>
      </c>
      <c r="J210" t="s">
        <v>1818</v>
      </c>
      <c r="K210" t="s">
        <v>1819</v>
      </c>
    </row>
    <row r="211" spans="1:11" x14ac:dyDescent="0.35">
      <c r="A211" s="43">
        <v>46246.383009259262</v>
      </c>
      <c r="B211" t="s">
        <v>842</v>
      </c>
      <c r="C211">
        <v>137195</v>
      </c>
      <c r="D211" t="s">
        <v>1812</v>
      </c>
      <c r="E211" t="s">
        <v>1813</v>
      </c>
      <c r="F211" t="s">
        <v>1816</v>
      </c>
      <c r="G211" t="s">
        <v>1318</v>
      </c>
      <c r="H211" t="s">
        <v>1820</v>
      </c>
      <c r="I211" t="s">
        <v>844</v>
      </c>
      <c r="K211" t="s">
        <v>1821</v>
      </c>
    </row>
    <row r="212" spans="1:11" x14ac:dyDescent="0.35">
      <c r="A212" s="43">
        <v>46246.411562499998</v>
      </c>
      <c r="B212" t="s">
        <v>842</v>
      </c>
      <c r="C212">
        <v>134668</v>
      </c>
      <c r="D212" t="s">
        <v>1822</v>
      </c>
      <c r="E212" t="s">
        <v>1823</v>
      </c>
      <c r="F212" t="s">
        <v>1824</v>
      </c>
      <c r="G212" t="s">
        <v>1348</v>
      </c>
      <c r="H212" t="s">
        <v>1825</v>
      </c>
      <c r="I212" t="s">
        <v>1350</v>
      </c>
      <c r="J212" t="s">
        <v>1741</v>
      </c>
    </row>
    <row r="213" spans="1:11" x14ac:dyDescent="0.35">
      <c r="A213" s="43">
        <v>46246.412731481483</v>
      </c>
      <c r="B213" t="s">
        <v>842</v>
      </c>
      <c r="C213">
        <v>134668</v>
      </c>
      <c r="D213" t="s">
        <v>1822</v>
      </c>
      <c r="E213" t="s">
        <v>1823</v>
      </c>
      <c r="F213" t="s">
        <v>1824</v>
      </c>
      <c r="G213" t="s">
        <v>1311</v>
      </c>
      <c r="H213" t="s">
        <v>1826</v>
      </c>
      <c r="I213" t="s">
        <v>844</v>
      </c>
      <c r="J213" t="s">
        <v>1313</v>
      </c>
    </row>
    <row r="214" spans="1:11" x14ac:dyDescent="0.35">
      <c r="A214" s="43">
        <v>46246.416192129633</v>
      </c>
      <c r="B214" t="s">
        <v>842</v>
      </c>
      <c r="C214">
        <v>134668</v>
      </c>
      <c r="D214" t="s">
        <v>1822</v>
      </c>
      <c r="E214" t="s">
        <v>1823</v>
      </c>
      <c r="F214" t="s">
        <v>1824</v>
      </c>
      <c r="G214" t="s">
        <v>1314</v>
      </c>
      <c r="H214" t="s">
        <v>1827</v>
      </c>
      <c r="I214">
        <v>3.5</v>
      </c>
      <c r="J214" t="s">
        <v>1828</v>
      </c>
      <c r="K214" t="s">
        <v>1829</v>
      </c>
    </row>
    <row r="215" spans="1:11" x14ac:dyDescent="0.35">
      <c r="A215" s="43">
        <v>46246.417083333334</v>
      </c>
      <c r="B215" t="s">
        <v>842</v>
      </c>
      <c r="C215">
        <v>134668</v>
      </c>
      <c r="D215" t="s">
        <v>1822</v>
      </c>
      <c r="E215" t="s">
        <v>1823</v>
      </c>
      <c r="F215" t="s">
        <v>1824</v>
      </c>
      <c r="G215" t="s">
        <v>1318</v>
      </c>
      <c r="H215" t="s">
        <v>1830</v>
      </c>
      <c r="I215" t="s">
        <v>844</v>
      </c>
      <c r="K215" t="s">
        <v>1831</v>
      </c>
    </row>
    <row r="216" spans="1:11" x14ac:dyDescent="0.35">
      <c r="A216" s="43">
        <v>46246.506550925929</v>
      </c>
      <c r="B216" t="s">
        <v>842</v>
      </c>
      <c r="C216">
        <v>137227</v>
      </c>
      <c r="D216" t="s">
        <v>1832</v>
      </c>
      <c r="E216" t="s">
        <v>1833</v>
      </c>
      <c r="G216" t="s">
        <v>1348</v>
      </c>
      <c r="H216" t="s">
        <v>1834</v>
      </c>
      <c r="I216" t="s">
        <v>1350</v>
      </c>
      <c r="J216" t="s">
        <v>1741</v>
      </c>
    </row>
    <row r="217" spans="1:11" x14ac:dyDescent="0.35">
      <c r="A217" s="43">
        <v>46246.509305555555</v>
      </c>
      <c r="B217" t="s">
        <v>842</v>
      </c>
      <c r="C217">
        <v>137227</v>
      </c>
      <c r="D217" t="s">
        <v>1832</v>
      </c>
      <c r="E217" t="s">
        <v>1833</v>
      </c>
      <c r="G217" t="s">
        <v>1311</v>
      </c>
      <c r="H217" t="s">
        <v>1835</v>
      </c>
      <c r="I217" t="s">
        <v>844</v>
      </c>
      <c r="J217" t="s">
        <v>1313</v>
      </c>
    </row>
    <row r="218" spans="1:11" x14ac:dyDescent="0.35">
      <c r="A218" s="43">
        <v>46246.524502314816</v>
      </c>
      <c r="B218" t="s">
        <v>842</v>
      </c>
      <c r="C218">
        <v>137227</v>
      </c>
      <c r="D218" t="s">
        <v>1832</v>
      </c>
      <c r="E218" t="s">
        <v>1833</v>
      </c>
      <c r="F218" t="s">
        <v>1836</v>
      </c>
      <c r="G218" t="s">
        <v>1314</v>
      </c>
      <c r="H218" t="s">
        <v>1837</v>
      </c>
      <c r="I218">
        <v>3.5</v>
      </c>
      <c r="J218" t="s">
        <v>1838</v>
      </c>
      <c r="K218" t="s">
        <v>1839</v>
      </c>
    </row>
    <row r="219" spans="1:11" x14ac:dyDescent="0.35">
      <c r="A219" s="43">
        <v>46246.54923611111</v>
      </c>
      <c r="B219" t="s">
        <v>842</v>
      </c>
      <c r="C219">
        <v>137227</v>
      </c>
      <c r="D219" t="s">
        <v>1832</v>
      </c>
      <c r="E219" t="s">
        <v>1833</v>
      </c>
      <c r="F219" t="s">
        <v>1836</v>
      </c>
      <c r="G219" t="s">
        <v>1493</v>
      </c>
      <c r="H219" t="s">
        <v>1840</v>
      </c>
      <c r="I219" t="s">
        <v>844</v>
      </c>
      <c r="K219" t="s">
        <v>1841</v>
      </c>
    </row>
    <row r="220" spans="1:11" x14ac:dyDescent="0.35">
      <c r="A220" s="43">
        <v>46246.54991898148</v>
      </c>
      <c r="B220" t="s">
        <v>842</v>
      </c>
      <c r="C220">
        <v>137227</v>
      </c>
      <c r="D220" t="s">
        <v>1832</v>
      </c>
      <c r="E220" t="s">
        <v>1833</v>
      </c>
      <c r="F220" t="s">
        <v>1836</v>
      </c>
      <c r="G220" t="s">
        <v>1809</v>
      </c>
      <c r="H220" t="s">
        <v>1842</v>
      </c>
      <c r="I220" t="s">
        <v>844</v>
      </c>
      <c r="K220" t="s">
        <v>1811</v>
      </c>
    </row>
    <row r="221" spans="1:11" x14ac:dyDescent="0.35">
      <c r="A221" s="43">
        <v>46246.589224537034</v>
      </c>
      <c r="B221" t="s">
        <v>842</v>
      </c>
      <c r="C221">
        <v>137211</v>
      </c>
      <c r="D221" t="s">
        <v>1843</v>
      </c>
      <c r="E221" t="s">
        <v>1844</v>
      </c>
      <c r="F221" t="s">
        <v>1845</v>
      </c>
      <c r="G221" t="s">
        <v>1348</v>
      </c>
      <c r="H221" t="s">
        <v>1846</v>
      </c>
      <c r="I221" t="s">
        <v>1350</v>
      </c>
      <c r="J221" t="s">
        <v>1741</v>
      </c>
    </row>
    <row r="222" spans="1:11" x14ac:dyDescent="0.35">
      <c r="A222" s="43">
        <v>46246.592291666668</v>
      </c>
      <c r="B222" t="s">
        <v>842</v>
      </c>
      <c r="C222">
        <v>137211</v>
      </c>
      <c r="D222" t="s">
        <v>1843</v>
      </c>
      <c r="E222" t="s">
        <v>1844</v>
      </c>
      <c r="F222" t="s">
        <v>1845</v>
      </c>
      <c r="G222" t="s">
        <v>1311</v>
      </c>
      <c r="H222" t="s">
        <v>1847</v>
      </c>
      <c r="I222" t="s">
        <v>844</v>
      </c>
      <c r="J222" t="s">
        <v>1313</v>
      </c>
    </row>
    <row r="223" spans="1:11" x14ac:dyDescent="0.35">
      <c r="A223" s="43">
        <v>46246.597418981481</v>
      </c>
      <c r="B223" t="s">
        <v>842</v>
      </c>
      <c r="C223">
        <v>137211</v>
      </c>
      <c r="D223" t="s">
        <v>1843</v>
      </c>
      <c r="E223" t="s">
        <v>1844</v>
      </c>
      <c r="F223" t="s">
        <v>1845</v>
      </c>
      <c r="G223" t="s">
        <v>1314</v>
      </c>
      <c r="H223" t="s">
        <v>1848</v>
      </c>
      <c r="I223">
        <v>3.5</v>
      </c>
      <c r="J223" t="s">
        <v>1849</v>
      </c>
      <c r="K223" t="s">
        <v>1850</v>
      </c>
    </row>
    <row r="224" spans="1:11" x14ac:dyDescent="0.35">
      <c r="A224" s="43">
        <v>46246.693495370368</v>
      </c>
      <c r="B224" t="s">
        <v>842</v>
      </c>
      <c r="C224">
        <v>137211</v>
      </c>
      <c r="D224" t="s">
        <v>1843</v>
      </c>
      <c r="E224" t="s">
        <v>1844</v>
      </c>
      <c r="F224" t="s">
        <v>1845</v>
      </c>
      <c r="G224" t="s">
        <v>1318</v>
      </c>
      <c r="H224" t="s">
        <v>1851</v>
      </c>
      <c r="I224" t="s">
        <v>844</v>
      </c>
      <c r="K224" t="s">
        <v>1852</v>
      </c>
    </row>
    <row r="225" spans="1:11" x14ac:dyDescent="0.35">
      <c r="A225" s="43">
        <v>46246.714629629627</v>
      </c>
      <c r="B225" t="s">
        <v>842</v>
      </c>
      <c r="C225">
        <v>135760</v>
      </c>
      <c r="D225" t="s">
        <v>1853</v>
      </c>
      <c r="E225" t="s">
        <v>1854</v>
      </c>
      <c r="G225" t="s">
        <v>1348</v>
      </c>
      <c r="H225" t="s">
        <v>1855</v>
      </c>
      <c r="I225" t="s">
        <v>1350</v>
      </c>
      <c r="J225" t="s">
        <v>1741</v>
      </c>
    </row>
    <row r="226" spans="1:11" x14ac:dyDescent="0.35">
      <c r="A226" s="43">
        <v>46246.716516203705</v>
      </c>
      <c r="B226" t="s">
        <v>842</v>
      </c>
      <c r="C226">
        <v>135760</v>
      </c>
      <c r="D226" t="s">
        <v>1853</v>
      </c>
      <c r="E226" t="s">
        <v>1854</v>
      </c>
      <c r="G226" t="s">
        <v>1311</v>
      </c>
      <c r="H226" t="s">
        <v>1856</v>
      </c>
      <c r="I226" t="s">
        <v>844</v>
      </c>
      <c r="J226" t="s">
        <v>1313</v>
      </c>
    </row>
    <row r="227" spans="1:11" x14ac:dyDescent="0.35">
      <c r="A227" s="43">
        <v>46246.726284722223</v>
      </c>
      <c r="B227" t="s">
        <v>842</v>
      </c>
      <c r="C227">
        <v>135760</v>
      </c>
      <c r="D227" t="s">
        <v>1853</v>
      </c>
      <c r="E227" t="s">
        <v>1854</v>
      </c>
      <c r="F227" t="s">
        <v>1857</v>
      </c>
      <c r="G227" t="s">
        <v>1314</v>
      </c>
      <c r="H227" t="s">
        <v>1858</v>
      </c>
      <c r="I227">
        <v>3.5</v>
      </c>
      <c r="J227" t="s">
        <v>1859</v>
      </c>
      <c r="K227" t="s">
        <v>1860</v>
      </c>
    </row>
    <row r="228" spans="1:11" x14ac:dyDescent="0.35">
      <c r="A228" s="43">
        <v>46246.751967592594</v>
      </c>
      <c r="B228" t="s">
        <v>842</v>
      </c>
      <c r="C228">
        <v>135760</v>
      </c>
      <c r="D228" t="s">
        <v>1853</v>
      </c>
      <c r="E228" t="s">
        <v>1854</v>
      </c>
      <c r="F228" t="s">
        <v>1857</v>
      </c>
      <c r="G228" t="s">
        <v>1318</v>
      </c>
      <c r="H228" t="s">
        <v>1861</v>
      </c>
      <c r="I228" t="s">
        <v>844</v>
      </c>
      <c r="K228" t="s">
        <v>1862</v>
      </c>
    </row>
    <row r="229" spans="1:11" x14ac:dyDescent="0.35">
      <c r="A229" s="43">
        <v>46247.374039351853</v>
      </c>
      <c r="B229" t="s">
        <v>842</v>
      </c>
      <c r="C229">
        <v>137387</v>
      </c>
      <c r="D229" t="s">
        <v>1863</v>
      </c>
      <c r="E229" t="s">
        <v>1864</v>
      </c>
      <c r="G229" t="s">
        <v>1348</v>
      </c>
      <c r="H229" t="s">
        <v>1865</v>
      </c>
      <c r="I229" t="s">
        <v>1350</v>
      </c>
      <c r="J229" t="s">
        <v>1741</v>
      </c>
    </row>
    <row r="230" spans="1:11" x14ac:dyDescent="0.35">
      <c r="A230" s="43">
        <v>46247.37572916667</v>
      </c>
      <c r="B230" t="s">
        <v>842</v>
      </c>
      <c r="C230">
        <v>137387</v>
      </c>
      <c r="D230" t="s">
        <v>1863</v>
      </c>
      <c r="E230" t="s">
        <v>1864</v>
      </c>
      <c r="G230" t="s">
        <v>1311</v>
      </c>
      <c r="H230" t="s">
        <v>1866</v>
      </c>
      <c r="I230" t="s">
        <v>844</v>
      </c>
      <c r="J230" t="s">
        <v>1313</v>
      </c>
    </row>
    <row r="231" spans="1:11" x14ac:dyDescent="0.35">
      <c r="A231" s="43">
        <v>46247.467395833337</v>
      </c>
      <c r="B231" t="s">
        <v>842</v>
      </c>
      <c r="C231">
        <v>137387</v>
      </c>
      <c r="D231" t="s">
        <v>1863</v>
      </c>
      <c r="E231" t="s">
        <v>1864</v>
      </c>
      <c r="F231" t="s">
        <v>1867</v>
      </c>
      <c r="G231" t="s">
        <v>1314</v>
      </c>
      <c r="H231" t="s">
        <v>1868</v>
      </c>
      <c r="I231">
        <v>3.5</v>
      </c>
      <c r="J231" t="s">
        <v>1869</v>
      </c>
      <c r="K231" t="s">
        <v>1870</v>
      </c>
    </row>
    <row r="232" spans="1:11" x14ac:dyDescent="0.35">
      <c r="A232" s="43">
        <v>46247.474814814814</v>
      </c>
      <c r="B232" t="s">
        <v>842</v>
      </c>
      <c r="C232">
        <v>137387</v>
      </c>
      <c r="D232" t="s">
        <v>1863</v>
      </c>
      <c r="E232" t="s">
        <v>1864</v>
      </c>
      <c r="F232" t="s">
        <v>1867</v>
      </c>
      <c r="G232" t="s">
        <v>1318</v>
      </c>
      <c r="H232" t="s">
        <v>1871</v>
      </c>
      <c r="I232" t="s">
        <v>844</v>
      </c>
      <c r="K232" t="s">
        <v>1872</v>
      </c>
    </row>
    <row r="233" spans="1:11" x14ac:dyDescent="0.35">
      <c r="A233" s="43">
        <v>46247.541527777779</v>
      </c>
      <c r="B233" t="s">
        <v>842</v>
      </c>
      <c r="C233">
        <v>135840</v>
      </c>
      <c r="D233" t="s">
        <v>1873</v>
      </c>
      <c r="E233" t="s">
        <v>1874</v>
      </c>
      <c r="G233" t="s">
        <v>1348</v>
      </c>
      <c r="H233" t="s">
        <v>1875</v>
      </c>
      <c r="I233" t="s">
        <v>1350</v>
      </c>
      <c r="J233" t="s">
        <v>1741</v>
      </c>
    </row>
    <row r="234" spans="1:11" x14ac:dyDescent="0.35">
      <c r="A234" s="43">
        <v>46247.545787037037</v>
      </c>
      <c r="B234" t="s">
        <v>842</v>
      </c>
      <c r="C234">
        <v>135840</v>
      </c>
      <c r="D234" t="s">
        <v>1873</v>
      </c>
      <c r="E234" t="s">
        <v>1874</v>
      </c>
      <c r="G234" t="s">
        <v>1311</v>
      </c>
      <c r="H234" t="s">
        <v>1876</v>
      </c>
      <c r="I234" t="s">
        <v>844</v>
      </c>
      <c r="J234" t="s">
        <v>1313</v>
      </c>
    </row>
    <row r="235" spans="1:11" x14ac:dyDescent="0.35">
      <c r="A235" s="43">
        <v>46247.552152777775</v>
      </c>
      <c r="B235" t="s">
        <v>842</v>
      </c>
      <c r="C235">
        <v>135840</v>
      </c>
      <c r="D235" t="s">
        <v>1873</v>
      </c>
      <c r="E235" t="s">
        <v>1874</v>
      </c>
      <c r="F235" t="s">
        <v>1877</v>
      </c>
      <c r="G235" t="s">
        <v>1314</v>
      </c>
      <c r="H235" t="s">
        <v>1878</v>
      </c>
      <c r="I235">
        <v>3.5</v>
      </c>
      <c r="J235" t="s">
        <v>1879</v>
      </c>
      <c r="K235" t="s">
        <v>1880</v>
      </c>
    </row>
    <row r="236" spans="1:11" x14ac:dyDescent="0.35">
      <c r="A236" s="43">
        <v>46247.559108796297</v>
      </c>
      <c r="B236" t="s">
        <v>842</v>
      </c>
      <c r="C236">
        <v>135840</v>
      </c>
      <c r="D236" t="s">
        <v>1873</v>
      </c>
      <c r="E236" t="s">
        <v>1874</v>
      </c>
      <c r="F236" t="s">
        <v>1877</v>
      </c>
      <c r="G236" t="s">
        <v>1318</v>
      </c>
      <c r="H236" t="s">
        <v>1881</v>
      </c>
      <c r="I236" t="s">
        <v>844</v>
      </c>
      <c r="K236" t="s">
        <v>1882</v>
      </c>
    </row>
    <row r="237" spans="1:11" x14ac:dyDescent="0.35">
      <c r="A237" s="43">
        <v>46247.602881944447</v>
      </c>
      <c r="B237" t="s">
        <v>842</v>
      </c>
      <c r="C237">
        <v>135840</v>
      </c>
      <c r="D237" t="s">
        <v>1873</v>
      </c>
      <c r="E237" t="s">
        <v>1874</v>
      </c>
      <c r="F237" t="s">
        <v>1877</v>
      </c>
      <c r="G237" t="s">
        <v>1493</v>
      </c>
      <c r="H237" t="s">
        <v>1883</v>
      </c>
      <c r="I237" t="s">
        <v>844</v>
      </c>
      <c r="K237" t="s">
        <v>1882</v>
      </c>
    </row>
    <row r="238" spans="1:11" x14ac:dyDescent="0.35">
      <c r="A238" s="43">
        <v>46247.603576388887</v>
      </c>
      <c r="B238" t="s">
        <v>842</v>
      </c>
      <c r="C238">
        <v>135840</v>
      </c>
      <c r="D238" t="s">
        <v>1873</v>
      </c>
      <c r="E238" t="s">
        <v>1874</v>
      </c>
      <c r="F238" t="s">
        <v>1877</v>
      </c>
      <c r="G238" t="s">
        <v>1809</v>
      </c>
      <c r="H238" t="s">
        <v>1884</v>
      </c>
      <c r="I238" t="s">
        <v>844</v>
      </c>
      <c r="K238" t="s">
        <v>1811</v>
      </c>
    </row>
    <row r="239" spans="1:11" x14ac:dyDescent="0.35">
      <c r="A239" s="43">
        <v>46247.621782407405</v>
      </c>
      <c r="B239" t="s">
        <v>842</v>
      </c>
      <c r="C239">
        <v>135816</v>
      </c>
      <c r="D239" t="s">
        <v>1885</v>
      </c>
      <c r="E239" t="s">
        <v>1886</v>
      </c>
      <c r="G239" t="s">
        <v>1348</v>
      </c>
      <c r="H239" t="s">
        <v>1887</v>
      </c>
      <c r="I239" t="s">
        <v>1350</v>
      </c>
      <c r="J239" t="s">
        <v>1741</v>
      </c>
    </row>
    <row r="240" spans="1:11" x14ac:dyDescent="0.35">
      <c r="A240" s="43">
        <v>46247.624583333331</v>
      </c>
      <c r="B240" t="s">
        <v>842</v>
      </c>
      <c r="C240">
        <v>135816</v>
      </c>
      <c r="D240" t="s">
        <v>1885</v>
      </c>
      <c r="E240" t="s">
        <v>1886</v>
      </c>
      <c r="G240" t="s">
        <v>1311</v>
      </c>
      <c r="H240" t="s">
        <v>1888</v>
      </c>
      <c r="I240" t="s">
        <v>844</v>
      </c>
      <c r="J240" t="s">
        <v>1313</v>
      </c>
    </row>
    <row r="241" spans="1:11" x14ac:dyDescent="0.35">
      <c r="A241" s="43">
        <v>46247.629895833335</v>
      </c>
      <c r="B241" t="s">
        <v>842</v>
      </c>
      <c r="C241">
        <v>135816</v>
      </c>
      <c r="D241" t="s">
        <v>1885</v>
      </c>
      <c r="E241" t="s">
        <v>1886</v>
      </c>
      <c r="F241" t="s">
        <v>1889</v>
      </c>
      <c r="G241" t="s">
        <v>1314</v>
      </c>
      <c r="H241" t="s">
        <v>1890</v>
      </c>
      <c r="I241">
        <v>3.5</v>
      </c>
      <c r="J241" t="s">
        <v>1891</v>
      </c>
      <c r="K241" t="s">
        <v>1892</v>
      </c>
    </row>
    <row r="242" spans="1:11" x14ac:dyDescent="0.35">
      <c r="A242" s="43">
        <v>46247.642534722225</v>
      </c>
      <c r="B242" t="s">
        <v>842</v>
      </c>
      <c r="C242">
        <v>135816</v>
      </c>
      <c r="D242" t="s">
        <v>1885</v>
      </c>
      <c r="E242" t="s">
        <v>1886</v>
      </c>
      <c r="F242" t="s">
        <v>1889</v>
      </c>
      <c r="G242" t="s">
        <v>1318</v>
      </c>
      <c r="H242" t="s">
        <v>1893</v>
      </c>
      <c r="I242" t="s">
        <v>844</v>
      </c>
      <c r="K242" t="s">
        <v>1894</v>
      </c>
    </row>
    <row r="243" spans="1:11" x14ac:dyDescent="0.35">
      <c r="A243" s="43">
        <v>46247.676655092589</v>
      </c>
      <c r="B243" t="s">
        <v>842</v>
      </c>
      <c r="C243">
        <v>137459</v>
      </c>
      <c r="D243" t="s">
        <v>1895</v>
      </c>
      <c r="E243" t="s">
        <v>1896</v>
      </c>
      <c r="G243" t="s">
        <v>1348</v>
      </c>
      <c r="H243" t="s">
        <v>1897</v>
      </c>
      <c r="I243" t="s">
        <v>1350</v>
      </c>
      <c r="J243" t="s">
        <v>1741</v>
      </c>
    </row>
    <row r="244" spans="1:11" x14ac:dyDescent="0.35">
      <c r="A244" s="43">
        <v>46247.678842592592</v>
      </c>
      <c r="B244" t="s">
        <v>842</v>
      </c>
      <c r="C244">
        <v>137459</v>
      </c>
      <c r="D244" t="s">
        <v>1895</v>
      </c>
      <c r="E244" t="s">
        <v>1896</v>
      </c>
      <c r="G244" t="s">
        <v>1311</v>
      </c>
      <c r="H244" t="s">
        <v>1898</v>
      </c>
      <c r="I244" t="s">
        <v>844</v>
      </c>
      <c r="J244" t="s">
        <v>1313</v>
      </c>
    </row>
    <row r="245" spans="1:11" x14ac:dyDescent="0.35">
      <c r="A245" s="43">
        <v>46247.680914351855</v>
      </c>
      <c r="B245" t="s">
        <v>842</v>
      </c>
      <c r="C245">
        <v>137459</v>
      </c>
      <c r="D245" t="s">
        <v>1895</v>
      </c>
      <c r="E245" t="s">
        <v>1896</v>
      </c>
      <c r="G245" t="s">
        <v>1314</v>
      </c>
      <c r="H245" t="s">
        <v>1899</v>
      </c>
      <c r="I245">
        <v>3.5</v>
      </c>
      <c r="J245" t="s">
        <v>1900</v>
      </c>
      <c r="K245" t="s">
        <v>1901</v>
      </c>
    </row>
    <row r="246" spans="1:11" x14ac:dyDescent="0.35">
      <c r="A246" s="43">
        <v>46247.698009259257</v>
      </c>
      <c r="B246" t="s">
        <v>842</v>
      </c>
      <c r="C246">
        <v>137459</v>
      </c>
      <c r="D246" t="s">
        <v>1895</v>
      </c>
      <c r="E246" t="s">
        <v>1896</v>
      </c>
      <c r="G246" t="s">
        <v>1318</v>
      </c>
      <c r="H246" t="s">
        <v>1902</v>
      </c>
      <c r="I246" t="s">
        <v>844</v>
      </c>
      <c r="K246" t="s">
        <v>1903</v>
      </c>
    </row>
    <row r="247" spans="1:11" x14ac:dyDescent="0.35">
      <c r="A247" s="43">
        <v>46247.720706018517</v>
      </c>
      <c r="B247" t="s">
        <v>842</v>
      </c>
      <c r="C247">
        <v>137027</v>
      </c>
      <c r="D247" t="s">
        <v>1904</v>
      </c>
      <c r="E247" t="s">
        <v>1905</v>
      </c>
      <c r="G247" t="s">
        <v>1348</v>
      </c>
      <c r="H247" t="s">
        <v>1906</v>
      </c>
      <c r="I247" t="s">
        <v>1350</v>
      </c>
      <c r="J247" t="s">
        <v>1741</v>
      </c>
    </row>
    <row r="248" spans="1:11" x14ac:dyDescent="0.35">
      <c r="A248" s="43">
        <v>46247.722870370373</v>
      </c>
      <c r="B248" t="s">
        <v>842</v>
      </c>
      <c r="C248">
        <v>137027</v>
      </c>
      <c r="D248" t="s">
        <v>1904</v>
      </c>
      <c r="E248" t="s">
        <v>1905</v>
      </c>
      <c r="G248" t="s">
        <v>1311</v>
      </c>
      <c r="H248" t="s">
        <v>1907</v>
      </c>
      <c r="I248" t="s">
        <v>844</v>
      </c>
      <c r="J248" t="s">
        <v>1313</v>
      </c>
    </row>
    <row r="249" spans="1:11" x14ac:dyDescent="0.35">
      <c r="A249" s="43">
        <v>46247.729780092595</v>
      </c>
      <c r="B249" t="s">
        <v>842</v>
      </c>
      <c r="C249">
        <v>137027</v>
      </c>
      <c r="D249" t="s">
        <v>1904</v>
      </c>
      <c r="E249" t="s">
        <v>1905</v>
      </c>
      <c r="G249" t="s">
        <v>1318</v>
      </c>
      <c r="H249" t="s">
        <v>1908</v>
      </c>
      <c r="I249" t="s">
        <v>844</v>
      </c>
      <c r="K249" t="s">
        <v>1909</v>
      </c>
    </row>
    <row r="250" spans="1:11" x14ac:dyDescent="0.35">
      <c r="A250" s="43">
        <v>46247.744340277779</v>
      </c>
      <c r="B250" t="s">
        <v>842</v>
      </c>
      <c r="C250">
        <v>137027</v>
      </c>
      <c r="D250" t="s">
        <v>1904</v>
      </c>
      <c r="E250" t="s">
        <v>1905</v>
      </c>
      <c r="G250" t="s">
        <v>1314</v>
      </c>
      <c r="H250" t="s">
        <v>1910</v>
      </c>
      <c r="I250">
        <v>3.5</v>
      </c>
      <c r="J250" t="s">
        <v>1911</v>
      </c>
      <c r="K250" t="s">
        <v>1912</v>
      </c>
    </row>
    <row r="251" spans="1:11" x14ac:dyDescent="0.35">
      <c r="A251" s="43">
        <v>46247.948645833334</v>
      </c>
      <c r="B251" t="s">
        <v>842</v>
      </c>
      <c r="C251">
        <v>137003</v>
      </c>
      <c r="D251" t="s">
        <v>828</v>
      </c>
      <c r="E251" t="s">
        <v>7</v>
      </c>
      <c r="G251" t="s">
        <v>1348</v>
      </c>
      <c r="H251" t="s">
        <v>1913</v>
      </c>
      <c r="I251" t="s">
        <v>1350</v>
      </c>
      <c r="J251" t="s">
        <v>1741</v>
      </c>
    </row>
    <row r="252" spans="1:11" x14ac:dyDescent="0.35">
      <c r="A252" s="43">
        <v>46247.953275462962</v>
      </c>
      <c r="B252" t="s">
        <v>842</v>
      </c>
      <c r="C252">
        <v>137003</v>
      </c>
      <c r="D252" t="s">
        <v>828</v>
      </c>
      <c r="E252" t="s">
        <v>7</v>
      </c>
      <c r="G252" t="s">
        <v>1311</v>
      </c>
      <c r="H252" t="s">
        <v>1914</v>
      </c>
      <c r="I252" t="s">
        <v>844</v>
      </c>
      <c r="J252" t="s">
        <v>1313</v>
      </c>
    </row>
    <row r="253" spans="1:11" x14ac:dyDescent="0.35">
      <c r="A253" s="43">
        <v>46247.956006944441</v>
      </c>
      <c r="B253" t="s">
        <v>842</v>
      </c>
      <c r="C253">
        <v>137003</v>
      </c>
      <c r="D253" t="s">
        <v>828</v>
      </c>
      <c r="E253" t="s">
        <v>7</v>
      </c>
      <c r="G253" t="s">
        <v>1314</v>
      </c>
      <c r="H253" t="s">
        <v>1915</v>
      </c>
      <c r="I253">
        <v>3.5</v>
      </c>
      <c r="J253" t="s">
        <v>1916</v>
      </c>
      <c r="K253" t="s">
        <v>1917</v>
      </c>
    </row>
    <row r="254" spans="1:11" x14ac:dyDescent="0.35">
      <c r="A254" s="43">
        <v>46247.9844212963</v>
      </c>
      <c r="B254" t="s">
        <v>842</v>
      </c>
      <c r="C254">
        <v>137003</v>
      </c>
      <c r="D254" t="s">
        <v>828</v>
      </c>
      <c r="E254" t="s">
        <v>7</v>
      </c>
      <c r="G254" t="s">
        <v>1493</v>
      </c>
      <c r="H254" t="s">
        <v>1918</v>
      </c>
      <c r="I254" t="s">
        <v>844</v>
      </c>
      <c r="K254" t="s">
        <v>1919</v>
      </c>
    </row>
    <row r="255" spans="1:11" x14ac:dyDescent="0.35">
      <c r="A255" s="43">
        <v>46247.985254629632</v>
      </c>
      <c r="B255" t="s">
        <v>842</v>
      </c>
      <c r="C255">
        <v>137003</v>
      </c>
      <c r="D255" t="s">
        <v>828</v>
      </c>
      <c r="E255" t="s">
        <v>7</v>
      </c>
      <c r="G255" t="s">
        <v>1809</v>
      </c>
      <c r="H255" t="s">
        <v>1920</v>
      </c>
      <c r="I255" t="s">
        <v>844</v>
      </c>
      <c r="K255" t="s">
        <v>1811</v>
      </c>
    </row>
    <row r="256" spans="1:11" x14ac:dyDescent="0.35">
      <c r="A256" s="43">
        <v>46247.604201388887</v>
      </c>
      <c r="B256" t="s">
        <v>1921</v>
      </c>
      <c r="C256">
        <v>137003</v>
      </c>
      <c r="D256" t="s">
        <v>828</v>
      </c>
      <c r="E256" t="s">
        <v>7</v>
      </c>
      <c r="G256" t="s">
        <v>1348</v>
      </c>
      <c r="H256" t="s">
        <v>1922</v>
      </c>
      <c r="I256" t="s">
        <v>1350</v>
      </c>
      <c r="J256" t="s">
        <v>1741</v>
      </c>
    </row>
    <row r="257" spans="1:11" x14ac:dyDescent="0.35">
      <c r="A257" s="43">
        <v>46247.607256944444</v>
      </c>
      <c r="B257" t="s">
        <v>1921</v>
      </c>
      <c r="C257">
        <v>137003</v>
      </c>
      <c r="D257" t="s">
        <v>828</v>
      </c>
      <c r="E257" t="s">
        <v>7</v>
      </c>
      <c r="G257" t="s">
        <v>1348</v>
      </c>
      <c r="H257" t="s">
        <v>1922</v>
      </c>
      <c r="I257" t="s">
        <v>1350</v>
      </c>
      <c r="J257" t="s">
        <v>1741</v>
      </c>
    </row>
    <row r="258" spans="1:11" x14ac:dyDescent="0.35">
      <c r="A258" s="43">
        <v>46247.614525462966</v>
      </c>
      <c r="B258" t="s">
        <v>1921</v>
      </c>
      <c r="C258">
        <v>137003</v>
      </c>
      <c r="D258" t="s">
        <v>828</v>
      </c>
      <c r="E258" t="s">
        <v>7</v>
      </c>
      <c r="G258" t="s">
        <v>1493</v>
      </c>
      <c r="H258" t="s">
        <v>1923</v>
      </c>
      <c r="I258" t="s">
        <v>844</v>
      </c>
      <c r="K258" t="s">
        <v>1919</v>
      </c>
    </row>
    <row r="259" spans="1:11" x14ac:dyDescent="0.35">
      <c r="A259" s="43">
        <v>46247.615023148152</v>
      </c>
      <c r="B259" t="s">
        <v>1921</v>
      </c>
      <c r="C259">
        <v>137003</v>
      </c>
      <c r="D259" t="s">
        <v>828</v>
      </c>
      <c r="E259" t="s">
        <v>7</v>
      </c>
      <c r="G259" t="s">
        <v>1809</v>
      </c>
      <c r="H259" t="s">
        <v>1924</v>
      </c>
      <c r="I259" t="s">
        <v>844</v>
      </c>
      <c r="K259" t="s">
        <v>1811</v>
      </c>
    </row>
    <row r="260" spans="1:11" x14ac:dyDescent="0.35">
      <c r="A260" s="43">
        <v>46249.415960648148</v>
      </c>
      <c r="B260" t="s">
        <v>842</v>
      </c>
      <c r="C260" t="s">
        <v>941</v>
      </c>
      <c r="E260" t="s">
        <v>7</v>
      </c>
      <c r="G260" t="s">
        <v>1314</v>
      </c>
      <c r="H260" t="s">
        <v>1315</v>
      </c>
      <c r="I260">
        <v>3.5</v>
      </c>
      <c r="J260" t="s">
        <v>1925</v>
      </c>
      <c r="K260" t="s">
        <v>1926</v>
      </c>
    </row>
    <row r="261" spans="1:11" x14ac:dyDescent="0.35">
      <c r="A261" s="43">
        <v>46250.595150462963</v>
      </c>
      <c r="B261" t="s">
        <v>842</v>
      </c>
      <c r="C261" t="s">
        <v>941</v>
      </c>
      <c r="D261" t="s">
        <v>1309</v>
      </c>
      <c r="E261" t="s">
        <v>7</v>
      </c>
      <c r="G261" t="s">
        <v>1311</v>
      </c>
      <c r="H261" t="s">
        <v>1312</v>
      </c>
      <c r="I261">
        <v>3.5</v>
      </c>
      <c r="J261" t="s">
        <v>1313</v>
      </c>
    </row>
    <row r="262" spans="1:11" x14ac:dyDescent="0.35">
      <c r="A262" s="43">
        <v>46250.779560185183</v>
      </c>
      <c r="B262" t="s">
        <v>842</v>
      </c>
      <c r="C262" t="s">
        <v>941</v>
      </c>
      <c r="D262" t="s">
        <v>1309</v>
      </c>
      <c r="E262" t="s">
        <v>7</v>
      </c>
      <c r="G262" t="s">
        <v>1311</v>
      </c>
      <c r="H262" t="s">
        <v>1312</v>
      </c>
      <c r="I262">
        <v>3.5</v>
      </c>
      <c r="J262" t="s">
        <v>1313</v>
      </c>
    </row>
    <row r="263" spans="1:11" x14ac:dyDescent="0.35">
      <c r="A263" s="43">
        <v>46250.888252314813</v>
      </c>
      <c r="B263" t="s">
        <v>842</v>
      </c>
      <c r="C263">
        <v>137155</v>
      </c>
      <c r="D263" t="s">
        <v>1309</v>
      </c>
      <c r="E263" t="s">
        <v>7</v>
      </c>
      <c r="G263" t="s">
        <v>1311</v>
      </c>
      <c r="H263" t="s">
        <v>2826</v>
      </c>
      <c r="I263">
        <v>3.5</v>
      </c>
      <c r="J263" t="s">
        <v>1313</v>
      </c>
    </row>
    <row r="264" spans="1:11" x14ac:dyDescent="0.35">
      <c r="A264" s="43">
        <v>46250.891435185185</v>
      </c>
      <c r="B264" t="s">
        <v>842</v>
      </c>
      <c r="C264">
        <v>137155</v>
      </c>
      <c r="D264" t="s">
        <v>1309</v>
      </c>
      <c r="E264" t="s">
        <v>7</v>
      </c>
      <c r="G264" t="s">
        <v>1311</v>
      </c>
      <c r="H264" t="s">
        <v>2826</v>
      </c>
      <c r="I264">
        <v>3.5</v>
      </c>
      <c r="J264" t="s">
        <v>1313</v>
      </c>
    </row>
    <row r="265" spans="1:11" x14ac:dyDescent="0.35">
      <c r="A265" s="43">
        <v>46250.897199074076</v>
      </c>
      <c r="B265" t="s">
        <v>842</v>
      </c>
      <c r="C265">
        <v>137155</v>
      </c>
      <c r="D265" t="s">
        <v>1309</v>
      </c>
      <c r="E265" t="s">
        <v>7</v>
      </c>
      <c r="G265" t="s">
        <v>1311</v>
      </c>
      <c r="H265" t="s">
        <v>2826</v>
      </c>
      <c r="I265">
        <v>3.5</v>
      </c>
      <c r="J265" t="s">
        <v>1313</v>
      </c>
    </row>
    <row r="266" spans="1:11" x14ac:dyDescent="0.35">
      <c r="A266" s="43">
        <v>46250.898900462962</v>
      </c>
      <c r="B266" t="s">
        <v>842</v>
      </c>
      <c r="C266">
        <v>137155</v>
      </c>
      <c r="D266" t="s">
        <v>1309</v>
      </c>
      <c r="E266" t="s">
        <v>7</v>
      </c>
      <c r="G266" t="s">
        <v>1311</v>
      </c>
      <c r="H266" t="s">
        <v>2826</v>
      </c>
      <c r="I266">
        <v>3.5</v>
      </c>
      <c r="J266" t="s">
        <v>1313</v>
      </c>
    </row>
    <row r="267" spans="1:11" x14ac:dyDescent="0.35">
      <c r="A267" s="43">
        <v>46250.90184027778</v>
      </c>
      <c r="B267" t="s">
        <v>842</v>
      </c>
      <c r="C267" t="s">
        <v>2828</v>
      </c>
      <c r="E267" t="s">
        <v>7</v>
      </c>
      <c r="F267" t="s">
        <v>2829</v>
      </c>
      <c r="G267" t="s">
        <v>1314</v>
      </c>
      <c r="H267" t="s">
        <v>2830</v>
      </c>
      <c r="I267">
        <v>3.5</v>
      </c>
      <c r="J267" t="s">
        <v>2831</v>
      </c>
      <c r="K267" t="s">
        <v>2832</v>
      </c>
    </row>
    <row r="268" spans="1:11" x14ac:dyDescent="0.35">
      <c r="A268" s="43">
        <v>46250.903194444443</v>
      </c>
      <c r="B268" t="s">
        <v>842</v>
      </c>
      <c r="C268" t="s">
        <v>2828</v>
      </c>
      <c r="E268" t="s">
        <v>7</v>
      </c>
      <c r="F268" t="s">
        <v>2829</v>
      </c>
      <c r="G268" t="s">
        <v>1493</v>
      </c>
      <c r="H268" t="s">
        <v>2834</v>
      </c>
      <c r="I268">
        <v>3.5</v>
      </c>
      <c r="K268" t="s">
        <v>2835</v>
      </c>
    </row>
    <row r="269" spans="1:11" x14ac:dyDescent="0.35">
      <c r="A269" s="43">
        <v>46250.903749999998</v>
      </c>
      <c r="B269" t="s">
        <v>842</v>
      </c>
      <c r="C269" t="s">
        <v>2828</v>
      </c>
      <c r="E269" t="s">
        <v>7</v>
      </c>
      <c r="F269" t="s">
        <v>2829</v>
      </c>
      <c r="G269" t="s">
        <v>1809</v>
      </c>
      <c r="H269" t="s">
        <v>2836</v>
      </c>
      <c r="I269">
        <v>3.5</v>
      </c>
      <c r="K269" t="s">
        <v>1811</v>
      </c>
    </row>
  </sheetData>
  <pageMargins left="0.7" right="0.7" top="0.75" bottom="0.75" header="0.3" footer="0.3"/>
</worksheet>
</file>

<file path=docMetadata/LabelInfo.xml><?xml version="1.0" encoding="utf-8"?>
<clbl:labelList xmlns:clbl="http://schemas.microsoft.com/office/2020/mipLabelMetadata">
  <clbl:label id="{9e17c3e3-ba51-4656-9767-5ba4c8c34f4b}" enabled="0" method="" siteId="{9e17c3e3-ba51-4656-9767-5ba4c8c34f4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6</vt:i4>
      </vt:variant>
    </vt:vector>
  </HeadingPairs>
  <TitlesOfParts>
    <vt:vector size="17" baseType="lpstr">
      <vt:lpstr>Sheet1</vt:lpstr>
      <vt:lpstr>Search Matrix</vt:lpstr>
      <vt:lpstr>Backend_Settings</vt:lpstr>
      <vt:lpstr>ConsolidatedData</vt:lpstr>
      <vt:lpstr>Audit_Log</vt:lpstr>
      <vt:lpstr>Sheet7</vt:lpstr>
      <vt:lpstr>Rule_DB</vt:lpstr>
      <vt:lpstr>Program_Library</vt:lpstr>
      <vt:lpstr>Template_DB</vt:lpstr>
      <vt:lpstr>Language_Bits</vt:lpstr>
      <vt:lpstr>Audit_Ledger</vt:lpstr>
      <vt:lpstr>Crypto</vt:lpstr>
      <vt:lpstr>'Search Matrix'!ScenarioOptions</vt:lpstr>
      <vt:lpstr>ScenarioOptions</vt:lpstr>
      <vt:lpstr>TemplatesRFI</vt:lpstr>
      <vt:lpstr>TemplatesStandard</vt:lpstr>
      <vt:lpstr>Wise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Sammed Upadhye</dc:creator>
  <cp:keywords/>
  <dc:description/>
  <cp:lastModifiedBy>Swapnil Saha</cp:lastModifiedBy>
  <cp:revision/>
  <dcterms:created xsi:type="dcterms:W3CDTF">2015-06-05T18:17:20Z</dcterms:created>
  <dcterms:modified xsi:type="dcterms:W3CDTF">2026-08-16T16:46:55Z</dcterms:modified>
  <cp:category/>
  <cp:contentStatus/>
</cp:coreProperties>
</file>