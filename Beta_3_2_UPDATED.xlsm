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4"/>
    <sheet name="Backend_Settings" sheetId="2" state="visible" r:id="rId5"/>
    <sheet name="ConsolidatedData" sheetId="3" state="visible" r:id="rId6"/>
    <sheet name="Audit_Log" sheetId="4" state="visible" r:id="rId7"/>
    <sheet name="Sheet7" sheetId="5" state="visible" r:id="rId8"/>
    <sheet name="Rule_DB" sheetId="6" state="visible" r:id="rId9"/>
    <sheet name="Program_Library" sheetId="7" state="visible" r:id="rId10"/>
    <sheet name="Template_DB" sheetId="8" state="visible" r:id="rId11"/>
    <sheet name="Language_Bits" sheetId="9" state="visible" r:id="rId12"/>
    <sheet name="Search Matrix" sheetId="10" state="visible" r:id="rId13"/>
  </sheets>
  <definedNames>
    <definedName function="false" hidden="false" name="Crypto" vbProcedure="false">Template_DB!$A$5:$A$6</definedName>
    <definedName function="false" hidden="false" name="ScenarioOptions" vbProcedure="false">Sheet7!$Z$1</definedName>
    <definedName function="false" hidden="false" name="TemplatesRFI" vbProcedure="false">Sheet7!$E$8:$E$10</definedName>
    <definedName function="false" hidden="false" name="TemplatesStandard" vbProcedure="false">Sheet7!$D$8:$D$10</definedName>
    <definedName function="false" hidden="false" name="Wise" vbProcedure="false">Sheet7!$Z$1</definedName>
    <definedName function="false" hidden="true" name="_xleta.ADDRESS" vbProcedure="false">#NAME?</definedName>
    <definedName function="false" hidden="true" name="_xleta.AND" vbProcedure="false">#NAME?</definedName>
    <definedName function="false" hidden="true" name="_xleta.COUNT" vbProcedure="false">#NAME?</definedName>
    <definedName function="false" hidden="true" name="_xleta.FIND" vbProcedure="false">#NAME?</definedName>
    <definedName function="false" hidden="true" name="_xleta.MIN" vbProcedure="false">#NAME?</definedName>
    <definedName function="false" hidden="true" name="_xleta.SHEET" vbProcedure="false">#NAME?</definedName>
    <definedName function="false" hidden="true" name="_xleta.XLOOKUP" vbProcedure="false">#NAME?</definedName>
    <definedName function="false" hidden="true" name="_xlpm.AlertText" vbProcedure="false">#NAME?</definedName>
    <definedName function="false" hidden="true" name="_xlpm.AllAlerts" vbProcedure="false">#NAME?</definedName>
    <definedName function="false" hidden="true" name="_xlpm.RuleCodes" vbProcedure="false">#NAME?</definedName>
    <definedName function="false" hidden="true" name="_xlpm.SplitNames" vbProcedure="false">#NAME?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<sst xmlns="http://schemas.openxmlformats.org/spreadsheetml/2006/main" count="2008" uniqueCount="1306">
  <si>
    <t xml:space="preserve">Action Panel</t>
  </si>
  <si>
    <t xml:space="preserve">Alert Related Information</t>
  </si>
  <si>
    <t xml:space="preserve">Decision</t>
  </si>
  <si>
    <t xml:space="preserve">Template</t>
  </si>
  <si>
    <t xml:space="preserve">Program Name</t>
  </si>
  <si>
    <t xml:space="preserve">Escalation Scenario</t>
  </si>
  <si>
    <t xml:space="preserve">ECM Case</t>
  </si>
  <si>
    <t xml:space="preserve">Alert ID</t>
  </si>
  <si>
    <t xml:space="preserve">Customer/Focal Entity Information</t>
  </si>
  <si>
    <t xml:space="preserve">Customer Name</t>
  </si>
  <si>
    <t xml:space="preserve">Customer Address</t>
  </si>
  <si>
    <t xml:space="preserve">Counterparty Information</t>
  </si>
  <si>
    <t xml:space="preserve">Add-Ons</t>
  </si>
  <si>
    <t xml:space="preserve">CounterParty #s</t>
  </si>
  <si>
    <t xml:space="preserve">Counterparty Name</t>
  </si>
  <si>
    <t xml:space="preserve">Counterparty Address</t>
  </si>
  <si>
    <t xml:space="preserve">CounterParty 1</t>
  </si>
  <si>
    <t xml:space="preserve">CounterParty 2</t>
  </si>
  <si>
    <t xml:space="preserve">CounterParty 3</t>
  </si>
  <si>
    <t xml:space="preserve">CounterParty 4</t>
  </si>
  <si>
    <t xml:space="preserve">CounterParty 5</t>
  </si>
  <si>
    <t xml:space="preserve">CounterParty 6</t>
  </si>
  <si>
    <t xml:space="preserve">Country Name</t>
  </si>
  <si>
    <t xml:space="preserve">ISOCode2</t>
  </si>
  <si>
    <t xml:space="preserve">ISOCode3</t>
  </si>
  <si>
    <t xml:space="preserve">Risk Score</t>
  </si>
  <si>
    <t xml:space="preserve">Risk Level</t>
  </si>
  <si>
    <t xml:space="preserve">CountryName</t>
  </si>
  <si>
    <t xml:space="preserve">IsoCode2</t>
  </si>
  <si>
    <t xml:space="preserve">IsoCode3</t>
  </si>
  <si>
    <t xml:space="preserve">RiskLevel</t>
  </si>
  <si>
    <t xml:space="preserve">RiskScore</t>
  </si>
  <si>
    <t xml:space="preserve">AFGHANISTAN</t>
  </si>
  <si>
    <t xml:space="preserve">AF</t>
  </si>
  <si>
    <t xml:space="preserve">AFG</t>
  </si>
  <si>
    <t xml:space="preserve">Prohibited</t>
  </si>
  <si>
    <t xml:space="preserve">ALAND ISLANDS</t>
  </si>
  <si>
    <t xml:space="preserve">AX</t>
  </si>
  <si>
    <t xml:space="preserve">Medium</t>
  </si>
  <si>
    <t xml:space="preserve">ALBANIA</t>
  </si>
  <si>
    <t xml:space="preserve">AL</t>
  </si>
  <si>
    <t xml:space="preserve">ALB</t>
  </si>
  <si>
    <t xml:space="preserve">High</t>
  </si>
  <si>
    <t xml:space="preserve">ALGERIA</t>
  </si>
  <si>
    <t xml:space="preserve">DZ</t>
  </si>
  <si>
    <t xml:space="preserve">DZA</t>
  </si>
  <si>
    <t xml:space="preserve">AMERICAN SAMOA</t>
  </si>
  <si>
    <t xml:space="preserve">AS</t>
  </si>
  <si>
    <t xml:space="preserve">ASM</t>
  </si>
  <si>
    <t xml:space="preserve">ANDORRA</t>
  </si>
  <si>
    <t xml:space="preserve">AD</t>
  </si>
  <si>
    <t xml:space="preserve">AND</t>
  </si>
  <si>
    <t xml:space="preserve">ANGOLA</t>
  </si>
  <si>
    <t xml:space="preserve">AO</t>
  </si>
  <si>
    <t xml:space="preserve">AGO</t>
  </si>
  <si>
    <t xml:space="preserve">ANGUILLA</t>
  </si>
  <si>
    <t xml:space="preserve">AI</t>
  </si>
  <si>
    <t xml:space="preserve">ANTARCTICA</t>
  </si>
  <si>
    <t xml:space="preserve">AQ</t>
  </si>
  <si>
    <t xml:space="preserve">ATA</t>
  </si>
  <si>
    <t xml:space="preserve">Low</t>
  </si>
  <si>
    <t xml:space="preserve">ANTIGUA</t>
  </si>
  <si>
    <t xml:space="preserve">AG</t>
  </si>
  <si>
    <t xml:space="preserve">ATG</t>
  </si>
  <si>
    <t xml:space="preserve">ARGENTINA</t>
  </si>
  <si>
    <t xml:space="preserve">AR</t>
  </si>
  <si>
    <t xml:space="preserve">ARG</t>
  </si>
  <si>
    <t xml:space="preserve">ARMENIA</t>
  </si>
  <si>
    <t xml:space="preserve">AM</t>
  </si>
  <si>
    <t xml:space="preserve">ARM</t>
  </si>
  <si>
    <t xml:space="preserve">ARUBA</t>
  </si>
  <si>
    <t xml:space="preserve">AW</t>
  </si>
  <si>
    <t xml:space="preserve">ABW</t>
  </si>
  <si>
    <t xml:space="preserve">AUSTRALIA</t>
  </si>
  <si>
    <t xml:space="preserve">AU</t>
  </si>
  <si>
    <t xml:space="preserve">AUSTRIA</t>
  </si>
  <si>
    <t xml:space="preserve">AT</t>
  </si>
  <si>
    <t xml:space="preserve">AUT</t>
  </si>
  <si>
    <t xml:space="preserve">AZERBAIJAN</t>
  </si>
  <si>
    <t xml:space="preserve">AZ</t>
  </si>
  <si>
    <t xml:space="preserve">AZE</t>
  </si>
  <si>
    <t xml:space="preserve">BAHAMAS</t>
  </si>
  <si>
    <t xml:space="preserve">BS</t>
  </si>
  <si>
    <t xml:space="preserve">BHS</t>
  </si>
  <si>
    <t xml:space="preserve">BAHRAIN</t>
  </si>
  <si>
    <t xml:space="preserve">BH</t>
  </si>
  <si>
    <t xml:space="preserve">BHR</t>
  </si>
  <si>
    <t xml:space="preserve">BANGLADESH</t>
  </si>
  <si>
    <t xml:space="preserve">BD</t>
  </si>
  <si>
    <t xml:space="preserve">BGD</t>
  </si>
  <si>
    <t xml:space="preserve">BARBADOS</t>
  </si>
  <si>
    <t xml:space="preserve">BB</t>
  </si>
  <si>
    <t xml:space="preserve">BRB</t>
  </si>
  <si>
    <t xml:space="preserve">BELARUS</t>
  </si>
  <si>
    <t xml:space="preserve">BY</t>
  </si>
  <si>
    <t xml:space="preserve">BLR</t>
  </si>
  <si>
    <t xml:space="preserve">BELGIUM</t>
  </si>
  <si>
    <t xml:space="preserve">BE</t>
  </si>
  <si>
    <t xml:space="preserve">BEL</t>
  </si>
  <si>
    <t xml:space="preserve">BELIZE</t>
  </si>
  <si>
    <t xml:space="preserve">BZ</t>
  </si>
  <si>
    <t xml:space="preserve">BLZ</t>
  </si>
  <si>
    <t xml:space="preserve">BENIN</t>
  </si>
  <si>
    <t xml:space="preserve">BJ</t>
  </si>
  <si>
    <t xml:space="preserve">BEN</t>
  </si>
  <si>
    <t xml:space="preserve">BERMUDA</t>
  </si>
  <si>
    <t xml:space="preserve">BM</t>
  </si>
  <si>
    <t xml:space="preserve">BMU</t>
  </si>
  <si>
    <t xml:space="preserve">BHUTAN</t>
  </si>
  <si>
    <t xml:space="preserve">BT</t>
  </si>
  <si>
    <t xml:space="preserve">BTN</t>
  </si>
  <si>
    <t xml:space="preserve">BOLIVIA</t>
  </si>
  <si>
    <t xml:space="preserve">BO</t>
  </si>
  <si>
    <t xml:space="preserve">BOL</t>
  </si>
  <si>
    <t xml:space="preserve">BONAIRE SINT EUSTATIUS AND SABA</t>
  </si>
  <si>
    <t xml:space="preserve">BQ</t>
  </si>
  <si>
    <t xml:space="preserve">BOSNIAHERZ</t>
  </si>
  <si>
    <t xml:space="preserve">BA</t>
  </si>
  <si>
    <t xml:space="preserve">BIH</t>
  </si>
  <si>
    <t xml:space="preserve">BOTSWANA</t>
  </si>
  <si>
    <t xml:space="preserve">BW</t>
  </si>
  <si>
    <t xml:space="preserve">BWA</t>
  </si>
  <si>
    <t xml:space="preserve">BOUVET ISLAND</t>
  </si>
  <si>
    <t xml:space="preserve">BV</t>
  </si>
  <si>
    <t xml:space="preserve">BVT</t>
  </si>
  <si>
    <t xml:space="preserve">BR IND OC TER</t>
  </si>
  <si>
    <t xml:space="preserve">IO</t>
  </si>
  <si>
    <t xml:space="preserve">BRAZIL</t>
  </si>
  <si>
    <t xml:space="preserve">BR</t>
  </si>
  <si>
    <t xml:space="preserve">BRA</t>
  </si>
  <si>
    <t xml:space="preserve">BRUNEI</t>
  </si>
  <si>
    <t xml:space="preserve">BN</t>
  </si>
  <si>
    <t xml:space="preserve">BRN</t>
  </si>
  <si>
    <t xml:space="preserve">BULGARIA</t>
  </si>
  <si>
    <t xml:space="preserve">BG</t>
  </si>
  <si>
    <t xml:space="preserve">BGR</t>
  </si>
  <si>
    <t xml:space="preserve">BURKINA FASO</t>
  </si>
  <si>
    <t xml:space="preserve">BF</t>
  </si>
  <si>
    <t xml:space="preserve">BFA</t>
  </si>
  <si>
    <t xml:space="preserve">BURUNDI</t>
  </si>
  <si>
    <t xml:space="preserve">BI</t>
  </si>
  <si>
    <t xml:space="preserve">BDI</t>
  </si>
  <si>
    <t xml:space="preserve">CAMBODIA</t>
  </si>
  <si>
    <t xml:space="preserve">KH</t>
  </si>
  <si>
    <t xml:space="preserve">KHM</t>
  </si>
  <si>
    <t xml:space="preserve">CAMEROON</t>
  </si>
  <si>
    <t xml:space="preserve">CM</t>
  </si>
  <si>
    <t xml:space="preserve">CMR</t>
  </si>
  <si>
    <t xml:space="preserve">CANADA</t>
  </si>
  <si>
    <t xml:space="preserve">CA</t>
  </si>
  <si>
    <t xml:space="preserve">CAN</t>
  </si>
  <si>
    <t xml:space="preserve">CAPE VERDE</t>
  </si>
  <si>
    <t xml:space="preserve">CV</t>
  </si>
  <si>
    <t xml:space="preserve">CPV</t>
  </si>
  <si>
    <t xml:space="preserve">CAYMAN ISLANDS</t>
  </si>
  <si>
    <t xml:space="preserve">KY</t>
  </si>
  <si>
    <t xml:space="preserve">CYM</t>
  </si>
  <si>
    <t xml:space="preserve">CENT AFR</t>
  </si>
  <si>
    <t xml:space="preserve">CF</t>
  </si>
  <si>
    <t xml:space="preserve">CAF</t>
  </si>
  <si>
    <t xml:space="preserve">CHAD</t>
  </si>
  <si>
    <t xml:space="preserve">TD</t>
  </si>
  <si>
    <t xml:space="preserve">TCD</t>
  </si>
  <si>
    <t xml:space="preserve">CHILE</t>
  </si>
  <si>
    <t xml:space="preserve">CL</t>
  </si>
  <si>
    <t xml:space="preserve">CHL</t>
  </si>
  <si>
    <t xml:space="preserve">CHINA</t>
  </si>
  <si>
    <t xml:space="preserve">CN</t>
  </si>
  <si>
    <t xml:space="preserve">CHN</t>
  </si>
  <si>
    <t xml:space="preserve">CHRISTMAS ISLAND</t>
  </si>
  <si>
    <t xml:space="preserve">CX</t>
  </si>
  <si>
    <t xml:space="preserve">CXR</t>
  </si>
  <si>
    <t xml:space="preserve">COCOS ISLANDS</t>
  </si>
  <si>
    <t xml:space="preserve">CC</t>
  </si>
  <si>
    <t xml:space="preserve">CCK</t>
  </si>
  <si>
    <t xml:space="preserve">COLOMBIA</t>
  </si>
  <si>
    <t xml:space="preserve">CO</t>
  </si>
  <si>
    <t xml:space="preserve">COL</t>
  </si>
  <si>
    <t xml:space="preserve">COMOROS</t>
  </si>
  <si>
    <t xml:space="preserve">KM</t>
  </si>
  <si>
    <t xml:space="preserve">COM</t>
  </si>
  <si>
    <t xml:space="preserve">CONGO KINSHASA</t>
  </si>
  <si>
    <t xml:space="preserve">CD</t>
  </si>
  <si>
    <t xml:space="preserve">COD</t>
  </si>
  <si>
    <t xml:space="preserve">CONGOBRAZZAVILLE</t>
  </si>
  <si>
    <t xml:space="preserve">CG</t>
  </si>
  <si>
    <t xml:space="preserve">COG</t>
  </si>
  <si>
    <t xml:space="preserve">COOK ISLANDS</t>
  </si>
  <si>
    <t xml:space="preserve">CK</t>
  </si>
  <si>
    <t xml:space="preserve">COK</t>
  </si>
  <si>
    <t xml:space="preserve">COSTA RICA</t>
  </si>
  <si>
    <t xml:space="preserve">CR</t>
  </si>
  <si>
    <t xml:space="preserve">CRI</t>
  </si>
  <si>
    <t xml:space="preserve">COTE DIVOIRY</t>
  </si>
  <si>
    <t xml:space="preserve">CI</t>
  </si>
  <si>
    <t xml:space="preserve">CIV</t>
  </si>
  <si>
    <t xml:space="preserve">CROATIA</t>
  </si>
  <si>
    <t xml:space="preserve">HR</t>
  </si>
  <si>
    <t xml:space="preserve">HRV</t>
  </si>
  <si>
    <t xml:space="preserve">CUBA</t>
  </si>
  <si>
    <t xml:space="preserve">CU</t>
  </si>
  <si>
    <t xml:space="preserve">CUB</t>
  </si>
  <si>
    <t xml:space="preserve">CURAAO</t>
  </si>
  <si>
    <t xml:space="preserve">CW</t>
  </si>
  <si>
    <t xml:space="preserve">CUW</t>
  </si>
  <si>
    <t xml:space="preserve">CYPRUS</t>
  </si>
  <si>
    <t xml:space="preserve">CY</t>
  </si>
  <si>
    <t xml:space="preserve">CYP</t>
  </si>
  <si>
    <t xml:space="preserve">CZECH REPUBLIC</t>
  </si>
  <si>
    <t xml:space="preserve">CZ</t>
  </si>
  <si>
    <t xml:space="preserve">CZE</t>
  </si>
  <si>
    <t xml:space="preserve">DENMARK</t>
  </si>
  <si>
    <t xml:space="preserve">DK</t>
  </si>
  <si>
    <t xml:space="preserve">DNK</t>
  </si>
  <si>
    <t xml:space="preserve">DJIBOUTI</t>
  </si>
  <si>
    <t xml:space="preserve">DJ</t>
  </si>
  <si>
    <t xml:space="preserve">DJI</t>
  </si>
  <si>
    <t xml:space="preserve">DOMINICA</t>
  </si>
  <si>
    <t xml:space="preserve">DM</t>
  </si>
  <si>
    <t xml:space="preserve">DMA</t>
  </si>
  <si>
    <t xml:space="preserve">DOMINICAN</t>
  </si>
  <si>
    <t xml:space="preserve">DO</t>
  </si>
  <si>
    <t xml:space="preserve">DOM</t>
  </si>
  <si>
    <t xml:space="preserve">ECUADOR</t>
  </si>
  <si>
    <t xml:space="preserve">EC</t>
  </si>
  <si>
    <t xml:space="preserve">ECU</t>
  </si>
  <si>
    <t xml:space="preserve">EGYPT</t>
  </si>
  <si>
    <t xml:space="preserve">EG</t>
  </si>
  <si>
    <t xml:space="preserve">EGY</t>
  </si>
  <si>
    <t xml:space="preserve">EL SALVADOR</t>
  </si>
  <si>
    <t xml:space="preserve">SV</t>
  </si>
  <si>
    <t xml:space="preserve">SLV</t>
  </si>
  <si>
    <t xml:space="preserve">EQU GUINEA</t>
  </si>
  <si>
    <t xml:space="preserve">GQ</t>
  </si>
  <si>
    <t xml:space="preserve">GNQ</t>
  </si>
  <si>
    <t xml:space="preserve">ERITREA</t>
  </si>
  <si>
    <t xml:space="preserve">ER</t>
  </si>
  <si>
    <t xml:space="preserve">ERI</t>
  </si>
  <si>
    <t xml:space="preserve">ESTONIA</t>
  </si>
  <si>
    <t xml:space="preserve">EE</t>
  </si>
  <si>
    <t xml:space="preserve">EST</t>
  </si>
  <si>
    <t xml:space="preserve">ETHIOPIA</t>
  </si>
  <si>
    <t xml:space="preserve">ET</t>
  </si>
  <si>
    <t xml:space="preserve">ETH</t>
  </si>
  <si>
    <t xml:space="preserve">FALKLAND ISLAND</t>
  </si>
  <si>
    <t xml:space="preserve">FK</t>
  </si>
  <si>
    <t xml:space="preserve">FLK</t>
  </si>
  <si>
    <t xml:space="preserve">FAROE ISLANDS</t>
  </si>
  <si>
    <t xml:space="preserve">FO</t>
  </si>
  <si>
    <t xml:space="preserve">FRO</t>
  </si>
  <si>
    <t xml:space="preserve">FIJI</t>
  </si>
  <si>
    <t xml:space="preserve">FJ</t>
  </si>
  <si>
    <t xml:space="preserve">FJI</t>
  </si>
  <si>
    <t xml:space="preserve">FINLAND</t>
  </si>
  <si>
    <t xml:space="preserve">FI</t>
  </si>
  <si>
    <t xml:space="preserve">FIN</t>
  </si>
  <si>
    <t xml:space="preserve">FR POLYNESIA</t>
  </si>
  <si>
    <t xml:space="preserve">PF</t>
  </si>
  <si>
    <t xml:space="preserve">PYF</t>
  </si>
  <si>
    <t xml:space="preserve">FR S TERRIT</t>
  </si>
  <si>
    <t xml:space="preserve">TF</t>
  </si>
  <si>
    <t xml:space="preserve">ATF</t>
  </si>
  <si>
    <t xml:space="preserve">FRANCE</t>
  </si>
  <si>
    <t xml:space="preserve">FR</t>
  </si>
  <si>
    <t xml:space="preserve">FRA</t>
  </si>
  <si>
    <t xml:space="preserve">FRENCH GUIANA</t>
  </si>
  <si>
    <t xml:space="preserve">GF</t>
  </si>
  <si>
    <t xml:space="preserve">GUF</t>
  </si>
  <si>
    <t xml:space="preserve">GABON</t>
  </si>
  <si>
    <t xml:space="preserve">GA</t>
  </si>
  <si>
    <t xml:space="preserve">GAB</t>
  </si>
  <si>
    <t xml:space="preserve">GAMBIA</t>
  </si>
  <si>
    <t xml:space="preserve">GM</t>
  </si>
  <si>
    <t xml:space="preserve">GMB</t>
  </si>
  <si>
    <t xml:space="preserve">GEORGIA</t>
  </si>
  <si>
    <t xml:space="preserve">GE</t>
  </si>
  <si>
    <t xml:space="preserve">GEO</t>
  </si>
  <si>
    <t xml:space="preserve">GERMANY</t>
  </si>
  <si>
    <t xml:space="preserve">DE</t>
  </si>
  <si>
    <t xml:space="preserve">DEU</t>
  </si>
  <si>
    <t xml:space="preserve">GHANA</t>
  </si>
  <si>
    <t xml:space="preserve">GH</t>
  </si>
  <si>
    <t xml:space="preserve">GHA</t>
  </si>
  <si>
    <t xml:space="preserve">GIBRALTAR</t>
  </si>
  <si>
    <t xml:space="preserve">GI</t>
  </si>
  <si>
    <t xml:space="preserve">GIB</t>
  </si>
  <si>
    <t xml:space="preserve">GREECE</t>
  </si>
  <si>
    <t xml:space="preserve">GR</t>
  </si>
  <si>
    <t xml:space="preserve">GRC</t>
  </si>
  <si>
    <t xml:space="preserve">GREENLAND</t>
  </si>
  <si>
    <t xml:space="preserve">GL</t>
  </si>
  <si>
    <t xml:space="preserve">GRL</t>
  </si>
  <si>
    <t xml:space="preserve">GRENADA</t>
  </si>
  <si>
    <t xml:space="preserve">GD</t>
  </si>
  <si>
    <t xml:space="preserve">GRD</t>
  </si>
  <si>
    <t xml:space="preserve">GUADELOUPE</t>
  </si>
  <si>
    <t xml:space="preserve">GP</t>
  </si>
  <si>
    <t xml:space="preserve">GLP</t>
  </si>
  <si>
    <t xml:space="preserve">GUAM</t>
  </si>
  <si>
    <t xml:space="preserve">GU</t>
  </si>
  <si>
    <t xml:space="preserve">GUM</t>
  </si>
  <si>
    <t xml:space="preserve">GUATEMALA</t>
  </si>
  <si>
    <t xml:space="preserve">GT</t>
  </si>
  <si>
    <t xml:space="preserve">GTM</t>
  </si>
  <si>
    <t xml:space="preserve">GUERNSEY</t>
  </si>
  <si>
    <t xml:space="preserve">GG</t>
  </si>
  <si>
    <t xml:space="preserve">GUINEA</t>
  </si>
  <si>
    <t xml:space="preserve">GN</t>
  </si>
  <si>
    <t xml:space="preserve">GIN</t>
  </si>
  <si>
    <t xml:space="preserve">GUINEABISSAU</t>
  </si>
  <si>
    <t xml:space="preserve">GW</t>
  </si>
  <si>
    <t xml:space="preserve">GNB</t>
  </si>
  <si>
    <t xml:space="preserve">GUYANA</t>
  </si>
  <si>
    <t xml:space="preserve">GY</t>
  </si>
  <si>
    <t xml:space="preserve">GUY</t>
  </si>
  <si>
    <t xml:space="preserve">HAITI</t>
  </si>
  <si>
    <t xml:space="preserve">HT</t>
  </si>
  <si>
    <t xml:space="preserve">HTI</t>
  </si>
  <si>
    <t xml:space="preserve">HEARD AND MCDONALD</t>
  </si>
  <si>
    <t xml:space="preserve">HM</t>
  </si>
  <si>
    <t xml:space="preserve">HMD</t>
  </si>
  <si>
    <t xml:space="preserve">HONDURAS</t>
  </si>
  <si>
    <t xml:space="preserve">HN</t>
  </si>
  <si>
    <t xml:space="preserve">HND</t>
  </si>
  <si>
    <t xml:space="preserve">HONG KONG</t>
  </si>
  <si>
    <t xml:space="preserve">HK</t>
  </si>
  <si>
    <t xml:space="preserve">HKG</t>
  </si>
  <si>
    <t xml:space="preserve">HUNGARY</t>
  </si>
  <si>
    <t xml:space="preserve">HU</t>
  </si>
  <si>
    <t xml:space="preserve">HUN</t>
  </si>
  <si>
    <t xml:space="preserve">ICELAND</t>
  </si>
  <si>
    <t xml:space="preserve">IS</t>
  </si>
  <si>
    <t xml:space="preserve">ISL</t>
  </si>
  <si>
    <t xml:space="preserve">INDIA</t>
  </si>
  <si>
    <t xml:space="preserve">IN</t>
  </si>
  <si>
    <t xml:space="preserve">IND</t>
  </si>
  <si>
    <t xml:space="preserve">INDONESIA</t>
  </si>
  <si>
    <t xml:space="preserve">ID</t>
  </si>
  <si>
    <t xml:space="preserve">IDN</t>
  </si>
  <si>
    <t xml:space="preserve">INVALID</t>
  </si>
  <si>
    <t xml:space="preserve">ZY</t>
  </si>
  <si>
    <t xml:space="preserve">ZYL</t>
  </si>
  <si>
    <t xml:space="preserve">IRAN</t>
  </si>
  <si>
    <t xml:space="preserve">IR</t>
  </si>
  <si>
    <t xml:space="preserve">IRN</t>
  </si>
  <si>
    <t xml:space="preserve">IRAQ</t>
  </si>
  <si>
    <t xml:space="preserve">IQ</t>
  </si>
  <si>
    <t xml:space="preserve">IRQ</t>
  </si>
  <si>
    <t xml:space="preserve">IRELAND</t>
  </si>
  <si>
    <t xml:space="preserve">IE</t>
  </si>
  <si>
    <t xml:space="preserve">IRL</t>
  </si>
  <si>
    <t xml:space="preserve">ISLE OF MAN</t>
  </si>
  <si>
    <t xml:space="preserve">IM</t>
  </si>
  <si>
    <t xml:space="preserve">IMN</t>
  </si>
  <si>
    <t xml:space="preserve">ISRAEL</t>
  </si>
  <si>
    <t xml:space="preserve">IL</t>
  </si>
  <si>
    <t xml:space="preserve">ISR</t>
  </si>
  <si>
    <t xml:space="preserve">ITALY</t>
  </si>
  <si>
    <t xml:space="preserve">IT</t>
  </si>
  <si>
    <t xml:space="preserve">ITA</t>
  </si>
  <si>
    <t xml:space="preserve">JAMAICA</t>
  </si>
  <si>
    <t xml:space="preserve">JM</t>
  </si>
  <si>
    <t xml:space="preserve">JAM</t>
  </si>
  <si>
    <t xml:space="preserve">JAPAN</t>
  </si>
  <si>
    <t xml:space="preserve">JP</t>
  </si>
  <si>
    <t xml:space="preserve">JPN</t>
  </si>
  <si>
    <t xml:space="preserve">JERSEY</t>
  </si>
  <si>
    <t xml:space="preserve">JE</t>
  </si>
  <si>
    <t xml:space="preserve">JEY</t>
  </si>
  <si>
    <t xml:space="preserve">JORDAN</t>
  </si>
  <si>
    <t xml:space="preserve">JO</t>
  </si>
  <si>
    <t xml:space="preserve">JOR</t>
  </si>
  <si>
    <t xml:space="preserve">KAZAKSTAN</t>
  </si>
  <si>
    <t xml:space="preserve">KZ</t>
  </si>
  <si>
    <t xml:space="preserve">KAZ</t>
  </si>
  <si>
    <t xml:space="preserve">KENYA</t>
  </si>
  <si>
    <t xml:space="preserve">KE</t>
  </si>
  <si>
    <t xml:space="preserve">KEN</t>
  </si>
  <si>
    <t xml:space="preserve">KIRIBATI</t>
  </si>
  <si>
    <t xml:space="preserve">KI</t>
  </si>
  <si>
    <t xml:space="preserve">KIR</t>
  </si>
  <si>
    <t xml:space="preserve">KOREA</t>
  </si>
  <si>
    <t xml:space="preserve">KP</t>
  </si>
  <si>
    <t xml:space="preserve">KOR</t>
  </si>
  <si>
    <t xml:space="preserve">KOREA REP OF</t>
  </si>
  <si>
    <t xml:space="preserve">KR</t>
  </si>
  <si>
    <t xml:space="preserve">PRK</t>
  </si>
  <si>
    <t xml:space="preserve">KOSOVO</t>
  </si>
  <si>
    <t xml:space="preserve">KV</t>
  </si>
  <si>
    <t xml:space="preserve">XK</t>
  </si>
  <si>
    <t xml:space="preserve">XKX</t>
  </si>
  <si>
    <t xml:space="preserve">KUWAIT</t>
  </si>
  <si>
    <t xml:space="preserve">KW</t>
  </si>
  <si>
    <t xml:space="preserve">KWT</t>
  </si>
  <si>
    <t xml:space="preserve">KYRGYZSTAN</t>
  </si>
  <si>
    <t xml:space="preserve">KG</t>
  </si>
  <si>
    <t xml:space="preserve">KGZ</t>
  </si>
  <si>
    <t xml:space="preserve">LAO</t>
  </si>
  <si>
    <t xml:space="preserve">LA</t>
  </si>
  <si>
    <t xml:space="preserve">LATVIA</t>
  </si>
  <si>
    <t xml:space="preserve">LV</t>
  </si>
  <si>
    <t xml:space="preserve">LVA</t>
  </si>
  <si>
    <t xml:space="preserve">LEBANON</t>
  </si>
  <si>
    <t xml:space="preserve">LB</t>
  </si>
  <si>
    <t xml:space="preserve">LBN</t>
  </si>
  <si>
    <t xml:space="preserve">LESOTHO</t>
  </si>
  <si>
    <t xml:space="preserve">LS</t>
  </si>
  <si>
    <t xml:space="preserve">LSO</t>
  </si>
  <si>
    <t xml:space="preserve">LIBERIA</t>
  </si>
  <si>
    <t xml:space="preserve">LR</t>
  </si>
  <si>
    <t xml:space="preserve">LBR</t>
  </si>
  <si>
    <t xml:space="preserve">LIBYA</t>
  </si>
  <si>
    <t xml:space="preserve">LY</t>
  </si>
  <si>
    <t xml:space="preserve">LBY</t>
  </si>
  <si>
    <t xml:space="preserve">LIECHTENSTEIN</t>
  </si>
  <si>
    <t xml:space="preserve">LI</t>
  </si>
  <si>
    <t xml:space="preserve">LIE</t>
  </si>
  <si>
    <t xml:space="preserve">LITHUANIA</t>
  </si>
  <si>
    <t xml:space="preserve">LT</t>
  </si>
  <si>
    <t xml:space="preserve">LTU</t>
  </si>
  <si>
    <t xml:space="preserve">LUXEMBOURG</t>
  </si>
  <si>
    <t xml:space="preserve">LU</t>
  </si>
  <si>
    <t xml:space="preserve">LUX</t>
  </si>
  <si>
    <t xml:space="preserve">MACAU</t>
  </si>
  <si>
    <t xml:space="preserve">MO</t>
  </si>
  <si>
    <t xml:space="preserve">MAC</t>
  </si>
  <si>
    <t xml:space="preserve">MACEDONIA</t>
  </si>
  <si>
    <t xml:space="preserve">MK</t>
  </si>
  <si>
    <t xml:space="preserve">MKD</t>
  </si>
  <si>
    <t xml:space="preserve">MADAGASCAR</t>
  </si>
  <si>
    <t xml:space="preserve">MG</t>
  </si>
  <si>
    <t xml:space="preserve">MDG</t>
  </si>
  <si>
    <t xml:space="preserve">MALAWI</t>
  </si>
  <si>
    <t xml:space="preserve">MW</t>
  </si>
  <si>
    <t xml:space="preserve">MWI</t>
  </si>
  <si>
    <t xml:space="preserve">MALAYSIA</t>
  </si>
  <si>
    <t xml:space="preserve">MY</t>
  </si>
  <si>
    <t xml:space="preserve">MYS</t>
  </si>
  <si>
    <t xml:space="preserve">MALDIVES</t>
  </si>
  <si>
    <t xml:space="preserve">MV</t>
  </si>
  <si>
    <t xml:space="preserve">MDV</t>
  </si>
  <si>
    <t xml:space="preserve">MALI</t>
  </si>
  <si>
    <t xml:space="preserve">ML</t>
  </si>
  <si>
    <t xml:space="preserve">MLI</t>
  </si>
  <si>
    <t xml:space="preserve">MALTA</t>
  </si>
  <si>
    <t xml:space="preserve">MT</t>
  </si>
  <si>
    <t xml:space="preserve">MLT</t>
  </si>
  <si>
    <t xml:space="preserve">MARSHALL IS</t>
  </si>
  <si>
    <t xml:space="preserve">MH</t>
  </si>
  <si>
    <t xml:space="preserve">MHL</t>
  </si>
  <si>
    <t xml:space="preserve">MARTINIQUE</t>
  </si>
  <si>
    <t xml:space="preserve">MQ</t>
  </si>
  <si>
    <t xml:space="preserve">MTQ</t>
  </si>
  <si>
    <t xml:space="preserve">MAURITANIA</t>
  </si>
  <si>
    <t xml:space="preserve">MR</t>
  </si>
  <si>
    <t xml:space="preserve">MRT</t>
  </si>
  <si>
    <t xml:space="preserve">MAURITIUS</t>
  </si>
  <si>
    <t xml:space="preserve">MU</t>
  </si>
  <si>
    <t xml:space="preserve">MUS</t>
  </si>
  <si>
    <t xml:space="preserve">MAYOTTE</t>
  </si>
  <si>
    <t xml:space="preserve">YT</t>
  </si>
  <si>
    <t xml:space="preserve">MYT</t>
  </si>
  <si>
    <t xml:space="preserve">MEXICO</t>
  </si>
  <si>
    <t xml:space="preserve">MX</t>
  </si>
  <si>
    <t xml:space="preserve">MEX</t>
  </si>
  <si>
    <t xml:space="preserve">MICRONESIA</t>
  </si>
  <si>
    <t xml:space="preserve">FM</t>
  </si>
  <si>
    <t xml:space="preserve">FSM</t>
  </si>
  <si>
    <t xml:space="preserve">MOLDOVA REP OF</t>
  </si>
  <si>
    <t xml:space="preserve">MD</t>
  </si>
  <si>
    <t xml:space="preserve">MDA</t>
  </si>
  <si>
    <t xml:space="preserve">MONACO</t>
  </si>
  <si>
    <t xml:space="preserve">MC</t>
  </si>
  <si>
    <t xml:space="preserve">MCO</t>
  </si>
  <si>
    <t xml:space="preserve">MONGOLIA</t>
  </si>
  <si>
    <t xml:space="preserve">MN</t>
  </si>
  <si>
    <t xml:space="preserve">MNG</t>
  </si>
  <si>
    <t xml:space="preserve">MONSERRAT</t>
  </si>
  <si>
    <t xml:space="preserve">MS</t>
  </si>
  <si>
    <t xml:space="preserve">MSR</t>
  </si>
  <si>
    <t xml:space="preserve">MONTENEGRO</t>
  </si>
  <si>
    <t xml:space="preserve">ME</t>
  </si>
  <si>
    <t xml:space="preserve">MNE</t>
  </si>
  <si>
    <t xml:space="preserve">MOROCCO</t>
  </si>
  <si>
    <t xml:space="preserve">MA</t>
  </si>
  <si>
    <t xml:space="preserve">MAR</t>
  </si>
  <si>
    <t xml:space="preserve">MOZAMBIQUE</t>
  </si>
  <si>
    <t xml:space="preserve">MZ</t>
  </si>
  <si>
    <t xml:space="preserve">MOZ</t>
  </si>
  <si>
    <t xml:space="preserve">MYANMAR</t>
  </si>
  <si>
    <t xml:space="preserve">MM</t>
  </si>
  <si>
    <t xml:space="preserve">MMR</t>
  </si>
  <si>
    <t xml:space="preserve">N MARIANA IS</t>
  </si>
  <si>
    <t xml:space="preserve">MP</t>
  </si>
  <si>
    <t xml:space="preserve">MNP</t>
  </si>
  <si>
    <t xml:space="preserve">NAMIBIA</t>
  </si>
  <si>
    <t xml:space="preserve">NA</t>
  </si>
  <si>
    <t xml:space="preserve">NAM</t>
  </si>
  <si>
    <t xml:space="preserve">NAURU</t>
  </si>
  <si>
    <t xml:space="preserve">NR</t>
  </si>
  <si>
    <t xml:space="preserve">NRU</t>
  </si>
  <si>
    <t xml:space="preserve">NEPAL</t>
  </si>
  <si>
    <t xml:space="preserve">NP</t>
  </si>
  <si>
    <t xml:space="preserve">NPL</t>
  </si>
  <si>
    <t xml:space="preserve">NETHERLANDS</t>
  </si>
  <si>
    <t xml:space="preserve">NL</t>
  </si>
  <si>
    <t xml:space="preserve">NLD</t>
  </si>
  <si>
    <t xml:space="preserve">NETHERLANDS ANTILLES</t>
  </si>
  <si>
    <t xml:space="preserve">AN</t>
  </si>
  <si>
    <t xml:space="preserve">NEW CALEDONIA</t>
  </si>
  <si>
    <t xml:space="preserve">NC</t>
  </si>
  <si>
    <t xml:space="preserve">NCL</t>
  </si>
  <si>
    <t xml:space="preserve">NICARAGUA</t>
  </si>
  <si>
    <t xml:space="preserve">NI</t>
  </si>
  <si>
    <t xml:space="preserve">NIC</t>
  </si>
  <si>
    <t xml:space="preserve">NIGER</t>
  </si>
  <si>
    <t xml:space="preserve">NE</t>
  </si>
  <si>
    <t xml:space="preserve">NER</t>
  </si>
  <si>
    <t xml:space="preserve">NIGERIA</t>
  </si>
  <si>
    <t xml:space="preserve">NG</t>
  </si>
  <si>
    <t xml:space="preserve">NGA</t>
  </si>
  <si>
    <t xml:space="preserve">NIUE</t>
  </si>
  <si>
    <t xml:space="preserve">NU</t>
  </si>
  <si>
    <t xml:space="preserve">NIU</t>
  </si>
  <si>
    <t xml:space="preserve">NORFOLK ISLAND</t>
  </si>
  <si>
    <t xml:space="preserve">NF</t>
  </si>
  <si>
    <t xml:space="preserve">NFK</t>
  </si>
  <si>
    <t xml:space="preserve">NORWAY</t>
  </si>
  <si>
    <t xml:space="preserve">NO</t>
  </si>
  <si>
    <t xml:space="preserve">NOR</t>
  </si>
  <si>
    <t xml:space="preserve">NZ</t>
  </si>
  <si>
    <t xml:space="preserve">NZL</t>
  </si>
  <si>
    <t xml:space="preserve">OMAN</t>
  </si>
  <si>
    <t xml:space="preserve">OM</t>
  </si>
  <si>
    <t xml:space="preserve">OMN</t>
  </si>
  <si>
    <t xml:space="preserve">PAKISTAN</t>
  </si>
  <si>
    <t xml:space="preserve">PK</t>
  </si>
  <si>
    <t xml:space="preserve">PAK</t>
  </si>
  <si>
    <t xml:space="preserve">PALAU</t>
  </si>
  <si>
    <t xml:space="preserve">PW</t>
  </si>
  <si>
    <t xml:space="preserve">PLW</t>
  </si>
  <si>
    <t xml:space="preserve">PANAMA</t>
  </si>
  <si>
    <t xml:space="preserve">PA</t>
  </si>
  <si>
    <t xml:space="preserve">PAN</t>
  </si>
  <si>
    <t xml:space="preserve">PAP NEW GUINEA</t>
  </si>
  <si>
    <t xml:space="preserve">PG</t>
  </si>
  <si>
    <t xml:space="preserve">PNG</t>
  </si>
  <si>
    <t xml:space="preserve">PARAGUAY</t>
  </si>
  <si>
    <t xml:space="preserve">PY</t>
  </si>
  <si>
    <t xml:space="preserve">PRY</t>
  </si>
  <si>
    <t xml:space="preserve">PERU</t>
  </si>
  <si>
    <t xml:space="preserve">PE</t>
  </si>
  <si>
    <t xml:space="preserve">PER</t>
  </si>
  <si>
    <t xml:space="preserve">PHILIPPINES</t>
  </si>
  <si>
    <t xml:space="preserve">PH</t>
  </si>
  <si>
    <t xml:space="preserve">PHL</t>
  </si>
  <si>
    <t xml:space="preserve">PITCAIRN</t>
  </si>
  <si>
    <t xml:space="preserve">PN</t>
  </si>
  <si>
    <t xml:space="preserve">PCN</t>
  </si>
  <si>
    <t xml:space="preserve">POLAND</t>
  </si>
  <si>
    <t xml:space="preserve">PL</t>
  </si>
  <si>
    <t xml:space="preserve">POL</t>
  </si>
  <si>
    <t xml:space="preserve">PORTUGAL</t>
  </si>
  <si>
    <t xml:space="preserve">PT</t>
  </si>
  <si>
    <t xml:space="preserve">PRT</t>
  </si>
  <si>
    <t xml:space="preserve">PUERTO RICO</t>
  </si>
  <si>
    <t xml:space="preserve">PR</t>
  </si>
  <si>
    <t xml:space="preserve">PRI</t>
  </si>
  <si>
    <t xml:space="preserve">QATAR</t>
  </si>
  <si>
    <t xml:space="preserve">QA</t>
  </si>
  <si>
    <t xml:space="preserve">QAT</t>
  </si>
  <si>
    <t xml:space="preserve">REUNION</t>
  </si>
  <si>
    <t xml:space="preserve">RE</t>
  </si>
  <si>
    <t xml:space="preserve">REU</t>
  </si>
  <si>
    <t xml:space="preserve">ROMANIA</t>
  </si>
  <si>
    <t xml:space="preserve">RO</t>
  </si>
  <si>
    <t xml:space="preserve">ROU</t>
  </si>
  <si>
    <t xml:space="preserve">RUSSIAN FED</t>
  </si>
  <si>
    <t xml:space="preserve">RU</t>
  </si>
  <si>
    <t xml:space="preserve">RUS</t>
  </si>
  <si>
    <t xml:space="preserve">RWANDA</t>
  </si>
  <si>
    <t xml:space="preserve">RW</t>
  </si>
  <si>
    <t xml:space="preserve">RWA</t>
  </si>
  <si>
    <t xml:space="preserve">S GEORGIA</t>
  </si>
  <si>
    <t xml:space="preserve">GS</t>
  </si>
  <si>
    <t xml:space="preserve">SGS</t>
  </si>
  <si>
    <t xml:space="preserve">SAINT BARTHLEMY</t>
  </si>
  <si>
    <t xml:space="preserve">BL</t>
  </si>
  <si>
    <t xml:space="preserve">SAINT MARTIN FRENCH PART</t>
  </si>
  <si>
    <t xml:space="preserve">MF</t>
  </si>
  <si>
    <t xml:space="preserve">MAF</t>
  </si>
  <si>
    <t xml:space="preserve">SAMOA</t>
  </si>
  <si>
    <t xml:space="preserve">WS</t>
  </si>
  <si>
    <t xml:space="preserve">WSM</t>
  </si>
  <si>
    <t xml:space="preserve">SAN MARINO</t>
  </si>
  <si>
    <t xml:space="preserve">SM</t>
  </si>
  <si>
    <t xml:space="preserve">SMR</t>
  </si>
  <si>
    <t xml:space="preserve">SAO TOME</t>
  </si>
  <si>
    <t xml:space="preserve">ST</t>
  </si>
  <si>
    <t xml:space="preserve">STP</t>
  </si>
  <si>
    <t xml:space="preserve">SAUDI ARABIA</t>
  </si>
  <si>
    <t xml:space="preserve">SA</t>
  </si>
  <si>
    <t xml:space="preserve">SAU</t>
  </si>
  <si>
    <t xml:space="preserve">SENEGAL</t>
  </si>
  <si>
    <t xml:space="preserve">SN</t>
  </si>
  <si>
    <t xml:space="preserve">SEN</t>
  </si>
  <si>
    <t xml:space="preserve">SERBIA</t>
  </si>
  <si>
    <t xml:space="preserve">RS</t>
  </si>
  <si>
    <t xml:space="preserve">SRB</t>
  </si>
  <si>
    <t xml:space="preserve">SEYCHELLES</t>
  </si>
  <si>
    <t xml:space="preserve">SC</t>
  </si>
  <si>
    <t xml:space="preserve">SYC</t>
  </si>
  <si>
    <t xml:space="preserve">SIERRA LEONE</t>
  </si>
  <si>
    <t xml:space="preserve">SL</t>
  </si>
  <si>
    <t xml:space="preserve">SLE</t>
  </si>
  <si>
    <t xml:space="preserve">SINGAPORE</t>
  </si>
  <si>
    <t xml:space="preserve">SG</t>
  </si>
  <si>
    <t xml:space="preserve">SGP</t>
  </si>
  <si>
    <t xml:space="preserve">SINT MAARTEN DUTCH PART</t>
  </si>
  <si>
    <t xml:space="preserve">SX</t>
  </si>
  <si>
    <t xml:space="preserve">SXM</t>
  </si>
  <si>
    <t xml:space="preserve">SLOVAKIA</t>
  </si>
  <si>
    <t xml:space="preserve">SK</t>
  </si>
  <si>
    <t xml:space="preserve">SVK</t>
  </si>
  <si>
    <t xml:space="preserve">SLOVENIA</t>
  </si>
  <si>
    <t xml:space="preserve">SI</t>
  </si>
  <si>
    <t xml:space="preserve">SVN</t>
  </si>
  <si>
    <t xml:space="preserve">SOLOMON ISLANDS</t>
  </si>
  <si>
    <t xml:space="preserve">SB</t>
  </si>
  <si>
    <t xml:space="preserve">SLB</t>
  </si>
  <si>
    <t xml:space="preserve">SOMALIA</t>
  </si>
  <si>
    <t xml:space="preserve">SO</t>
  </si>
  <si>
    <t xml:space="preserve">SOM</t>
  </si>
  <si>
    <t xml:space="preserve">SOUTH AFRICA</t>
  </si>
  <si>
    <t xml:space="preserve">ZA</t>
  </si>
  <si>
    <t xml:space="preserve">ZAF</t>
  </si>
  <si>
    <t xml:space="preserve">SOUTH SUDAN</t>
  </si>
  <si>
    <t xml:space="preserve">SS</t>
  </si>
  <si>
    <t xml:space="preserve">SSD</t>
  </si>
  <si>
    <t xml:space="preserve">SPAIN</t>
  </si>
  <si>
    <t xml:space="preserve">ES</t>
  </si>
  <si>
    <t xml:space="preserve">ESP</t>
  </si>
  <si>
    <t xml:space="preserve">SRI LANKA</t>
  </si>
  <si>
    <t xml:space="preserve">LK</t>
  </si>
  <si>
    <t xml:space="preserve">LKA</t>
  </si>
  <si>
    <t xml:space="preserve">ST HELENA</t>
  </si>
  <si>
    <t xml:space="preserve">SH</t>
  </si>
  <si>
    <t xml:space="preserve">SHN</t>
  </si>
  <si>
    <t xml:space="preserve">ST KITTS NEVIS</t>
  </si>
  <si>
    <t xml:space="preserve">KN</t>
  </si>
  <si>
    <t xml:space="preserve">KNA</t>
  </si>
  <si>
    <t xml:space="preserve">ST LUCIA</t>
  </si>
  <si>
    <t xml:space="preserve">LC</t>
  </si>
  <si>
    <t xml:space="preserve">LCA</t>
  </si>
  <si>
    <t xml:space="preserve">ST PIERRE</t>
  </si>
  <si>
    <t xml:space="preserve">PM</t>
  </si>
  <si>
    <t xml:space="preserve">SPM</t>
  </si>
  <si>
    <t xml:space="preserve">ST VINCENT</t>
  </si>
  <si>
    <t xml:space="preserve">VC</t>
  </si>
  <si>
    <t xml:space="preserve">VCT</t>
  </si>
  <si>
    <t xml:space="preserve">STATE OF PALESTINE</t>
  </si>
  <si>
    <t xml:space="preserve">PS</t>
  </si>
  <si>
    <t xml:space="preserve">PSE</t>
  </si>
  <si>
    <t xml:space="preserve">SUDAN</t>
  </si>
  <si>
    <t xml:space="preserve">SD</t>
  </si>
  <si>
    <t xml:space="preserve">SDN</t>
  </si>
  <si>
    <t xml:space="preserve">SURINAME</t>
  </si>
  <si>
    <t xml:space="preserve">SR</t>
  </si>
  <si>
    <t xml:space="preserve">SUR</t>
  </si>
  <si>
    <t xml:space="preserve">SVALBARD</t>
  </si>
  <si>
    <t xml:space="preserve">SJ</t>
  </si>
  <si>
    <t xml:space="preserve">SJM</t>
  </si>
  <si>
    <t xml:space="preserve">SWAZILAND</t>
  </si>
  <si>
    <t xml:space="preserve">SZ</t>
  </si>
  <si>
    <t xml:space="preserve">SWZ</t>
  </si>
  <si>
    <t xml:space="preserve">SWEDEN</t>
  </si>
  <si>
    <t xml:space="preserve">SE</t>
  </si>
  <si>
    <t xml:space="preserve">SWE</t>
  </si>
  <si>
    <t xml:space="preserve">SWITZERLAND</t>
  </si>
  <si>
    <t xml:space="preserve">CH</t>
  </si>
  <si>
    <t xml:space="preserve">CHE</t>
  </si>
  <si>
    <t xml:space="preserve">SYRIA</t>
  </si>
  <si>
    <t xml:space="preserve">SY</t>
  </si>
  <si>
    <t xml:space="preserve">SYR</t>
  </si>
  <si>
    <t xml:space="preserve">TAIWAN</t>
  </si>
  <si>
    <t xml:space="preserve">TW</t>
  </si>
  <si>
    <t xml:space="preserve">TWN</t>
  </si>
  <si>
    <t xml:space="preserve">TAJIKISTAN</t>
  </si>
  <si>
    <t xml:space="preserve">TJ</t>
  </si>
  <si>
    <t xml:space="preserve">TJK</t>
  </si>
  <si>
    <t xml:space="preserve">TANZANIA</t>
  </si>
  <si>
    <t xml:space="preserve">TZ</t>
  </si>
  <si>
    <t xml:space="preserve">TZA</t>
  </si>
  <si>
    <t xml:space="preserve">THAILAND</t>
  </si>
  <si>
    <t xml:space="preserve">TH</t>
  </si>
  <si>
    <t xml:space="preserve">THA</t>
  </si>
  <si>
    <t xml:space="preserve">TIMORLESTE</t>
  </si>
  <si>
    <t xml:space="preserve">TL</t>
  </si>
  <si>
    <t xml:space="preserve">TLS</t>
  </si>
  <si>
    <t xml:space="preserve">TOGO</t>
  </si>
  <si>
    <t xml:space="preserve">TG</t>
  </si>
  <si>
    <t xml:space="preserve">TGO</t>
  </si>
  <si>
    <t xml:space="preserve">TOKELAU</t>
  </si>
  <si>
    <t xml:space="preserve">TK</t>
  </si>
  <si>
    <t xml:space="preserve">TKL</t>
  </si>
  <si>
    <t xml:space="preserve">TONGA</t>
  </si>
  <si>
    <t xml:space="preserve">TO</t>
  </si>
  <si>
    <t xml:space="preserve">TON</t>
  </si>
  <si>
    <t xml:space="preserve">TRINIDAD TOBAGO</t>
  </si>
  <si>
    <t xml:space="preserve">TT</t>
  </si>
  <si>
    <t xml:space="preserve">TTO</t>
  </si>
  <si>
    <t xml:space="preserve">TUNISIA</t>
  </si>
  <si>
    <t xml:space="preserve">TN</t>
  </si>
  <si>
    <t xml:space="preserve">TUN</t>
  </si>
  <si>
    <t xml:space="preserve">TURKEY</t>
  </si>
  <si>
    <t xml:space="preserve">TR</t>
  </si>
  <si>
    <t xml:space="preserve">TUR</t>
  </si>
  <si>
    <t xml:space="preserve">TURKMENISTAN</t>
  </si>
  <si>
    <t xml:space="preserve">TM</t>
  </si>
  <si>
    <t xml:space="preserve">TKM</t>
  </si>
  <si>
    <t xml:space="preserve">TURKS  CAICOS</t>
  </si>
  <si>
    <t xml:space="preserve">TC</t>
  </si>
  <si>
    <t xml:space="preserve">TCA</t>
  </si>
  <si>
    <t xml:space="preserve">TUVALU</t>
  </si>
  <si>
    <t xml:space="preserve">TV</t>
  </si>
  <si>
    <t xml:space="preserve">TUV</t>
  </si>
  <si>
    <t xml:space="preserve">UAE</t>
  </si>
  <si>
    <t xml:space="preserve">AE</t>
  </si>
  <si>
    <t xml:space="preserve">ARE</t>
  </si>
  <si>
    <t xml:space="preserve">UGANDA</t>
  </si>
  <si>
    <t xml:space="preserve">UG</t>
  </si>
  <si>
    <t xml:space="preserve">UGA</t>
  </si>
  <si>
    <t xml:space="preserve">UKRAINE</t>
  </si>
  <si>
    <t xml:space="preserve">UA</t>
  </si>
  <si>
    <t xml:space="preserve">UKR</t>
  </si>
  <si>
    <t xml:space="preserve">UNITED KINGDOM</t>
  </si>
  <si>
    <t xml:space="preserve">GB</t>
  </si>
  <si>
    <t xml:space="preserve">GBR</t>
  </si>
  <si>
    <t xml:space="preserve">UNKNOWN COUNTRY</t>
  </si>
  <si>
    <t xml:space="preserve">ZZ</t>
  </si>
  <si>
    <t xml:space="preserve">URUGUAY</t>
  </si>
  <si>
    <t xml:space="preserve">UY</t>
  </si>
  <si>
    <t xml:space="preserve">URY</t>
  </si>
  <si>
    <t xml:space="preserve">US MINOR OUT ISLAND</t>
  </si>
  <si>
    <t xml:space="preserve">UM</t>
  </si>
  <si>
    <t xml:space="preserve">UMI</t>
  </si>
  <si>
    <t xml:space="preserve">USA</t>
  </si>
  <si>
    <t xml:space="preserve">US</t>
  </si>
  <si>
    <t xml:space="preserve">UZBEKISTAN</t>
  </si>
  <si>
    <t xml:space="preserve">UZ</t>
  </si>
  <si>
    <t xml:space="preserve">UZB</t>
  </si>
  <si>
    <t xml:space="preserve">VANUATU</t>
  </si>
  <si>
    <t xml:space="preserve">VU</t>
  </si>
  <si>
    <t xml:space="preserve">VUT</t>
  </si>
  <si>
    <t xml:space="preserve">VATICAN</t>
  </si>
  <si>
    <t xml:space="preserve">VA</t>
  </si>
  <si>
    <t xml:space="preserve">VENEZUALA</t>
  </si>
  <si>
    <t xml:space="preserve">VE</t>
  </si>
  <si>
    <t xml:space="preserve">VEN</t>
  </si>
  <si>
    <t xml:space="preserve">VIETNAM</t>
  </si>
  <si>
    <t xml:space="preserve">VN</t>
  </si>
  <si>
    <t xml:space="preserve">VNM</t>
  </si>
  <si>
    <t xml:space="preserve">VIRGIN ISLANDSBRITISH</t>
  </si>
  <si>
    <t xml:space="preserve">VG</t>
  </si>
  <si>
    <t xml:space="preserve">VGB</t>
  </si>
  <si>
    <t xml:space="preserve">VIRGIN ISLANDSUS</t>
  </si>
  <si>
    <t xml:space="preserve">VI</t>
  </si>
  <si>
    <t xml:space="preserve">VIR</t>
  </si>
  <si>
    <t xml:space="preserve">WALLIS FUTUNA</t>
  </si>
  <si>
    <t xml:space="preserve">WF</t>
  </si>
  <si>
    <t xml:space="preserve">WLF</t>
  </si>
  <si>
    <t xml:space="preserve">WESTERN SAHARA</t>
  </si>
  <si>
    <t xml:space="preserve">EH</t>
  </si>
  <si>
    <t xml:space="preserve">ESH</t>
  </si>
  <si>
    <t xml:space="preserve">YEMEN</t>
  </si>
  <si>
    <t xml:space="preserve">YE</t>
  </si>
  <si>
    <t xml:space="preserve">YEM</t>
  </si>
  <si>
    <t xml:space="preserve">ZAMBIA</t>
  </si>
  <si>
    <t xml:space="preserve">ZM</t>
  </si>
  <si>
    <t xml:space="preserve">ZMB</t>
  </si>
  <si>
    <t xml:space="preserve">ZIMBABWE</t>
  </si>
  <si>
    <t xml:space="preserve">ZW</t>
  </si>
  <si>
    <t xml:space="preserve">ZWB</t>
  </si>
  <si>
    <t xml:space="preserve">Flow_1</t>
  </si>
  <si>
    <t xml:space="preserve">ms-powerautomate:/console/flow/run?workflowid=2e5455ef-1291-4211-aeb2-9558d2c49e6d</t>
  </si>
  <si>
    <t xml:space="preserve">Flow_Merge</t>
  </si>
  <si>
    <t xml:space="preserve">ms-powerautomate:/console/flow/run?environmentid=Default-9e17c3e3-ba51-4656-9767-5ba4c8c34f4b&amp;workflowid=f6eccbfd-02ab-4ac1-a749-9cb8dd3b8201&amp;source=Other</t>
  </si>
  <si>
    <t xml:space="preserve">Transaction ID</t>
  </si>
  <si>
    <t xml:space="preserve">Velocity Alert ID</t>
  </si>
  <si>
    <t xml:space="preserve">Alert Information</t>
  </si>
  <si>
    <t xml:space="preserve">Alert Type</t>
  </si>
  <si>
    <t xml:space="preserve">Is Alerted Transaction?</t>
  </si>
  <si>
    <t xml:space="preserve">Account No</t>
  </si>
  <si>
    <t xml:space="preserve">Ref No</t>
  </si>
  <si>
    <t xml:space="preserve">Transaction Code</t>
  </si>
  <si>
    <t xml:space="preserve">Transaction Code Description</t>
  </si>
  <si>
    <t xml:space="preserve">Currency</t>
  </si>
  <si>
    <t xml:space="preserve">Transaction Amount</t>
  </si>
  <si>
    <t xml:space="preserve">Transaction Date</t>
  </si>
  <si>
    <t xml:space="preserve">Dr Cr</t>
  </si>
  <si>
    <t xml:space="preserve">Beneficiary ID</t>
  </si>
  <si>
    <t xml:space="preserve">Beneficiary Name</t>
  </si>
  <si>
    <t xml:space="preserve">Beneficiary First Name</t>
  </si>
  <si>
    <t xml:space="preserve">Beneficiary Last Name</t>
  </si>
  <si>
    <t xml:space="preserve">Beneficiary Middle Name</t>
  </si>
  <si>
    <t xml:space="preserve">Beneficiary Address</t>
  </si>
  <si>
    <t xml:space="preserve">Beneficiary Country</t>
  </si>
  <si>
    <t xml:space="preserve">Beneficiary Type</t>
  </si>
  <si>
    <t xml:space="preserve">Beneficiary Corporation Or Individual Flag</t>
  </si>
  <si>
    <t xml:space="preserve">Originator ID</t>
  </si>
  <si>
    <t xml:space="preserve">Originator Name</t>
  </si>
  <si>
    <t xml:space="preserve">Originator First Name</t>
  </si>
  <si>
    <t xml:space="preserve">Originator Last Name</t>
  </si>
  <si>
    <t xml:space="preserve">Originator Middle Name</t>
  </si>
  <si>
    <t xml:space="preserve">Originator Address</t>
  </si>
  <si>
    <t xml:space="preserve">Originator Country</t>
  </si>
  <si>
    <t xml:space="preserve">Originator Corporation Or Individual Flag</t>
  </si>
  <si>
    <t xml:space="preserve">Counterparty</t>
  </si>
  <si>
    <t xml:space="preserve">2289948034</t>
  </si>
  <si>
    <t xml:space="preserve">ALERT2346979</t>
  </si>
  <si>
    <t xml:space="preserve">Large value card transactions for purchase</t>
  </si>
  <si>
    <t xml:space="preserve">Yes</t>
  </si>
  <si>
    <t xml:space="preserve">GAL47145578272</t>
  </si>
  <si>
    <t xml:space="preserve">GAL1000000001552277206</t>
  </si>
  <si>
    <t xml:space="preserve">GAL_D_VSA</t>
  </si>
  <si>
    <t xml:space="preserve">GAL - Pin Purchase</t>
  </si>
  <si>
    <t xml:space="preserve">USD</t>
  </si>
  <si>
    <t xml:space="preserve">DR</t>
  </si>
  <si>
    <t xml:space="preserve">900075IBE</t>
  </si>
  <si>
    <t xml:space="preserve">IBERIA LINEA0752114330312SAO PAULO    BR</t>
  </si>
  <si>
    <t xml:space="preserve">   ES</t>
  </si>
  <si>
    <t xml:space="preserve">CreditParty</t>
  </si>
  <si>
    <t xml:space="preserve">LUIZ ARAUJO</t>
  </si>
  <si>
    <t xml:space="preserve">LUIZ</t>
  </si>
  <si>
    <t xml:space="preserve">ARAUJO</t>
  </si>
  <si>
    <t xml:space="preserve">RUA CACILDA BECKER. 159.  06846600 US</t>
  </si>
  <si>
    <t xml:space="preserve">Date &amp; Time</t>
  </si>
  <si>
    <t xml:space="preserve">Analyst ID</t>
  </si>
  <si>
    <t xml:space="preserve">ECM Case ID</t>
  </si>
  <si>
    <t xml:space="preserve">Total Entities</t>
  </si>
  <si>
    <t xml:space="preserve">Total Searches</t>
  </si>
  <si>
    <t xml:space="preserve">Time Taken</t>
  </si>
  <si>
    <t xml:space="preserve">Tool Version</t>
  </si>
  <si>
    <t xml:space="preserve">Error Diagnostic</t>
  </si>
  <si>
    <t xml:space="preserve">CAPTCHA Flagged</t>
  </si>
  <si>
    <t xml:space="preserve">ssaha</t>
  </si>
  <si>
    <t xml:space="preserve">1 minute(s) and 59 second(s)</t>
  </si>
  <si>
    <t xml:space="preserve">2.4.1</t>
  </si>
  <si>
    <t xml:space="preserve">1 minute(s) and 9 second(s)</t>
  </si>
  <si>
    <t xml:space="preserve">4 minute(s) and 33 second(s)</t>
  </si>
  <si>
    <t xml:space="preserve">2.4.4</t>
  </si>
  <si>
    <t xml:space="preserve">5 minute(s) and 45 second(s)</t>
  </si>
  <si>
    <t xml:space="preserve">2.4.5</t>
  </si>
  <si>
    <t xml:space="preserve">6 minute(s) and 2 second(s)</t>
  </si>
  <si>
    <t xml:space="preserve">4 minute(s) and 16 second(s)</t>
  </si>
  <si>
    <t xml:space="preserve">56 second(s)</t>
  </si>
  <si>
    <t xml:space="preserve">48 second(s)</t>
  </si>
  <si>
    <t xml:space="preserve">1 minute(s) and 0 second(s)</t>
  </si>
  <si>
    <t xml:space="preserve">4 minute(s) and 29 second(s)</t>
  </si>
  <si>
    <t xml:space="preserve">2.5.0</t>
  </si>
  <si>
    <t xml:space="preserve">3 minute(s) and 11 second(s)</t>
  </si>
  <si>
    <t xml:space="preserve">4 minute(s) and 34 second(s)</t>
  </si>
  <si>
    <t xml:space="preserve">2.5.2</t>
  </si>
  <si>
    <t xml:space="preserve">6 minute(s) and 24 second(s)</t>
  </si>
  <si>
    <t xml:space="preserve">2.5.3</t>
  </si>
  <si>
    <t xml:space="preserve">6 minute(s) and 20 second(s)</t>
  </si>
  <si>
    <t xml:space="preserve">4 minute(s) and 44 second(s)</t>
  </si>
  <si>
    <t xml:space="preserve">2.5.5</t>
  </si>
  <si>
    <t xml:space="preserve">4 minute(s) and 47 second(s)</t>
  </si>
  <si>
    <t xml:space="preserve">2.5.6</t>
  </si>
  <si>
    <t xml:space="preserve">6 minute(s) and 58 second(s)</t>
  </si>
  <si>
    <t xml:space="preserve">2.5.7</t>
  </si>
  <si>
    <t xml:space="preserve">4 minute(s) and 20 second(s)</t>
  </si>
  <si>
    <t xml:space="preserve">2.5.9</t>
  </si>
  <si>
    <t xml:space="preserve">5 minute(s) and 24 second(s)</t>
  </si>
  <si>
    <t xml:space="preserve">3 minute(s) and 50 second(s)</t>
  </si>
  <si>
    <t xml:space="preserve">2.5.10</t>
  </si>
  <si>
    <t xml:space="preserve">2 minute(s) and 7 second(s)</t>
  </si>
  <si>
    <t xml:space="preserve">2.5.11</t>
  </si>
  <si>
    <t xml:space="preserve">3 minute(s) and 34 second(s)</t>
  </si>
  <si>
    <t xml:space="preserve">2.5.12</t>
  </si>
  <si>
    <t xml:space="preserve">49 second(s)</t>
  </si>
  <si>
    <t xml:space="preserve">4 minute(s) and 45 second(s)</t>
  </si>
  <si>
    <t xml:space="preserve">3 minute(s) and 10 second(s)</t>
  </si>
  <si>
    <t xml:space="preserve">1 minute(s) and 20 second(s)</t>
  </si>
  <si>
    <t xml:space="preserve">1 minute(s) and 26 second(s)</t>
  </si>
  <si>
    <t xml:space="preserve">2 minute(s) and 59 second(s)</t>
  </si>
  <si>
    <t xml:space="preserve">3 minute(s) and 56 second(s)</t>
  </si>
  <si>
    <t xml:space="preserve">3 minute(s) and 49 second(s)</t>
  </si>
  <si>
    <t xml:space="preserve">1 minute(s) and 49 second(s)</t>
  </si>
  <si>
    <t xml:space="preserve">3 minute(s) and 29 second(s)</t>
  </si>
  <si>
    <t xml:space="preserve">51 second(s)</t>
  </si>
  <si>
    <t xml:space="preserve">1 minute(s) and 39 second(s)</t>
  </si>
  <si>
    <t xml:space="preserve">1 minute(s) and 22 second(s)</t>
  </si>
  <si>
    <t xml:space="preserve">1 minute(s) and 10 second(s)</t>
  </si>
  <si>
    <t xml:space="preserve">1 minute(s) and 35 second(s)</t>
  </si>
  <si>
    <t xml:space="preserve">3 minute(s) and 4 second(s)</t>
  </si>
  <si>
    <t xml:space="preserve">1 minute(s) and 52 second(s)</t>
  </si>
  <si>
    <t xml:space="preserve">2 minute(s) and 58 second(s)</t>
  </si>
  <si>
    <t xml:space="preserve">3 minute(s) and 0 second(s)</t>
  </si>
  <si>
    <t xml:space="preserve">6 minute(s) and 8 second(s)</t>
  </si>
  <si>
    <t xml:space="preserve">8 minute(s) and 48 second(s)</t>
  </si>
  <si>
    <t xml:space="preserve">1 minute(s) and 38 second(s)</t>
  </si>
  <si>
    <t xml:space="preserve">5 minute(s) and 10 second(s)</t>
  </si>
  <si>
    <t xml:space="preserve">5 minute(s) and 21 second(s)</t>
  </si>
  <si>
    <t xml:space="preserve">1 minute(s) and 7 second(s)</t>
  </si>
  <si>
    <t xml:space="preserve">1 minute(s) and 46 second(s)</t>
  </si>
  <si>
    <t xml:space="preserve">3 minute(s) and 45 second(s)</t>
  </si>
  <si>
    <t xml:space="preserve">2 minute(s) and 19 second(s)</t>
  </si>
  <si>
    <t xml:space="preserve">4 minute(s) and 21 second(s)</t>
  </si>
  <si>
    <t xml:space="preserve">4 minute(s) and 10 second(s)</t>
  </si>
  <si>
    <t xml:space="preserve">ERROR</t>
  </si>
  <si>
    <t xml:space="preserve">Err 424: Object required [src: AML_Macro]</t>
  </si>
  <si>
    <t xml:space="preserve">5 minute(s) and 11 second(s)</t>
  </si>
  <si>
    <t xml:space="preserve">8 minute(s) and 46 second(s)</t>
  </si>
  <si>
    <t xml:space="preserve">2 minute(s) and 27 second(s)</t>
  </si>
  <si>
    <t xml:space="preserve">1 minute(s) and 24 second(s)</t>
  </si>
  <si>
    <t xml:space="preserve">1 minute(s) and 12 second(s)</t>
  </si>
  <si>
    <t xml:space="preserve">1 minute(s) and 28 second(s)</t>
  </si>
  <si>
    <t xml:space="preserve">4 minute(s) and 9 second(s)</t>
  </si>
  <si>
    <t xml:space="preserve">2 minute(s) and 55 second(s)</t>
  </si>
  <si>
    <t xml:space="preserve">1 minute(s) and 45 second(s)</t>
  </si>
  <si>
    <t xml:space="preserve">1 minute(s) and 14 second(s)</t>
  </si>
  <si>
    <t xml:space="preserve">2 minute(s) and 43 second(s)</t>
  </si>
  <si>
    <t xml:space="preserve">55 second(s)</t>
  </si>
  <si>
    <t xml:space="preserve">59 second(s)</t>
  </si>
  <si>
    <t xml:space="preserve">1 minute(s) and 36 second(s)</t>
  </si>
  <si>
    <t xml:space="preserve">53 second(s)</t>
  </si>
  <si>
    <t xml:space="preserve">1 minute(s) and 31 second(s)</t>
  </si>
  <si>
    <t xml:space="preserve">3 minute(s) and 17 second(s)</t>
  </si>
  <si>
    <t xml:space="preserve">1 minute(s) and 41 second(s)</t>
  </si>
  <si>
    <t xml:space="preserve">2 minute(s) and 24 second(s)</t>
  </si>
  <si>
    <t xml:space="preserve">Err -2147221080: Method 'Cells' of object '_Worksheet' failed [src: AML_Macro]</t>
  </si>
  <si>
    <t xml:space="preserve">2 minute(s) and 25 second(s)</t>
  </si>
  <si>
    <t xml:space="preserve">4 minute(s) and 25 second(s)</t>
  </si>
  <si>
    <t xml:space="preserve">1 minute(s) and 2 second(s)</t>
  </si>
  <si>
    <t xml:space="preserve">2 minute(s) and 34 second(s)</t>
  </si>
  <si>
    <t xml:space="preserve">1 minute(s) and 18 second(s)</t>
  </si>
  <si>
    <t xml:space="preserve">2 minute(s) and 26 second(s)</t>
  </si>
  <si>
    <t xml:space="preserve">2 minute(s) and 6 second(s)</t>
  </si>
  <si>
    <t xml:space="preserve">2 minute(s) and 17 second(s)</t>
  </si>
  <si>
    <t xml:space="preserve">2 minute(s) and 31 second(s)</t>
  </si>
  <si>
    <t xml:space="preserve">3 minute(s) and 39 second(s)</t>
  </si>
  <si>
    <t xml:space="preserve">3 minute(s) and 1 second(s)</t>
  </si>
  <si>
    <t xml:space="preserve">test</t>
  </si>
  <si>
    <t xml:space="preserve">43 second(s)</t>
  </si>
  <si>
    <t xml:space="preserve">6 minute(s) and 10 second(s)</t>
  </si>
  <si>
    <t xml:space="preserve">5 minute(s) and 39 second(s)</t>
  </si>
  <si>
    <t xml:space="preserve">2 minute(s) and 10 second(s)</t>
  </si>
  <si>
    <t xml:space="preserve">3 minute(s) and 33 second(s)</t>
  </si>
  <si>
    <t xml:space="preserve">2 minute(s) and 51 second(s)</t>
  </si>
  <si>
    <t xml:space="preserve">5 minute(s) and 19 second(s)</t>
  </si>
  <si>
    <t xml:space="preserve">1 minute(s) and 34 second(s)</t>
  </si>
  <si>
    <t xml:space="preserve">2 minute(s) and 20 second(s)</t>
  </si>
  <si>
    <t xml:space="preserve">2 minute(s) and 11 second(s)</t>
  </si>
  <si>
    <t xml:space="preserve">2 minute(s) and 46 second(s)</t>
  </si>
  <si>
    <t xml:space="preserve">3 minute(s) and 38 second(s)</t>
  </si>
  <si>
    <t xml:space="preserve">1 minute(s) and 15 second(s)</t>
  </si>
  <si>
    <t xml:space="preserve">1 minute(s) and 44 second(s)</t>
  </si>
  <si>
    <t xml:space="preserve">3 minute(s) and 37 second(s)</t>
  </si>
  <si>
    <t xml:space="preserve">5 minute(s) and 57 second(s)</t>
  </si>
  <si>
    <t xml:space="preserve">2 minute(s) and 33 second(s)</t>
  </si>
  <si>
    <t xml:space="preserve">2 minute(s) and 53 second(s)</t>
  </si>
  <si>
    <t xml:space="preserve">2 minute(s) and 28 second(s)</t>
  </si>
  <si>
    <t xml:space="preserve">2 minute(s) and 56 second(s)</t>
  </si>
  <si>
    <t xml:space="preserve">27 second(s)</t>
  </si>
  <si>
    <t xml:space="preserve">35 second(s)</t>
  </si>
  <si>
    <t xml:space="preserve">6 minute(s) and 13 second(s)</t>
  </si>
  <si>
    <t xml:space="preserve">4 minute(s) and 50 second(s)</t>
  </si>
  <si>
    <t xml:space="preserve">1 minute(s) and 53 second(s)</t>
  </si>
  <si>
    <t xml:space="preserve">4 minute(s) and 27 second(s)</t>
  </si>
  <si>
    <t xml:space="preserve">1 minute(s) and 47 second(s)</t>
  </si>
  <si>
    <t xml:space="preserve">5 minute(s) and 48 second(s)</t>
  </si>
  <si>
    <t xml:space="preserve">5 minute(s) and 26 second(s)</t>
  </si>
  <si>
    <t xml:space="preserve">4 minute(s) and 12 second(s)</t>
  </si>
  <si>
    <t xml:space="preserve">7 minute(s) and 18 second(s)</t>
  </si>
  <si>
    <t xml:space="preserve">8 minute(s) and 31 second(s)</t>
  </si>
  <si>
    <t xml:space="preserve">3 minute(s) and 40 second(s)</t>
  </si>
  <si>
    <t xml:space="preserve">6 minute(s) and 5 second(s)</t>
  </si>
  <si>
    <t xml:space="preserve">5 minute(s) and 17 second(s)</t>
  </si>
  <si>
    <t xml:space="preserve">5 minute(s) and 52 second(s)</t>
  </si>
  <si>
    <t xml:space="preserve">4 minute(s) and 17 second(s)</t>
  </si>
  <si>
    <t xml:space="preserve">3 minute(s) and 23 second(s)</t>
  </si>
  <si>
    <t xml:space="preserve">4 minute(s) and 30 second(s)</t>
  </si>
  <si>
    <t xml:space="preserve">3 minute(s) and 6 second(s)</t>
  </si>
  <si>
    <t xml:space="preserve">4 minute(s) and 31 second(s)</t>
  </si>
  <si>
    <t xml:space="preserve">3 minute(s) and 43 second(s)</t>
  </si>
  <si>
    <t xml:space="preserve">3 minute(s) and 42 second(s)</t>
  </si>
  <si>
    <t xml:space="preserve">1 minute(s) and 40 second(s)</t>
  </si>
  <si>
    <t xml:space="preserve">1 minute(s) and 23 second(s)</t>
  </si>
  <si>
    <t xml:space="preserve">39 second(s)</t>
  </si>
  <si>
    <t xml:space="preserve">1 minute(s) and 56 second(s)</t>
  </si>
  <si>
    <t xml:space="preserve">28 second(s)</t>
  </si>
  <si>
    <t xml:space="preserve">2.6.0</t>
  </si>
  <si>
    <t xml:space="preserve">16 minute(s) and 41 second(s)</t>
  </si>
  <si>
    <t xml:space="preserve">Product</t>
  </si>
  <si>
    <t xml:space="preserve">Input_Combined</t>
  </si>
  <si>
    <t xml:space="preserve">Escalation - Scenarios</t>
  </si>
  <si>
    <t xml:space="preserve">Template Tag</t>
  </si>
  <si>
    <t xml:space="preserve">Excel Data/Formula</t>
  </si>
  <si>
    <t xml:space="preserve">Escalation</t>
  </si>
  <si>
    <t xml:space="preserve">Wise</t>
  </si>
  <si>
    <t xml:space="preserve">Escalation_Wise</t>
  </si>
  <si>
    <t xml:space="preserve">Options</t>
  </si>
  <si>
    <t xml:space="preserve">[Escalation Narrative]</t>
  </si>
  <si>
    <t xml:space="preserve">Fluz</t>
  </si>
  <si>
    <t xml:space="preserve">Escalation_Fluz</t>
  </si>
  <si>
    <t xml:space="preserve">GREYED OUT</t>
  </si>
  <si>
    <t xml:space="preserve">[MASTER_SHELL]</t>
  </si>
  <si>
    <t xml:space="preserve">Crypto</t>
  </si>
  <si>
    <t xml:space="preserve">Escalation_Crypto</t>
  </si>
  <si>
    <t xml:space="preserve">[Subject Name]</t>
  </si>
  <si>
    <t xml:space="preserve">Non-Escalation</t>
  </si>
  <si>
    <t xml:space="preserve">Closure</t>
  </si>
  <si>
    <t xml:space="preserve">Non-Escalation_Closure</t>
  </si>
  <si>
    <t xml:space="preserve">[ECM ID]</t>
  </si>
  <si>
    <t xml:space="preserve">Non-Escalation_Crypto Closure</t>
  </si>
  <si>
    <t xml:space="preserve">[Alert ID]</t>
  </si>
  <si>
    <t xml:space="preserve">[Location]</t>
  </si>
  <si>
    <t xml:space="preserve">Input Power Automate URL</t>
  </si>
  <si>
    <t xml:space="preserve">[Counterparties]</t>
  </si>
  <si>
    <t xml:space="preserve">Instructions: Analysts to only update 'Blue' Cells and use the action button per their requirements. 'Utility Tool: User Manual V1.0' to be used for further step-by-step instructions. </t>
  </si>
  <si>
    <t xml:space="preserve">Airwallex</t>
  </si>
  <si>
    <t xml:space="preserve">[Monthly Average]</t>
  </si>
  <si>
    <t xml:space="preserve">Common</t>
  </si>
  <si>
    <t xml:space="preserve">[Num Trans]</t>
  </si>
  <si>
    <t xml:space="preserve">[Total Amount]</t>
  </si>
  <si>
    <t xml:space="preserve">[Start Date]</t>
  </si>
  <si>
    <t xml:space="preserve">[End Date]</t>
  </si>
  <si>
    <t xml:space="preserve">[Account Numbers]</t>
  </si>
  <si>
    <t xml:space="preserve">[Program Description]</t>
  </si>
  <si>
    <t xml:space="preserve">[Program Name]</t>
  </si>
  <si>
    <t xml:space="preserve">[CP 1]</t>
  </si>
  <si>
    <t xml:space="preserve">[CP 2]</t>
  </si>
  <si>
    <t xml:space="preserve">[CP 3]</t>
  </si>
  <si>
    <t xml:space="preserve">[CP 4]</t>
  </si>
  <si>
    <t xml:space="preserve">[CP 5]</t>
  </si>
  <si>
    <t xml:space="preserve">[CP 6]</t>
  </si>
  <si>
    <t xml:space="preserve">[Rule Name]</t>
  </si>
  <si>
    <t xml:space="preserve">[Min Amount]</t>
  </si>
  <si>
    <t xml:space="preserve">[Max Amount]</t>
  </si>
  <si>
    <t xml:space="preserve">[Cr]</t>
  </si>
  <si>
    <t xml:space="preserve">[Dr]</t>
  </si>
  <si>
    <t xml:space="preserve">[Num Cr]</t>
  </si>
  <si>
    <t xml:space="preserve">[Num Dr]</t>
  </si>
  <si>
    <t xml:space="preserve">Rule Code Rule Name</t>
  </si>
  <si>
    <t xml:space="preserve">Rule Code</t>
  </si>
  <si>
    <t xml:space="preserve">Rule Name</t>
  </si>
  <si>
    <t xml:space="preserve">RULE02 Large value card transactions for purchase</t>
  </si>
  <si>
    <t xml:space="preserve">RULE03 Large value cash withdrawals against card - Weekly</t>
  </si>
  <si>
    <t xml:space="preserve">RULE03A Large value cash withdrawals against card - Monthly</t>
  </si>
  <si>
    <t xml:space="preserve">RULE04 Repeated small value cash withdrawals against card</t>
  </si>
  <si>
    <t xml:space="preserve">RULE05 Large repetitive card usage at the same merchant</t>
  </si>
  <si>
    <t xml:space="preserve">RULE06 High value cash deposits in a month</t>
  </si>
  <si>
    <t xml:space="preserve">RULE07 High value cash withdrawals in a month</t>
  </si>
  <si>
    <t xml:space="preserve">RULE10 Sudden high value transaction for the client</t>
  </si>
  <si>
    <t xml:space="preserve">RULE11 Structuring: Splitting of cash withdrawal just below $10,000 in multiple accounts in a day</t>
  </si>
  <si>
    <t xml:space="preserve">RULE12 Structuring: Splitting cash deposits just below $10,000 in multiple accounts in a day</t>
  </si>
  <si>
    <t xml:space="preserve">RULE14 Frequent low cash deposits</t>
  </si>
  <si>
    <t xml:space="preserve">RULE15 Frequent low cash withdrawals</t>
  </si>
  <si>
    <t xml:space="preserve">RULE20 Early withdrawal of CD's</t>
  </si>
  <si>
    <t xml:space="preserve">RULE21 High value inward remittance</t>
  </si>
  <si>
    <t xml:space="preserve">RULE24 Alerts on Foreign Inward remittance of beyond a threshold limit</t>
  </si>
  <si>
    <t xml:space="preserve">RULE27A Many to One ACH</t>
  </si>
  <si>
    <t xml:space="preserve">RULE27A1 Many to One RDFI ACH</t>
  </si>
  <si>
    <t xml:space="preserve">RULE27A2 Many to One High Volume ACH</t>
  </si>
  <si>
    <t xml:space="preserve">RULE27B Many to one fund transfer - Wires</t>
  </si>
  <si>
    <t xml:space="preserve">RULE27C Many to one fund transfer - ACH E-Corp</t>
  </si>
  <si>
    <t xml:space="preserve">RULE27D Pseudo Debit Many to One</t>
  </si>
  <si>
    <t xml:space="preserve">RULE28A One to many fund transfer - ACH</t>
  </si>
  <si>
    <t xml:space="preserve">RULE28B One to many fund transfer - Wires</t>
  </si>
  <si>
    <t xml:space="preserve">RULE28C One to many fund transfer - ACH E-Corp</t>
  </si>
  <si>
    <t xml:space="preserve">RULE28D Pseudo Debit One to Many</t>
  </si>
  <si>
    <t xml:space="preserve">RULE30 High value transactions with a country with high ML risk</t>
  </si>
  <si>
    <t xml:space="preserve">RULE31 Inward and outward ACH of same amount on same day</t>
  </si>
  <si>
    <t xml:space="preserve">RULE37 Opening and closing of loan accounts within short period</t>
  </si>
  <si>
    <t xml:space="preserve">RULE43 High value cash transactions inconsistent with profile</t>
  </si>
  <si>
    <t xml:space="preserve">RULE45 High value transactions by high-risk customers compared to profile.</t>
  </si>
  <si>
    <t xml:space="preserve">RULE50 Cash Deposit of total $10,000 or above in a day</t>
  </si>
  <si>
    <t xml:space="preserve">RULE51 Cash withdrawal of total $10,000 or above in a day</t>
  </si>
  <si>
    <t xml:space="preserve">RULE54 Deviation from historical behaviors-All</t>
  </si>
  <si>
    <t xml:space="preserve">RULE54A1 Deviation from historical behaviors-Prepaid Consumer</t>
  </si>
  <si>
    <t xml:space="preserve">RULE54A2 Deviation from historical behaviors-Prepaid Corporate</t>
  </si>
  <si>
    <t xml:space="preserve">RULE56 Pattern of "funding" in pre-pay card and rapid "spending" - min pre-load "spend"</t>
  </si>
  <si>
    <t xml:space="preserve">RULE76 Structuring patterns for IN wires between certain amounts.</t>
  </si>
  <si>
    <t xml:space="preserve">RULE79 Incoming Activity from High Risk Jurisdiction</t>
  </si>
  <si>
    <t xml:space="preserve">RULE79A Incoming HR Jurisdiction High Volume Program</t>
  </si>
  <si>
    <t xml:space="preserve">RULE79B Incoming Activity from Prohibited Jurisdiction</t>
  </si>
  <si>
    <t xml:space="preserve">RULE80 Outgoing Activity to High-Risk Jurisdiction</t>
  </si>
  <si>
    <t xml:space="preserve">RULE80A Outgoing Activity to High-Risk Jurisdiction-TransferWise</t>
  </si>
  <si>
    <t xml:space="preserve">RULE80B Outgoing Activity to Prohibited Jurisdiction</t>
  </si>
  <si>
    <t xml:space="preserve">RULE85 Transactions Involving Restricted or Prohibited Industries</t>
  </si>
  <si>
    <t xml:space="preserve">RULE86 Incoming wires from High-Risk Business</t>
  </si>
  <si>
    <t xml:space="preserve">RULE87 Outgoing Wires from High-Risk Business</t>
  </si>
  <si>
    <t xml:space="preserve">RULE88 Frequent low cash deposits</t>
  </si>
  <si>
    <t xml:space="preserve">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</si>
  <si>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 xml:space="preserve">Airwallex Hong Kong Ltd</t>
  </si>
  <si>
    <t xml:space="preserve">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</si>
  <si>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 xml:space="preserve">Alviere</t>
  </si>
  <si>
    <t xml:space="preserve">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</si>
  <si>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 xml:space="preserve">ArroFi</t>
  </si>
  <si>
    <t xml:space="preserve">ArroFi offers credit-building tools via a secured credit card known as the Arro Card. CFSB serves as the card issuer and processes financial transactions for the Arro program.</t>
  </si>
  <si>
    <t xml:space="preserve">Balance Technologies</t>
  </si>
  <si>
    <t xml:space="preserve">Balance Technologies provides digital B2B payment solutions for merchants and marketplaces. CFSB issues business debit cards under the Balance program.</t>
  </si>
  <si>
    <t xml:space="preserve">Bambu</t>
  </si>
  <si>
    <t xml:space="preserve">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</si>
  <si>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 xml:space="preserve">Banco XP</t>
  </si>
  <si>
    <t xml:space="preserve">Banco XP, through XP Investments US, offers investment and financial services to Brazilian clients. CFSB issues consumer debit cards as part of the Banco XP program.</t>
  </si>
  <si>
    <t xml:space="preserve">CardCash </t>
  </si>
  <si>
    <t xml:space="preserve">CardCash operates a platform for buying and selling discounted gift cards. CFSB processes ACH settlements to load funds to the CardCash platform.</t>
  </si>
  <si>
    <t xml:space="preserve">CFG Global </t>
  </si>
  <si>
    <t xml:space="preserve">CFG Global provides foreign exchange and treasury solutions for corporate clients. CFSB facilitates outgoing domestic and international transfers at the direction of CFG Global.</t>
  </si>
  <si>
    <t xml:space="preserve">Chipper Cash </t>
  </si>
  <si>
    <t xml:space="preserve">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</si>
  <si>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 xml:space="preserve">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</si>
  <si>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</si>
  <si>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 xml:space="preserve">Clearshift</t>
  </si>
  <si>
    <t xml:space="preserve">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</si>
  <si>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 xml:space="preserve">Cogni</t>
  </si>
  <si>
    <t xml:space="preserve">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</si>
  <si>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 xml:space="preserve">Comun</t>
  </si>
  <si>
    <t xml:space="preserve">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</si>
  <si>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 xml:space="preserve">Credit Sesame/SesameCash</t>
  </si>
  <si>
    <t xml:space="preserve">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</si>
  <si>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 xml:space="preserve">Crypto.com (Foris Inc/Foris Dax Inc)</t>
  </si>
  <si>
    <t xml:space="preserve">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</si>
  <si>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 xml:space="preserve">Currencycloud</t>
  </si>
  <si>
    <t xml:space="preserve">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</si>
  <si>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</si>
  <si>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</si>
  <si>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 xml:space="preserve">Currenxie, Ltd</t>
  </si>
  <si>
    <t xml:space="preserve">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</si>
  <si>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 xml:space="preserve">DollarSmart Global PTE LTD</t>
  </si>
  <si>
    <t xml:space="preserve">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</si>
  <si>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</si>
  <si>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</si>
  <si>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</si>
  <si>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</si>
  <si>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</si>
  <si>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</si>
  <si>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 xml:space="preserve">Euro Exchange International Bank</t>
  </si>
  <si>
    <t xml:space="preserve">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</si>
  <si>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</si>
  <si>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</si>
  <si>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 xml:space="preserve">Experian</t>
  </si>
  <si>
    <t xml:space="preserve">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</si>
  <si>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</si>
  <si>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</si>
  <si>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</si>
  <si>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</si>
  <si>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 xml:space="preserve">FLUZ</t>
  </si>
  <si>
    <t xml:space="preserve">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</si>
  <si>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</si>
  <si>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 xml:space="preserve">GenialAI provides audit automation tools for accounting professionals. CFSB issues debit cards tied to Genial’s user services.</t>
  </si>
  <si>
    <t xml:space="preserve">Global M2C (Skyee)</t>
  </si>
  <si>
    <t xml:space="preserve">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</si>
  <si>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</si>
  <si>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 xml:space="preserve">Global66 offers international money transfers for individuals in Latin America. CFSB processes ACH and wire remittances on behalf of Global66 customers.</t>
  </si>
  <si>
    <t xml:space="preserve">GoCardless LTD</t>
  </si>
  <si>
    <t xml:space="preserve">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</si>
  <si>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 xml:space="preserve">GoHenry</t>
  </si>
  <si>
    <t xml:space="preserve">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</si>
  <si>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 xml:space="preserve">Greenlight Financial Technology, Inc (Greenlight)</t>
  </si>
  <si>
    <t xml:space="preserve">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</si>
  <si>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</si>
  <si>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</si>
  <si>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 xml:space="preserve">Hamro Patro</t>
  </si>
  <si>
    <t xml:space="preserve"> Hamro Patro is a Nepalese platform offering digital content and financial tools. CFSB supports relevant payment services, including card issuance.</t>
  </si>
  <si>
    <t xml:space="preserve">Harbour and Hills</t>
  </si>
  <si>
    <t xml:space="preserve">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</si>
  <si>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 xml:space="preserve">Highnote</t>
  </si>
  <si>
    <t xml:space="preserve">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</si>
  <si>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</si>
  <si>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 xml:space="preserve">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</si>
  <si>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</si>
  <si>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</si>
  <si>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 xml:space="preserve">IPAYLINKS US INC</t>
  </si>
  <si>
    <t xml:space="preserve">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</si>
  <si>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</si>
  <si>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 xml:space="preserve">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</si>
  <si>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</si>
  <si>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</si>
  <si>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 xml:space="preserve">Keeta</t>
  </si>
  <si>
    <t xml:space="preserve">Keeta provides real-time cross-border payments using blockchain-based infrastructure. CFSB issues debit cards to support consumer access to funds.</t>
  </si>
  <si>
    <t xml:space="preserve">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</si>
  <si>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</si>
  <si>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 xml:space="preserve">LianLian Global</t>
  </si>
  <si>
    <t xml:space="preserve">LianLian Global supports cross-border eCommerce payments for sellers on platforms like Amazon and Shopify. CFSB facilitates ACH and wire settlements.</t>
  </si>
  <si>
    <t xml:space="preserve">Liberty Cooperative Credit Union (LCCU) </t>
  </si>
  <si>
    <t xml:space="preserve">LCCU is a credit union based in Anguilla. CFSB supports debit card issuance to members through the credit union.</t>
  </si>
  <si>
    <t xml:space="preserve">MAJORITY</t>
  </si>
  <si>
    <t xml:space="preserve">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</si>
  <si>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 xml:space="preserve">Marygold &amp; Co</t>
  </si>
  <si>
    <t xml:space="preserve">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</si>
  <si>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</si>
  <si>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</si>
  <si>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 xml:space="preserve">MSBB Money Ltd</t>
  </si>
  <si>
    <t xml:space="preserve">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</si>
  <si>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</si>
  <si>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</si>
  <si>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</si>
  <si>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 xml:space="preserve">Neosurf offers prepaid vouchers for online purchases without bank accounts. CFSB supports voucher redemption and remittance processing.</t>
  </si>
  <si>
    <t xml:space="preserve">NIUM</t>
  </si>
  <si>
    <t xml:space="preserve">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</si>
  <si>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</si>
  <si>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 xml:space="preserve">Nomad provides U.S. bank accounts and debit cards to Brazilian customers. CFSB issues Nomad branded debit cards and facilitates currency exchange remittances.</t>
  </si>
  <si>
    <t xml:space="preserve">Pana </t>
  </si>
  <si>
    <t xml:space="preserve">Pana is a digital financial service provider for the U.S. Latino community. CFSB supports debit card issuance and remittances.</t>
  </si>
  <si>
    <t xml:space="preserve">Panda Remit</t>
  </si>
  <si>
    <t xml:space="preserve">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</si>
  <si>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</si>
  <si>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 xml:space="preserve">PayFacto provides payment gateway services and point-of-sale solutions. CFSB supports merchant acquiring services and POS settlement.</t>
  </si>
  <si>
    <t xml:space="preserve">Payoneer Inc.</t>
  </si>
  <si>
    <t xml:space="preserve">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</si>
  <si>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</si>
  <si>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</si>
  <si>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</si>
  <si>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</si>
  <si>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</si>
  <si>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 xml:space="preserve">PaymentEarth provides international payments and FX risk management tools. CFSB facilitates ACH and wire transfers per PaymentEarth instructions.</t>
  </si>
  <si>
    <t xml:space="preserve">Placid Transfers Corp</t>
  </si>
  <si>
    <t xml:space="preserve">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</si>
  <si>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</si>
  <si>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 xml:space="preserve">Pomelo offers remittance services and credit-building tools through a prepaid card. CFSB facilitates card issuance and international remittance processing.</t>
  </si>
  <si>
    <t xml:space="preserve">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</si>
  <si>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</si>
  <si>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 xml:space="preserve">Pronto Money Transfer Inc</t>
  </si>
  <si>
    <t xml:space="preserve">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</si>
  <si>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</si>
  <si>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</si>
  <si>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</si>
  <si>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</si>
  <si>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</si>
  <si>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 xml:space="preserve">SentBe offers low-cost remittance services focused on South Korea and APAC. CFSB processes international wires and ACH transfers for SentBe users.</t>
  </si>
  <si>
    <t xml:space="preserve">Skrill</t>
  </si>
  <si>
    <t xml:space="preserve">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</si>
  <si>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</si>
  <si>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 xml:space="preserve">Speedchain provides real-time spend and payment management tools for businesses. CFSB supports domestic payment settlement and card issuance under Speedchain programs.</t>
  </si>
  <si>
    <t xml:space="preserve">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</si>
  <si>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</si>
  <si>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</si>
  <si>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</si>
  <si>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</si>
  <si>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 xml:space="preserve">URemit is a remittance platform serving over 130 countries. CFSB facilitates domestic and international payments on behalf of URemit customers.</t>
  </si>
  <si>
    <t xml:space="preserve">Unlimit </t>
  </si>
  <si>
    <t xml:space="preserve">Unlimit offers global payment infrastructure supporting card, wallet, and crypto payments. CFSB facilitates ACH and wire settlements on behalf of Unlimit clients.</t>
  </si>
  <si>
    <t xml:space="preserve">VertoFX</t>
  </si>
  <si>
    <t xml:space="preserve">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</si>
  <si>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 xml:space="preserve">Vitesse PSP Origination</t>
  </si>
  <si>
    <t xml:space="preserve">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</si>
  <si>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 xml:space="preserve">WAVE MONEY</t>
  </si>
  <si>
    <t xml:space="preserve">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</si>
  <si>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</si>
  <si>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</si>
  <si>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</si>
  <si>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 xml:space="preserve">WireBarley provides affordable international remittance services, especially within the AsiaPacific region. CFSB facilitates global remittance flows and card funding.</t>
  </si>
  <si>
    <t xml:space="preserve">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</si>
  <si>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</si>
  <si>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 xml:space="preserve">Zolve</t>
  </si>
  <si>
    <t xml:space="preserve">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</si>
  <si>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 xml:space="preserve">Template Key</t>
  </si>
  <si>
    <t xml:space="preserve">Template Body</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</si>
  <si>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and its counterparties.
Based on this investigation, [Subject Name] appears engaged in potentially questionable activity indicative of a pattern of high volume and high dollar transactions with counterparties with unidentified business profiles and located in high-risk jurisdictions indicates potentially suspicious EFT/wire transfers with unknown source of funds.</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</si>
  <si>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High-frequency transactions to unknown counterparties.
3. Total Suspicious Dollar Amount: $[Total Amount]
4. Date Range of Suspicious Activity: [Start Date] through [End Date]
5. Associated Program Partner: [Program Name]
Fluz is designed for routine prepaid spending that reflects normal consumer or business purchase behavior and is not intended for large, repeated loads and redemptions within short timeframes. A rapid load and spend pattern involving high aggregate amounts on the same or consecutive days departs from expected use patterns and raises suspicion that the product may be used as a fund movement or value cycling mechanism rather than as a payment tool.
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
A review of the alerted transactions (and in scope transactions) was conducted covering the period from [Start Date] to [End Date]. The review yielded the following results: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Given the structured transaction pattern and the inability to establish a clear economic purpose, this case is recommended to be escalated and warrants further investigation.</t>
  </si>
  <si>
    <t xml:space="preserve">ALERT REVIEW SUMMARY
[ECM ID]_[Alert ID] was investigated as part of a targeted review of the [Program Name] program. This review consists solely of alerted accounts and transactions associated with the customer’s use of the program.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(and in scope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</si>
  <si>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 xml:space="preserve">Crypto_Escalation</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</si>
  <si>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Suspicion concerning the source of funds, Other: High Volume
3. Total Suspicious Dollar Amount: $[Total Amount] (rounded to nearest dollar)
4. Date Range of Suspicious Activity: [Start Date] through [End Date]
5. Associated Program Partner: [Program Name]
6. Financial Institution and Account Number: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t>
  </si>
  <si>
    <t xml:space="preserve">Crypto_Non_Escalation</t>
  </si>
  <si>
    <t xml:space="preserve">ALERT REVIEW SUMMARY
[ECM ID]_[Alert ID] has been investigated in a targeted review of the Crypto program. As such, this review consists of alerted accounts and transactions tied solely to this customer's use of the program.
Program: [Program Name]
Customer: [Subject Name]
Customer accounts: [Account Numbers] (Open/Close Date)
Review Period: [Start Date] through [End Date]
Aggregate value of Alerts: $[Total Amount]
Associated Alerts: [Alert ID]
Rule(s) Triggered: [Rule Name]
[Alert ID] has/have been investigated in a targeted review of the [Program Name]program. As such, this review consists of alerted accounts and transactions tied solely to this customer's use of the program.
________________________________________
PROGRAM DESCRIPTION
Based on CFSB's knowledge, [Subject Name] is an indirect customer of CFSB and is instead a client of [Program Name]program.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</si>
  <si>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 xml:space="preserve">RFI_Wise</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</si>
  <si>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</si>
  <si>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RFI_Airwallex</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</si>
  <si>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</si>
  <si>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RFI_Common</t>
  </si>
  <si>
    <t xml:space="preserve">			Financial Crimes Compliance Unit
			AML / TM Department
To: [Program Contact from list]
Cc: AMLRequests@cfsb.com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</si>
  <si>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Scenario Key</t>
  </si>
  <si>
    <t xml:space="preserve">Narrative Template</t>
  </si>
  <si>
    <t xml:space="preserve">Wise_Escalation_E-Commerce_Yes_Moderate</t>
  </si>
  <si>
    <t xml:space="preserve">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</si>
  <si>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 xml:space="preserve">Wise_Escalation_E-Commerce_No_Moderate</t>
  </si>
  <si>
    <t xml:space="preserve">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</si>
  <si>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 xml:space="preserve">Wise_Escalation_Vendor/Payroll_Yes_Moderate</t>
  </si>
  <si>
    <t xml:space="preserve">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</si>
  <si>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 xml:space="preserve">Wise_Escalation_Vendor/Payroll_No_Moderate</t>
  </si>
  <si>
    <t xml:space="preserve">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</si>
  <si>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 xml:space="preserve">Wise_Escalation_Same-Name_Yes_Moderate</t>
  </si>
  <si>
    <t xml:space="preserve">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</si>
  <si>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 xml:space="preserve">Wise_Escalation_Same-Name_No_Moderate</t>
  </si>
  <si>
    <t xml:space="preserve">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</si>
  <si>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 xml:space="preserve">Wise_Escalation_General Business_Yes_Moderate</t>
  </si>
  <si>
    <t xml:space="preserve">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</si>
  <si>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 xml:space="preserve">Wise_Escalation_General Business_No_Moderate</t>
  </si>
  <si>
    <t xml:space="preserve">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</si>
  <si>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 xml:space="preserve">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</si>
  <si>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 xml:space="preserve">[ECM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</si>
  <si>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 xml:space="preserve">[ECM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</si>
  <si>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 xml:space="preserve">Customer / Counterparty</t>
  </si>
  <si>
    <t xml:space="preserve">Type of Search</t>
  </si>
  <si>
    <t xml:space="preserve">Raw URL</t>
  </si>
  <si>
    <t xml:space="preserve">Naming Convention</t>
  </si>
  <si>
    <t xml:space="preserve">Open URL</t>
  </si>
  <si>
    <t xml:space="preserve">Google name</t>
  </si>
  <si>
    <t xml:space="preserve">Address</t>
  </si>
  <si>
    <t xml:space="preserve">Name + Address</t>
  </si>
  <si>
    <t xml:space="preserve">Negative News, page 1</t>
  </si>
  <si>
    <t xml:space="preserve">Negative News, page 2</t>
  </si>
</sst>
</file>

<file path=xl/styles.xml><?xml version="1.0" encoding="utf-8"?>
<styleSheet xmlns="http://schemas.openxmlformats.org/spreadsheetml/2006/main">
  <numFmts count="6">
    <numFmt numFmtId="164" formatCode="General"/>
    <numFmt numFmtId="165" formatCode="0.00"/>
    <numFmt numFmtId="166" formatCode="General"/>
    <numFmt numFmtId="167" formatCode="\$#,##0.00"/>
    <numFmt numFmtId="168" formatCode="m/d/yyyy"/>
    <numFmt numFmtId="169" formatCode="m/d/yyyy\ h:mm"/>
  </numFmts>
  <fonts count="33">
    <font>
      <sz val="11"/>
      <color theme="1"/>
      <name val="Calibri"/>
      <family val="2"/>
      <charset val="1"/>
    </font>
    <font>
      <sz val="10"/>
      <name val="Arial"/>
      <family val="0"/>
    </font>
    <font>
      <sz val="10"/>
      <name val="Arial"/>
      <family val="0"/>
    </font>
    <font>
      <sz val="10"/>
      <name val="Arial"/>
      <family val="0"/>
    </font>
    <font>
      <sz val="11"/>
      <name val="Calibri"/>
      <family val="2"/>
      <charset val="1"/>
    </font>
    <font>
      <sz val="8.5"/>
      <name val="Calibri"/>
      <family val="2"/>
      <charset val="1"/>
    </font>
    <font>
      <b val="true"/>
      <sz val="16"/>
      <color rgb="FF002060"/>
      <name val="Segoe UI"/>
      <family val="2"/>
      <charset val="1"/>
    </font>
    <font>
      <b val="true"/>
      <i val="true"/>
      <sz val="9"/>
      <name val="Segoe UI"/>
      <family val="2"/>
      <charset val="1"/>
    </font>
    <font>
      <b val="true"/>
      <i val="true"/>
      <u val="single"/>
      <sz val="9"/>
      <name val="Segoe UI"/>
      <family val="2"/>
      <charset val="1"/>
    </font>
    <font>
      <b val="true"/>
      <i val="true"/>
      <sz val="12"/>
      <color theme="0"/>
      <name val="Segoe UI"/>
      <family val="2"/>
      <charset val="1"/>
    </font>
    <font>
      <b val="true"/>
      <i val="true"/>
      <sz val="10"/>
      <color theme="0"/>
      <name val="Segoe UI"/>
      <family val="2"/>
      <charset val="1"/>
    </font>
    <font>
      <b val="true"/>
      <i val="true"/>
      <u val="single"/>
      <sz val="9"/>
      <color rgb="FF666699"/>
      <name val="Segoe UI"/>
      <family val="2"/>
      <charset val="1"/>
    </font>
    <font>
      <b val="true"/>
      <i val="true"/>
      <sz val="9"/>
      <color rgb="FF002060"/>
      <name val="Segoe UI"/>
      <family val="2"/>
      <charset val="1"/>
    </font>
    <font>
      <sz val="8"/>
      <name val="Segoe UI"/>
      <family val="2"/>
      <charset val="1"/>
    </font>
    <font>
      <b val="true"/>
      <i val="true"/>
      <sz val="8.5"/>
      <name val="Segoe UI"/>
      <family val="2"/>
      <charset val="1"/>
    </font>
    <font>
      <b val="true"/>
      <i val="true"/>
      <sz val="9"/>
      <color theme="1"/>
      <name val="Segoe UI"/>
      <family val="2"/>
      <charset val="1"/>
    </font>
    <font>
      <i val="true"/>
      <sz val="10"/>
      <name val="Segoe UI"/>
      <family val="2"/>
      <charset val="1"/>
    </font>
    <font>
      <b val="true"/>
      <sz val="11"/>
      <name val="Calibri"/>
      <family val="2"/>
      <charset val="1"/>
    </font>
    <font>
      <b val="true"/>
      <sz val="13"/>
      <color theme="0"/>
      <name val="Segoe UI"/>
      <family val="2"/>
      <charset val="1"/>
    </font>
    <font>
      <b val="true"/>
      <i val="true"/>
      <sz val="8.5"/>
      <color theme="0"/>
      <name val="Segoe UI"/>
      <family val="2"/>
      <charset val="1"/>
    </font>
    <font>
      <b val="true"/>
      <i val="true"/>
      <sz val="11"/>
      <color theme="3" tint="-0.5"/>
      <name val="Calibri"/>
      <family val="2"/>
      <charset val="1"/>
    </font>
    <font>
      <b val="true"/>
      <sz val="9"/>
      <color rgb="FF000000"/>
      <name val="Segoe UI"/>
      <family val="0"/>
      <charset val="1"/>
    </font>
    <font>
      <sz val="8"/>
      <color rgb="FF000000"/>
      <name val="Segoe UI"/>
      <family val="0"/>
      <charset val="1"/>
    </font>
    <font>
      <b val="true"/>
      <sz val="11"/>
      <color rgb="FFFFFFFF"/>
      <name val="Calibri"/>
      <family val="2"/>
      <charset val="1"/>
    </font>
    <font>
      <sz val="12"/>
      <color theme="1"/>
      <name val="Aptos"/>
      <family val="2"/>
      <charset val="1"/>
    </font>
    <font>
      <b val="true"/>
      <u val="single"/>
      <sz val="12"/>
      <color theme="1"/>
      <name val="Calibri"/>
      <family val="2"/>
      <charset val="1"/>
    </font>
    <font>
      <sz val="12"/>
      <color theme="1"/>
      <name val="Calibri"/>
      <family val="2"/>
      <charset val="1"/>
    </font>
    <font>
      <u val="single"/>
      <sz val="12"/>
      <color theme="1"/>
      <name val="Calibri"/>
      <family val="2"/>
      <charset val="1"/>
    </font>
    <font>
      <b val="true"/>
      <sz val="12"/>
      <color theme="1"/>
      <name val="Calibri"/>
      <family val="2"/>
      <charset val="1"/>
    </font>
    <font>
      <u val="single"/>
      <sz val="11"/>
      <color theme="10"/>
      <name val="Calibri"/>
      <family val="2"/>
      <charset val="1"/>
    </font>
    <font>
      <b val="true"/>
      <u val="single"/>
      <sz val="11"/>
      <color theme="1"/>
      <name val="Calibri"/>
      <family val="2"/>
      <charset val="1"/>
    </font>
    <font>
      <b val="true"/>
      <sz val="11"/>
      <color rgb="FFFFFFFF"/>
      <name val="Arial"/>
      <family val="0"/>
      <charset val="1"/>
    </font>
    <font>
      <sz val="10"/>
      <name val="Arial"/>
      <family val="0"/>
      <charset val="1"/>
    </font>
  </fonts>
  <fills count="18">
    <fill>
      <patternFill patternType="none"/>
    </fill>
    <fill>
      <patternFill patternType="gray125"/>
    </fill>
    <fill>
      <patternFill patternType="solid">
        <fgColor rgb="FF002060"/>
        <bgColor rgb="FF222A35"/>
      </patternFill>
    </fill>
    <fill>
      <patternFill patternType="solid">
        <fgColor theme="2" tint="-0.1"/>
        <bgColor rgb="FFD3D3D3"/>
      </patternFill>
    </fill>
    <fill>
      <patternFill patternType="solid">
        <fgColor theme="8" tint="0.7999"/>
        <bgColor rgb="FFD9E1F2"/>
      </patternFill>
    </fill>
    <fill>
      <patternFill patternType="solid">
        <fgColor rgb="FFD9E1F2"/>
        <bgColor rgb="FFDAE3F3"/>
      </patternFill>
    </fill>
    <fill>
      <patternFill patternType="solid">
        <fgColor rgb="FF888888"/>
        <bgColor rgb="FF767171"/>
      </patternFill>
    </fill>
    <fill>
      <patternFill patternType="solid">
        <fgColor theme="2" tint="-0.25"/>
        <bgColor rgb="FF9DC3E6"/>
      </patternFill>
    </fill>
    <fill>
      <patternFill patternType="solid">
        <fgColor theme="3" tint="0.7999"/>
        <bgColor rgb="FFD9E1F2"/>
      </patternFill>
    </fill>
    <fill>
      <patternFill patternType="solid">
        <fgColor theme="2" tint="-0.5"/>
        <bgColor rgb="FF666699"/>
      </patternFill>
    </fill>
    <fill>
      <patternFill patternType="solid">
        <fgColor theme="0" tint="-0.05"/>
        <bgColor rgb="FFDEEBF7"/>
      </patternFill>
    </fill>
    <fill>
      <patternFill patternType="solid">
        <fgColor rgb="FFD3D3D3"/>
        <bgColor rgb="FFD0CECE"/>
      </patternFill>
    </fill>
    <fill>
      <patternFill patternType="solid">
        <fgColor rgb="FF00467F"/>
        <bgColor rgb="FF002060"/>
      </patternFill>
    </fill>
    <fill>
      <patternFill patternType="solid">
        <fgColor rgb="FFFFFF00"/>
        <bgColor rgb="FFFFFF00"/>
      </patternFill>
    </fill>
    <fill>
      <patternFill patternType="solid">
        <fgColor theme="4" tint="0.3999"/>
        <bgColor rgb="FFB9D2A9"/>
      </patternFill>
    </fill>
    <fill>
      <patternFill patternType="solid">
        <fgColor theme="5" tint="0.5999"/>
        <bgColor rgb="FFFFE699"/>
      </patternFill>
    </fill>
    <fill>
      <patternFill patternType="solid">
        <fgColor theme="7" tint="0.5999"/>
        <bgColor rgb="FFF8CBAD"/>
      </patternFill>
    </fill>
    <fill>
      <patternFill patternType="solid">
        <fgColor rgb="FFDCE6F1"/>
        <bgColor rgb="FFDAE3F3"/>
      </patternFill>
    </fill>
  </fills>
  <borders count="54">
    <border diagonalUp="false" diagonalDown="false">
      <left/>
      <right/>
      <top/>
      <bottom/>
      <diagonal/>
    </border>
    <border diagonalUp="false" diagonalDown="false">
      <left style="medium">
        <color rgb="FF002060"/>
      </left>
      <right style="medium">
        <color rgb="FF002060"/>
      </right>
      <top style="medium">
        <color rgb="FF002060"/>
      </top>
      <bottom style="medium">
        <color rgb="FF002060"/>
      </bottom>
      <diagonal/>
    </border>
    <border diagonalUp="false" diagonalDown="false">
      <left style="medium">
        <color rgb="FF002060"/>
      </left>
      <right style="thin">
        <color rgb="FF002060"/>
      </right>
      <top style="medium">
        <color rgb="FF002060"/>
      </top>
      <bottom style="thin">
        <color rgb="FF002060"/>
      </bottom>
      <diagonal/>
    </border>
    <border diagonalUp="false" diagonalDown="false">
      <left/>
      <right style="thin">
        <color rgb="FF002060"/>
      </right>
      <top style="thin">
        <color rgb="FF002060"/>
      </top>
      <bottom style="thin">
        <color rgb="FF002060"/>
      </bottom>
      <diagonal/>
    </border>
    <border diagonalUp="false" diagonalDown="false">
      <left style="medium">
        <color rgb="FF002060"/>
      </left>
      <right style="medium">
        <color rgb="FF002060"/>
      </right>
      <top style="thin">
        <color rgb="FF002060"/>
      </top>
      <bottom style="thin">
        <color rgb="FF002060"/>
      </bottom>
      <diagonal/>
    </border>
    <border diagonalUp="false" diagonalDown="false">
      <left style="medium">
        <color rgb="FF002060"/>
      </left>
      <right style="thin">
        <color rgb="FF002060"/>
      </right>
      <top style="thin">
        <color rgb="FF002060"/>
      </top>
      <bottom style="thin">
        <color rgb="FF002060"/>
      </bottom>
      <diagonal/>
    </border>
    <border diagonalUp="false" diagonalDown="false">
      <left style="medium">
        <color rgb="FF002060"/>
      </left>
      <right style="thin">
        <color rgb="FF002060"/>
      </right>
      <top style="thin">
        <color rgb="FF002060"/>
      </top>
      <bottom style="medium">
        <color rgb="FF002060"/>
      </bottom>
      <diagonal/>
    </border>
    <border diagonalUp="false" diagonalDown="false">
      <left/>
      <right style="thin">
        <color rgb="FF002060"/>
      </right>
      <top style="thin">
        <color rgb="FF002060"/>
      </top>
      <bottom style="medium">
        <color rgb="FF002060"/>
      </bottom>
      <diagonal/>
    </border>
    <border diagonalUp="false" diagonalDown="false">
      <left style="medium">
        <color rgb="FF002060"/>
      </left>
      <right style="medium">
        <color rgb="FF002060"/>
      </right>
      <top style="medium">
        <color rgb="FF002060"/>
      </top>
      <bottom/>
      <diagonal/>
    </border>
    <border diagonalUp="false" diagonalDown="false">
      <left/>
      <right style="thin"/>
      <top style="medium"/>
      <bottom style="thin"/>
      <diagonal/>
    </border>
    <border diagonalUp="false" diagonalDown="false">
      <left/>
      <right style="thin"/>
      <top style="thin"/>
      <bottom style="medium">
        <color rgb="FF002060"/>
      </bottom>
      <diagonal/>
    </border>
    <border diagonalUp="false" diagonalDown="false">
      <left style="medium">
        <color rgb="FF002060"/>
      </left>
      <right style="thin">
        <color rgb="FF002060"/>
      </right>
      <top/>
      <bottom style="thin">
        <color rgb="FF002060"/>
      </bottom>
      <diagonal/>
    </border>
    <border diagonalUp="false" diagonalDown="false">
      <left style="medium">
        <color rgb="FF002060"/>
      </left>
      <right style="medium">
        <color rgb="FF002060"/>
      </right>
      <top/>
      <bottom style="thin">
        <color rgb="FF002060"/>
      </bottom>
      <diagonal/>
    </border>
    <border diagonalUp="false" diagonalDown="false">
      <left/>
      <right style="thin">
        <color rgb="FF002060"/>
      </right>
      <top/>
      <bottom style="thin">
        <color rgb="FF002060"/>
      </bottom>
      <diagonal/>
    </border>
    <border diagonalUp="false" diagonalDown="false">
      <left style="thin">
        <color rgb="FF002060"/>
      </left>
      <right style="thin">
        <color rgb="FF002060"/>
      </right>
      <top/>
      <bottom style="thin">
        <color rgb="FF002060"/>
      </bottom>
      <diagonal/>
    </border>
    <border diagonalUp="false" diagonalDown="false">
      <left style="thin">
        <color rgb="FF002060"/>
      </left>
      <right style="medium">
        <color rgb="FF002060"/>
      </right>
      <top/>
      <bottom style="thin">
        <color rgb="FF002060"/>
      </bottom>
      <diagonal/>
    </border>
    <border diagonalUp="false" diagonalDown="false">
      <left style="medium">
        <color rgb="FF002060"/>
      </left>
      <right/>
      <top style="medium">
        <color rgb="FF002060"/>
      </top>
      <bottom/>
      <diagonal/>
    </border>
    <border diagonalUp="false" diagonalDown="false">
      <left/>
      <right/>
      <top style="medium">
        <color rgb="FF002060"/>
      </top>
      <bottom/>
      <diagonal/>
    </border>
    <border diagonalUp="false" diagonalDown="false">
      <left/>
      <right style="medium">
        <color rgb="FF002060"/>
      </right>
      <top style="medium">
        <color rgb="FF002060"/>
      </top>
      <bottom/>
      <diagonal/>
    </border>
    <border diagonalUp="false" diagonalDown="false">
      <left style="thin">
        <color rgb="FF002060"/>
      </left>
      <right style="thin">
        <color rgb="FF002060"/>
      </right>
      <top style="thin">
        <color rgb="FF002060"/>
      </top>
      <bottom style="thin">
        <color rgb="FF002060"/>
      </bottom>
      <diagonal/>
    </border>
    <border diagonalUp="false" diagonalDown="false">
      <left style="thin">
        <color rgb="FF002060"/>
      </left>
      <right style="medium">
        <color rgb="FF002060"/>
      </right>
      <top style="thin">
        <color rgb="FF002060"/>
      </top>
      <bottom style="thin">
        <color rgb="FF002060"/>
      </bottom>
      <diagonal/>
    </border>
    <border diagonalUp="false" diagonalDown="false">
      <left style="medium">
        <color rgb="FF002060"/>
      </left>
      <right/>
      <top/>
      <bottom/>
      <diagonal/>
    </border>
    <border diagonalUp="false" diagonalDown="false">
      <left/>
      <right style="medium">
        <color rgb="FF002060"/>
      </right>
      <top/>
      <bottom/>
      <diagonal/>
    </border>
    <border diagonalUp="false" diagonalDown="false">
      <left style="medium">
        <color rgb="FF002060"/>
      </left>
      <right/>
      <top/>
      <bottom style="medium">
        <color rgb="FF002060"/>
      </bottom>
      <diagonal/>
    </border>
    <border diagonalUp="false" diagonalDown="false">
      <left/>
      <right/>
      <top/>
      <bottom style="medium">
        <color rgb="FF002060"/>
      </bottom>
      <diagonal/>
    </border>
    <border diagonalUp="false" diagonalDown="false">
      <left/>
      <right style="medium">
        <color rgb="FF002060"/>
      </right>
      <top/>
      <bottom style="medium">
        <color rgb="FF002060"/>
      </bottom>
      <diagonal/>
    </border>
    <border diagonalUp="false" diagonalDown="false">
      <left style="medium">
        <color rgb="FF002060"/>
      </left>
      <right style="medium">
        <color rgb="FF002060"/>
      </right>
      <top style="thin">
        <color rgb="FF002060"/>
      </top>
      <bottom style="medium">
        <color rgb="FF002060"/>
      </bottom>
      <diagonal/>
    </border>
    <border diagonalUp="false" diagonalDown="false">
      <left style="thin">
        <color rgb="FF002060"/>
      </left>
      <right style="thin">
        <color rgb="FF002060"/>
      </right>
      <top style="thin">
        <color rgb="FF002060"/>
      </top>
      <bottom style="medium">
        <color rgb="FF002060"/>
      </bottom>
      <diagonal/>
    </border>
    <border diagonalUp="false" diagonalDown="false">
      <left style="thin">
        <color rgb="FF002060"/>
      </left>
      <right style="medium">
        <color rgb="FF002060"/>
      </right>
      <top style="thin">
        <color rgb="FF002060"/>
      </top>
      <bottom style="medium">
        <color rgb="FF002060"/>
      </bottom>
      <diagonal/>
    </border>
    <border diagonalUp="false" diagonalDown="false">
      <left style="medium"/>
      <right style="thin"/>
      <top style="medium"/>
      <bottom/>
      <diagonal/>
    </border>
    <border diagonalUp="false" diagonalDown="false">
      <left/>
      <right style="thin"/>
      <top style="medium"/>
      <bottom/>
      <diagonal/>
    </border>
    <border diagonalUp="false" diagonalDown="false">
      <left style="thin">
        <color rgb="FF002060"/>
      </left>
      <right style="thin"/>
      <top style="medium"/>
      <bottom/>
      <diagonal/>
    </border>
    <border diagonalUp="false" diagonalDown="false">
      <left/>
      <right style="medium"/>
      <top style="medium"/>
      <bottom/>
      <diagonal/>
    </border>
    <border diagonalUp="false" diagonalDown="false">
      <left/>
      <right style="thin"/>
      <top style="thin"/>
      <bottom style="thin"/>
      <diagonal/>
    </border>
    <border diagonalUp="false" diagonalDown="false">
      <left style="medium">
        <color rgb="FF002060"/>
      </left>
      <right style="thin"/>
      <top style="medium">
        <color rgb="FF002060"/>
      </top>
      <bottom style="medium">
        <color rgb="FF002060"/>
      </bottom>
      <diagonal/>
    </border>
    <border diagonalUp="false" diagonalDown="false">
      <left style="thin"/>
      <right style="thin"/>
      <top style="thin"/>
      <bottom style="thin"/>
      <diagonal/>
    </border>
    <border diagonalUp="false" diagonalDown="false">
      <left style="thin">
        <color rgb="FFD3D3D3"/>
      </left>
      <right style="thin">
        <color rgb="FFD3D3D3"/>
      </right>
      <top style="thin">
        <color rgb="FFD3D3D3"/>
      </top>
      <bottom style="thin">
        <color rgb="FFD3D3D3"/>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thin"/>
      <right style="thin"/>
      <top style="thin"/>
      <bottom style="medium"/>
      <diagonal/>
    </border>
    <border diagonalUp="false" diagonalDown="false">
      <left style="medium"/>
      <right style="medium"/>
      <top style="medium"/>
      <bottom style="medium"/>
      <diagonal/>
    </border>
    <border diagonalUp="false" diagonalDown="false">
      <left/>
      <right style="medium"/>
      <top style="medium"/>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style="medium"/>
      <right style="medium"/>
      <top style="medium"/>
      <bottom/>
      <diagonal/>
    </border>
    <border diagonalUp="false" diagonalDown="false">
      <left/>
      <right style="medium"/>
      <top/>
      <bottom/>
      <diagonal/>
    </border>
    <border diagonalUp="false" diagonalDown="false">
      <left style="thin"/>
      <right style="medium"/>
      <top style="medium"/>
      <bottom/>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style="thin"/>
      <bottom style="medium"/>
      <diagonal/>
    </border>
    <border diagonalUp="false" diagonalDown="false">
      <left style="thin"/>
      <right style="medium"/>
      <top style="thin"/>
      <bottom style="mediu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4" fontId="9" fillId="2" borderId="1" xfId="0" applyFont="true" applyBorder="true" applyAlignment="true" applyProtection="false">
      <alignment horizontal="center" vertical="bottom" textRotation="0" wrapText="false" indent="0" shrinkToFit="false"/>
      <protection locked="true" hidden="false"/>
    </xf>
    <xf numFmtId="164" fontId="10" fillId="2" borderId="2"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4" fontId="11" fillId="3" borderId="1" xfId="0" applyFont="true" applyBorder="true" applyAlignment="true" applyProtection="false">
      <alignment horizontal="center" vertical="bottom" textRotation="0" wrapText="false" indent="0" shrinkToFit="false"/>
      <protection locked="true" hidden="false"/>
    </xf>
    <xf numFmtId="164" fontId="12" fillId="3" borderId="2" xfId="0" applyFont="true" applyBorder="true" applyAlignment="true" applyProtection="false">
      <alignment horizontal="center" vertical="center" textRotation="0" wrapText="true" indent="0" shrinkToFit="false"/>
      <protection locked="true" hidden="false"/>
    </xf>
    <xf numFmtId="164" fontId="13" fillId="4" borderId="3" xfId="0" applyFont="true" applyBorder="true" applyAlignment="true" applyProtection="true">
      <alignment horizontal="center" vertical="center" textRotation="0" wrapText="true" indent="0" shrinkToFit="false"/>
      <protection locked="false" hidden="false"/>
    </xf>
    <xf numFmtId="164" fontId="12" fillId="3" borderId="4" xfId="0" applyFont="true" applyBorder="true" applyAlignment="true" applyProtection="false">
      <alignment horizontal="center" vertical="center" textRotation="0" wrapText="true" indent="0" shrinkToFit="false"/>
      <protection locked="true" hidden="false"/>
    </xf>
    <xf numFmtId="164" fontId="13" fillId="4" borderId="4" xfId="0" applyFont="true" applyBorder="true" applyAlignment="true" applyProtection="true">
      <alignment horizontal="center" vertical="center" textRotation="0" wrapText="true" indent="0" shrinkToFit="false"/>
      <protection locked="false" hidden="false"/>
    </xf>
    <xf numFmtId="164" fontId="12" fillId="3" borderId="5" xfId="0" applyFont="true" applyBorder="true" applyAlignment="true" applyProtection="false">
      <alignment horizontal="center" vertical="center" textRotation="0" wrapText="true" indent="0" shrinkToFit="false"/>
      <protection locked="true" hidden="false"/>
    </xf>
    <xf numFmtId="164" fontId="13" fillId="5" borderId="4" xfId="0" applyFont="true" applyBorder="true" applyAlignment="true" applyProtection="true">
      <alignment horizontal="center" vertical="center" textRotation="0" wrapText="true" indent="0" shrinkToFit="false"/>
      <protection locked="false" hidden="false"/>
    </xf>
    <xf numFmtId="164" fontId="13" fillId="6" borderId="4" xfId="0" applyFont="true" applyBorder="true" applyAlignment="true" applyProtection="false">
      <alignment horizontal="center" vertical="center" textRotation="0" wrapText="true" indent="0" shrinkToFit="false"/>
      <protection locked="true" hidden="false"/>
    </xf>
    <xf numFmtId="164" fontId="12" fillId="3" borderId="6" xfId="0" applyFont="true" applyBorder="true" applyAlignment="true" applyProtection="false">
      <alignment horizontal="center" vertical="center" textRotation="0" wrapText="true" indent="0" shrinkToFit="false"/>
      <protection locked="true" hidden="false"/>
    </xf>
    <xf numFmtId="164" fontId="13" fillId="4" borderId="7" xfId="0" applyFont="true" applyBorder="true" applyAlignment="true" applyProtection="true">
      <alignment horizontal="center" vertical="center" textRotation="0" wrapText="true" indent="0" shrinkToFit="false"/>
      <protection locked="false" hidden="false"/>
    </xf>
    <xf numFmtId="164" fontId="14" fillId="0" borderId="0" xfId="0" applyFont="true" applyBorder="false" applyAlignment="true" applyProtection="false">
      <alignment horizontal="center" vertical="bottom" textRotation="0" wrapText="true" indent="0" shrinkToFit="false"/>
      <protection locked="true" hidden="false"/>
    </xf>
    <xf numFmtId="164" fontId="13" fillId="0" borderId="0" xfId="0" applyFont="true" applyBorder="false" applyAlignment="true" applyProtection="false">
      <alignment horizontal="center" vertical="center" textRotation="0" wrapText="true" indent="0" shrinkToFit="false"/>
      <protection locked="true" hidden="false"/>
    </xf>
    <xf numFmtId="164" fontId="13" fillId="0" borderId="0" xfId="0" applyFont="true" applyBorder="false" applyAlignment="true" applyProtection="false">
      <alignment horizontal="center" vertical="bottom" textRotation="0" wrapText="true" indent="0" shrinkToFit="false"/>
      <protection locked="true" hidden="false"/>
    </xf>
    <xf numFmtId="164" fontId="10" fillId="2" borderId="8" xfId="0" applyFont="true" applyBorder="true" applyAlignment="true" applyProtection="false">
      <alignment horizontal="center" vertical="center" textRotation="0" wrapText="false" indent="0" shrinkToFit="false"/>
      <protection locked="true" hidden="false"/>
    </xf>
    <xf numFmtId="164" fontId="13" fillId="4" borderId="9" xfId="0" applyFont="true" applyBorder="true" applyAlignment="true" applyProtection="true">
      <alignment horizontal="center" vertical="center" textRotation="0" wrapText="true" indent="0" shrinkToFit="false"/>
      <protection locked="false" hidden="false"/>
    </xf>
    <xf numFmtId="164" fontId="13" fillId="4" borderId="10" xfId="0" applyFont="true" applyBorder="true" applyAlignment="true" applyProtection="true">
      <alignment horizontal="center" vertical="center" textRotation="0" wrapText="true" indent="0" shrinkToFit="false"/>
      <protection locked="false" hidden="false"/>
    </xf>
    <xf numFmtId="164" fontId="4" fillId="0" borderId="0" xfId="0" applyFont="true" applyBorder="true" applyAlignment="true" applyProtection="false">
      <alignment horizontal="center" vertical="bottom" textRotation="0" wrapText="true" indent="0" shrinkToFit="false"/>
      <protection locked="true" hidden="false"/>
    </xf>
    <xf numFmtId="164" fontId="4" fillId="0" borderId="0" xfId="0" applyFont="true" applyBorder="false" applyAlignment="true" applyProtection="false">
      <alignment horizontal="center" vertical="bottom" textRotation="0" wrapText="tru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11" fillId="0" borderId="0" xfId="0" applyFont="true" applyBorder="false" applyAlignment="true" applyProtection="false">
      <alignment horizontal="center" vertical="bottom" textRotation="0" wrapText="false" indent="0" shrinkToFit="false"/>
      <protection locked="true" hidden="false"/>
    </xf>
    <xf numFmtId="164" fontId="10" fillId="2" borderId="1" xfId="0" applyFont="true" applyBorder="true" applyAlignment="true" applyProtection="false">
      <alignment horizontal="center" vertical="center" textRotation="0" wrapText="false" indent="0" shrinkToFit="false"/>
      <protection locked="true" hidden="false"/>
    </xf>
    <xf numFmtId="164" fontId="15" fillId="7" borderId="11" xfId="0" applyFont="true" applyBorder="true" applyAlignment="true" applyProtection="false">
      <alignment horizontal="center" vertical="center" textRotation="0" wrapText="true" indent="0" shrinkToFit="false"/>
      <protection locked="true" hidden="false"/>
    </xf>
    <xf numFmtId="164" fontId="7" fillId="7" borderId="12" xfId="0" applyFont="true" applyBorder="true" applyAlignment="true" applyProtection="false">
      <alignment horizontal="center" vertical="center" textRotation="0" wrapText="false" indent="0" shrinkToFit="false"/>
      <protection locked="true" hidden="false"/>
    </xf>
    <xf numFmtId="164" fontId="4" fillId="0" borderId="13" xfId="0" applyFont="true" applyBorder="true" applyAlignment="true" applyProtection="false">
      <alignment horizontal="general" vertical="bottom" textRotation="0" wrapText="false" indent="0" shrinkToFit="false"/>
      <protection locked="true" hidden="false"/>
    </xf>
    <xf numFmtId="164" fontId="4" fillId="0" borderId="14" xfId="0" applyFont="true" applyBorder="true" applyAlignment="true" applyProtection="false">
      <alignment horizontal="general" vertical="bottom" textRotation="0" wrapText="false" indent="0" shrinkToFit="false"/>
      <protection locked="true" hidden="false"/>
    </xf>
    <xf numFmtId="164" fontId="4" fillId="0" borderId="15" xfId="0" applyFont="true" applyBorder="true" applyAlignment="true" applyProtection="false">
      <alignment horizontal="general" vertical="bottom" textRotation="0" wrapText="false" indent="0" shrinkToFit="false"/>
      <protection locked="true" hidden="false"/>
    </xf>
    <xf numFmtId="164" fontId="4" fillId="3" borderId="16" xfId="0" applyFont="true" applyBorder="true" applyAlignment="true" applyProtection="false">
      <alignment horizontal="center" vertical="center" textRotation="0" wrapText="false" indent="0" shrinkToFit="false"/>
      <protection locked="true" hidden="false"/>
    </xf>
    <xf numFmtId="164" fontId="4" fillId="3" borderId="17" xfId="0" applyFont="true" applyBorder="true" applyAlignment="true" applyProtection="false">
      <alignment horizontal="center" vertical="center" textRotation="0" wrapText="false" indent="0" shrinkToFit="false"/>
      <protection locked="true" hidden="false"/>
    </xf>
    <xf numFmtId="164" fontId="4" fillId="3" borderId="18" xfId="0" applyFont="true" applyBorder="true" applyAlignment="true" applyProtection="false">
      <alignment horizontal="center" vertical="center" textRotation="0" wrapText="false" indent="0" shrinkToFit="false"/>
      <protection locked="true" hidden="false"/>
    </xf>
    <xf numFmtId="164" fontId="13" fillId="4" borderId="5" xfId="0" applyFont="true" applyBorder="true" applyAlignment="true" applyProtection="true">
      <alignment horizontal="center" vertical="center" textRotation="0" wrapText="true" indent="0" shrinkToFit="false"/>
      <protection locked="false" hidden="false"/>
    </xf>
    <xf numFmtId="164" fontId="4" fillId="0" borderId="3" xfId="0" applyFont="true" applyBorder="true" applyAlignment="true" applyProtection="false">
      <alignment horizontal="general" vertical="bottom" textRotation="0" wrapText="false" indent="0" shrinkToFit="false"/>
      <protection locked="true" hidden="false"/>
    </xf>
    <xf numFmtId="164" fontId="4" fillId="0" borderId="19" xfId="0" applyFont="true" applyBorder="true" applyAlignment="true" applyProtection="false">
      <alignment horizontal="general" vertical="bottom" textRotation="0" wrapText="false" indent="0" shrinkToFit="false"/>
      <protection locked="true" hidden="false"/>
    </xf>
    <xf numFmtId="164" fontId="4" fillId="0" borderId="20" xfId="0" applyFont="true" applyBorder="true" applyAlignment="true" applyProtection="false">
      <alignment horizontal="general" vertical="bottom" textRotation="0" wrapText="false" indent="0" shrinkToFit="false"/>
      <protection locked="true" hidden="false"/>
    </xf>
    <xf numFmtId="164" fontId="4" fillId="3" borderId="21" xfId="0" applyFont="true" applyBorder="true" applyAlignment="true" applyProtection="false">
      <alignment horizontal="center" vertical="center" textRotation="0" wrapText="false" indent="0" shrinkToFit="false"/>
      <protection locked="true" hidden="false"/>
    </xf>
    <xf numFmtId="164" fontId="4" fillId="3" borderId="0" xfId="0" applyFont="true" applyBorder="false" applyAlignment="true" applyProtection="false">
      <alignment horizontal="center" vertical="center" textRotation="0" wrapText="false" indent="0" shrinkToFit="false"/>
      <protection locked="true" hidden="false"/>
    </xf>
    <xf numFmtId="164" fontId="4" fillId="3" borderId="22" xfId="0" applyFont="true" applyBorder="true" applyAlignment="true" applyProtection="false">
      <alignment horizontal="center" vertical="center" textRotation="0" wrapText="false" indent="0" shrinkToFit="false"/>
      <protection locked="true" hidden="false"/>
    </xf>
    <xf numFmtId="164" fontId="13" fillId="4" borderId="5" xfId="0" applyFont="true" applyBorder="true" applyAlignment="true" applyProtection="true">
      <alignment horizontal="center" vertical="center" textRotation="0" wrapText="false" indent="0" shrinkToFit="false"/>
      <protection locked="false" hidden="false"/>
    </xf>
    <xf numFmtId="164" fontId="4" fillId="3" borderId="23" xfId="0" applyFont="true" applyBorder="true" applyAlignment="true" applyProtection="false">
      <alignment horizontal="center" vertical="center" textRotation="0" wrapText="false" indent="0" shrinkToFit="false"/>
      <protection locked="true" hidden="false"/>
    </xf>
    <xf numFmtId="164" fontId="4" fillId="3" borderId="24" xfId="0" applyFont="true" applyBorder="true" applyAlignment="true" applyProtection="false">
      <alignment horizontal="center" vertical="center" textRotation="0" wrapText="false" indent="0" shrinkToFit="false"/>
      <protection locked="true" hidden="false"/>
    </xf>
    <xf numFmtId="164" fontId="4" fillId="3" borderId="25" xfId="0" applyFont="true" applyBorder="true" applyAlignment="true" applyProtection="false">
      <alignment horizontal="center" vertical="center" textRotation="0" wrapText="false" indent="0" shrinkToFit="false"/>
      <protection locked="true" hidden="false"/>
    </xf>
    <xf numFmtId="164" fontId="13" fillId="4" borderId="6" xfId="0" applyFont="true" applyBorder="true" applyAlignment="true" applyProtection="true">
      <alignment horizontal="center" vertical="center" textRotation="0" wrapText="false" indent="0" shrinkToFit="false"/>
      <protection locked="false" hidden="false"/>
    </xf>
    <xf numFmtId="164" fontId="13" fillId="4" borderId="26" xfId="0" applyFont="true" applyBorder="true" applyAlignment="true" applyProtection="true">
      <alignment horizontal="center" vertical="center" textRotation="0" wrapText="true" indent="0" shrinkToFit="false"/>
      <protection locked="false" hidden="false"/>
    </xf>
    <xf numFmtId="164" fontId="4" fillId="0" borderId="7" xfId="0" applyFont="true" applyBorder="true" applyAlignment="true" applyProtection="false">
      <alignment horizontal="general" vertical="bottom" textRotation="0" wrapText="false" indent="0" shrinkToFit="false"/>
      <protection locked="true" hidden="false"/>
    </xf>
    <xf numFmtId="164" fontId="4" fillId="0" borderId="27" xfId="0" applyFont="true" applyBorder="true" applyAlignment="true" applyProtection="false">
      <alignment horizontal="general" vertical="bottom" textRotation="0" wrapText="false" indent="0" shrinkToFit="false"/>
      <protection locked="true" hidden="false"/>
    </xf>
    <xf numFmtId="164" fontId="4" fillId="0" borderId="28" xfId="0" applyFont="true" applyBorder="true" applyAlignment="true" applyProtection="false">
      <alignment horizontal="general" vertical="bottom" textRotation="0" wrapText="false" indent="0" shrinkToFit="false"/>
      <protection locked="true" hidden="false"/>
    </xf>
    <xf numFmtId="165" fontId="4" fillId="0" borderId="0" xfId="0" applyFont="true" applyBorder="false" applyAlignment="true" applyProtection="false">
      <alignment horizontal="general" vertical="center" textRotation="0" wrapText="false" indent="0" shrinkToFit="false"/>
      <protection locked="true" hidden="false"/>
    </xf>
    <xf numFmtId="164" fontId="10" fillId="2" borderId="29" xfId="0" applyFont="true" applyBorder="true" applyAlignment="true" applyProtection="false">
      <alignment horizontal="center" vertical="center" textRotation="0" wrapText="false" indent="0" shrinkToFit="false"/>
      <protection locked="true" hidden="false"/>
    </xf>
    <xf numFmtId="164" fontId="10" fillId="2" borderId="30" xfId="0" applyFont="true" applyBorder="true" applyAlignment="true" applyProtection="false">
      <alignment horizontal="center" vertical="center" textRotation="0" wrapText="false" indent="0" shrinkToFit="false"/>
      <protection locked="true" hidden="false"/>
    </xf>
    <xf numFmtId="164" fontId="10" fillId="2" borderId="31" xfId="0" applyFont="true" applyBorder="true" applyAlignment="true" applyProtection="false">
      <alignment horizontal="center" vertical="center" textRotation="0" wrapText="false" indent="0" shrinkToFit="false"/>
      <protection locked="true" hidden="false"/>
    </xf>
    <xf numFmtId="164" fontId="10" fillId="2" borderId="32" xfId="0" applyFont="true" applyBorder="true" applyAlignment="true" applyProtection="false">
      <alignment horizontal="center" vertical="center" textRotation="0" wrapText="false" indent="0" shrinkToFit="false"/>
      <protection locked="true" hidden="false"/>
    </xf>
    <xf numFmtId="164" fontId="16" fillId="2" borderId="33" xfId="0" applyFont="true" applyBorder="true" applyAlignment="true" applyProtection="false">
      <alignment horizontal="general" vertical="center" textRotation="0" wrapText="false" indent="0" shrinkToFit="false"/>
      <protection locked="true" hidden="false"/>
    </xf>
    <xf numFmtId="164" fontId="17" fillId="3" borderId="34" xfId="0" applyFont="true" applyBorder="true" applyAlignment="true" applyProtection="true">
      <alignment horizontal="center" vertical="bottom" textRotation="0" wrapText="false" indent="0" shrinkToFit="false"/>
      <protection locked="false" hidden="false"/>
    </xf>
    <xf numFmtId="166" fontId="17" fillId="8" borderId="34" xfId="0" applyFont="true" applyBorder="true" applyAlignment="true" applyProtection="true">
      <alignment horizontal="center" vertical="bottom" textRotation="0" wrapText="false" indent="0" shrinkToFit="false"/>
      <protection locked="true" hidden="true"/>
    </xf>
    <xf numFmtId="166" fontId="17" fillId="8" borderId="1" xfId="0" applyFont="true" applyBorder="true" applyAlignment="true" applyProtection="true">
      <alignment horizontal="center" vertical="center" textRotation="0" wrapText="false" indent="0" shrinkToFit="false"/>
      <protection locked="true" hidden="true"/>
    </xf>
    <xf numFmtId="164" fontId="4" fillId="0" borderId="0" xfId="0" applyFont="true" applyBorder="true" applyAlignment="true" applyProtection="false">
      <alignment horizontal="center" vertical="bottom" textRotation="0" wrapText="false" indent="0" shrinkToFit="false"/>
      <protection locked="true" hidden="false"/>
    </xf>
    <xf numFmtId="164" fontId="17" fillId="4" borderId="35" xfId="0" applyFont="true" applyBorder="true" applyAlignment="true" applyProtection="false">
      <alignment horizontal="center" vertical="center" textRotation="0" wrapText="false" indent="0" shrinkToFit="false"/>
      <protection locked="true" hidden="false"/>
    </xf>
    <xf numFmtId="164" fontId="0" fillId="0" borderId="35"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18" fillId="2" borderId="0" xfId="0" applyFont="true" applyBorder="true" applyAlignment="true" applyProtection="false">
      <alignment horizontal="center" vertical="center" textRotation="0" wrapText="false" indent="0" shrinkToFit="false"/>
      <protection locked="true" hidden="false"/>
    </xf>
    <xf numFmtId="164" fontId="19" fillId="9" borderId="0" xfId="0" applyFont="true" applyBorder="true" applyAlignment="true" applyProtection="false">
      <alignment horizontal="center" vertical="center" textRotation="0" wrapText="false" indent="0" shrinkToFit="false"/>
      <protection locked="true" hidden="false"/>
    </xf>
    <xf numFmtId="164" fontId="20" fillId="10" borderId="0" xfId="0" applyFont="true" applyBorder="false" applyAlignment="true" applyProtection="true">
      <alignment horizontal="center" vertical="center" textRotation="0" wrapText="false" indent="0" shrinkToFit="false"/>
      <protection locked="false" hidden="false"/>
    </xf>
    <xf numFmtId="164" fontId="0" fillId="4" borderId="0" xfId="0" applyFont="true" applyBorder="fals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true">
      <alignment horizontal="center" vertical="center" textRotation="0" wrapText="false" indent="0" shrinkToFit="false"/>
      <protection locked="false" hidden="false"/>
    </xf>
    <xf numFmtId="164" fontId="20" fillId="10"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21" fillId="11" borderId="36" xfId="0" applyFont="true" applyBorder="true" applyAlignment="true" applyProtection="false">
      <alignment horizontal="general" vertical="top" textRotation="0" wrapText="true" indent="0" shrinkToFit="false" readingOrder="1"/>
      <protection locked="true" hidden="false"/>
    </xf>
    <xf numFmtId="164" fontId="21" fillId="11" borderId="0" xfId="0" applyFont="true" applyBorder="false" applyAlignment="true" applyProtection="false">
      <alignment horizontal="general" vertical="top" textRotation="0" wrapText="true" indent="0" shrinkToFit="false" readingOrder="1"/>
      <protection locked="true" hidden="false"/>
    </xf>
    <xf numFmtId="164" fontId="22" fillId="0" borderId="36" xfId="0" applyFont="true" applyBorder="true" applyAlignment="true" applyProtection="false">
      <alignment horizontal="general" vertical="top" textRotation="0" wrapText="true" indent="0" shrinkToFit="false" readingOrder="1"/>
      <protection locked="true" hidden="false"/>
    </xf>
    <xf numFmtId="167" fontId="22" fillId="0" borderId="36" xfId="0" applyFont="true" applyBorder="true" applyAlignment="true" applyProtection="false">
      <alignment horizontal="general" vertical="top" textRotation="0" wrapText="true" indent="0" shrinkToFit="false" readingOrder="1"/>
      <protection locked="true" hidden="false"/>
    </xf>
    <xf numFmtId="168" fontId="22" fillId="0" borderId="36" xfId="0" applyFont="true" applyBorder="true" applyAlignment="true" applyProtection="false">
      <alignment horizontal="general" vertical="top" textRotation="0" wrapText="true" indent="0" shrinkToFit="false" readingOrder="1"/>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23" fillId="12" borderId="0" xfId="0" applyFont="true" applyBorder="false" applyAlignment="true" applyProtection="false">
      <alignment horizontal="general" vertical="bottom" textRotation="0" wrapText="false" indent="0" shrinkToFit="false"/>
      <protection locked="true" hidden="false"/>
    </xf>
    <xf numFmtId="169" fontId="0" fillId="0" borderId="0" xfId="0" applyFont="false" applyBorder="false" applyAlignment="true" applyProtection="false">
      <alignment horizontal="general" vertical="bottom" textRotation="0" wrapText="false" indent="0" shrinkToFit="false"/>
      <protection locked="true" hidden="false"/>
    </xf>
    <xf numFmtId="164" fontId="0" fillId="13" borderId="37" xfId="0" applyFont="true" applyBorder="true" applyAlignment="true" applyProtection="false">
      <alignment horizontal="general" vertical="bottom" textRotation="0" wrapText="false" indent="0" shrinkToFit="false"/>
      <protection locked="true" hidden="false"/>
    </xf>
    <xf numFmtId="164" fontId="0" fillId="13" borderId="38" xfId="0" applyFont="true" applyBorder="true" applyAlignment="true" applyProtection="false">
      <alignment horizontal="general" vertical="bottom" textRotation="0" wrapText="false" indent="0" shrinkToFit="false"/>
      <protection locked="true" hidden="false"/>
    </xf>
    <xf numFmtId="164" fontId="0" fillId="13" borderId="39"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0" fillId="0" borderId="40" xfId="0" applyFont="true" applyBorder="true" applyAlignment="true" applyProtection="false">
      <alignment horizontal="general" vertical="bottom" textRotation="0" wrapText="false" indent="0" shrinkToFit="false"/>
      <protection locked="true" hidden="false"/>
    </xf>
    <xf numFmtId="164" fontId="0" fillId="0" borderId="35" xfId="0" applyFont="true" applyBorder="true" applyAlignment="true" applyProtection="false">
      <alignment horizontal="general" vertical="bottom" textRotation="0" wrapText="false" indent="0" shrinkToFit="false"/>
      <protection locked="true" hidden="false"/>
    </xf>
    <xf numFmtId="164" fontId="0" fillId="0" borderId="41" xfId="0" applyFont="true" applyBorder="true" applyAlignment="true" applyProtection="false">
      <alignment horizontal="general" vertical="bottom" textRotation="0" wrapText="false" indent="0" shrinkToFit="false"/>
      <protection locked="true" hidden="false"/>
    </xf>
    <xf numFmtId="164" fontId="0" fillId="0" borderId="42" xfId="0" applyFont="true" applyBorder="true" applyAlignment="tru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center" textRotation="0" wrapText="false" indent="0" shrinkToFit="false"/>
      <protection locked="true" hidden="false"/>
    </xf>
    <xf numFmtId="164" fontId="25" fillId="0" borderId="43" xfId="0" applyFont="true" applyBorder="true" applyAlignment="true" applyProtection="false">
      <alignment horizontal="general" vertical="center" textRotation="0" wrapText="false" indent="0" shrinkToFit="false"/>
      <protection locked="true" hidden="false"/>
    </xf>
    <xf numFmtId="164" fontId="26" fillId="0" borderId="44" xfId="0" applyFont="true" applyBorder="true" applyAlignment="true" applyProtection="false">
      <alignment horizontal="general" vertical="center" textRotation="0" wrapText="false" indent="0" shrinkToFit="false"/>
      <protection locked="true" hidden="false"/>
    </xf>
    <xf numFmtId="164" fontId="27" fillId="0" borderId="45" xfId="0" applyFont="true" applyBorder="true" applyAlignment="true" applyProtection="false">
      <alignment horizontal="general" vertical="center" textRotation="0" wrapText="false" indent="0" shrinkToFit="false"/>
      <protection locked="true" hidden="false"/>
    </xf>
    <xf numFmtId="164" fontId="26" fillId="0" borderId="46" xfId="0" applyFont="true" applyBorder="true" applyAlignment="true" applyProtection="false">
      <alignment horizontal="general" vertical="center" textRotation="0" wrapText="false" indent="0" shrinkToFit="false"/>
      <protection locked="true" hidden="false"/>
    </xf>
    <xf numFmtId="164" fontId="25" fillId="0" borderId="45" xfId="0" applyFont="true" applyBorder="true" applyAlignment="true" applyProtection="false">
      <alignment horizontal="general" vertical="center" textRotation="0" wrapText="false" indent="0" shrinkToFit="false"/>
      <protection locked="true" hidden="false"/>
    </xf>
    <xf numFmtId="164" fontId="25" fillId="0" borderId="47" xfId="0" applyFont="true" applyBorder="true" applyAlignment="true" applyProtection="false">
      <alignment horizontal="general" vertical="center" textRotation="0" wrapText="false" indent="0" shrinkToFit="false"/>
      <protection locked="true" hidden="false"/>
    </xf>
    <xf numFmtId="164" fontId="26" fillId="0" borderId="48" xfId="0" applyFont="true" applyBorder="true" applyAlignment="true" applyProtection="false">
      <alignment horizontal="general" vertical="center" textRotation="0" wrapText="true" indent="0" shrinkToFit="false"/>
      <protection locked="true" hidden="false"/>
    </xf>
    <xf numFmtId="164" fontId="28" fillId="0" borderId="48" xfId="0" applyFont="true" applyBorder="true" applyAlignment="true" applyProtection="false">
      <alignment horizontal="general" vertical="center" textRotation="0" wrapText="true" indent="0" shrinkToFit="false"/>
      <protection locked="true" hidden="false"/>
    </xf>
    <xf numFmtId="164" fontId="0" fillId="0" borderId="46" xfId="0" applyFont="true" applyBorder="true" applyAlignment="true" applyProtection="false">
      <alignment horizontal="general" vertical="center" textRotation="0" wrapText="false" indent="0" shrinkToFit="false"/>
      <protection locked="true" hidden="false"/>
    </xf>
    <xf numFmtId="164" fontId="29" fillId="0" borderId="46" xfId="0" applyFont="true" applyBorder="true" applyAlignment="true" applyProtection="false">
      <alignment horizontal="general" vertical="center" textRotation="0" wrapText="false" indent="0" shrinkToFit="false"/>
      <protection locked="true" hidden="false"/>
    </xf>
    <xf numFmtId="164" fontId="30" fillId="0" borderId="45" xfId="0" applyFont="true" applyBorder="tru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center" vertical="center" textRotation="0" wrapText="true" indent="0" shrinkToFit="false"/>
      <protection locked="true" hidden="false"/>
    </xf>
    <xf numFmtId="164" fontId="0" fillId="14" borderId="29" xfId="0" applyFont="true" applyBorder="true" applyAlignment="true" applyProtection="false">
      <alignment horizontal="center" vertical="center" textRotation="0" wrapText="true" indent="0" shrinkToFit="false"/>
      <protection locked="true" hidden="false"/>
    </xf>
    <xf numFmtId="164" fontId="0" fillId="15" borderId="37" xfId="0" applyFont="true" applyBorder="true" applyAlignment="true" applyProtection="false">
      <alignment horizontal="center" vertical="center" textRotation="0" wrapText="true" indent="0" shrinkToFit="false"/>
      <protection locked="true" hidden="false"/>
    </xf>
    <xf numFmtId="164" fontId="4" fillId="15" borderId="39" xfId="0" applyFont="true" applyBorder="true" applyAlignment="true" applyProtection="false">
      <alignment horizontal="center" vertical="center" textRotation="0" wrapText="true" indent="0" shrinkToFit="false"/>
      <protection locked="true" hidden="false"/>
    </xf>
    <xf numFmtId="164" fontId="4" fillId="14" borderId="49" xfId="0" applyFont="true" applyBorder="true" applyAlignment="true" applyProtection="false">
      <alignment horizontal="center" vertical="center" textRotation="0" wrapText="true" indent="0" shrinkToFit="false"/>
      <protection locked="true" hidden="false"/>
    </xf>
    <xf numFmtId="164" fontId="0" fillId="15" borderId="40" xfId="0" applyFont="true" applyBorder="true" applyAlignment="true" applyProtection="false">
      <alignment horizontal="center" vertical="center" textRotation="0" wrapText="true" indent="0" shrinkToFit="false"/>
      <protection locked="true" hidden="false"/>
    </xf>
    <xf numFmtId="164" fontId="4" fillId="15" borderId="41" xfId="0" applyFont="true" applyBorder="true" applyAlignment="true" applyProtection="false">
      <alignment horizontal="center" vertical="center" textRotation="0" wrapText="true" indent="0" shrinkToFit="false"/>
      <protection locked="true" hidden="false"/>
    </xf>
    <xf numFmtId="164" fontId="0" fillId="15" borderId="50" xfId="0" applyFont="true" applyBorder="true" applyAlignment="true" applyProtection="false">
      <alignment horizontal="center" vertical="center" textRotation="0" wrapText="true" indent="0" shrinkToFit="false"/>
      <protection locked="true" hidden="false"/>
    </xf>
    <xf numFmtId="164" fontId="4" fillId="15" borderId="51" xfId="0" applyFont="true" applyBorder="true" applyAlignment="true" applyProtection="false">
      <alignment horizontal="center" vertical="center" textRotation="0" wrapText="true" indent="0" shrinkToFit="false"/>
      <protection locked="true" hidden="false"/>
    </xf>
    <xf numFmtId="164" fontId="0" fillId="16" borderId="37" xfId="0" applyFont="true" applyBorder="true" applyAlignment="true" applyProtection="false">
      <alignment horizontal="center" vertical="center" textRotation="0" wrapText="true" indent="0" shrinkToFit="false"/>
      <protection locked="true" hidden="false"/>
    </xf>
    <xf numFmtId="164" fontId="4" fillId="16" borderId="39" xfId="0" applyFont="true" applyBorder="true" applyAlignment="true" applyProtection="false">
      <alignment horizontal="center" vertical="center" textRotation="0" wrapText="true" indent="0" shrinkToFit="false"/>
      <protection locked="true" hidden="false"/>
    </xf>
    <xf numFmtId="164" fontId="0" fillId="16" borderId="52" xfId="0" applyFont="true" applyBorder="true" applyAlignment="true" applyProtection="false">
      <alignment horizontal="center" vertical="center" textRotation="0" wrapText="true" indent="0" shrinkToFit="false"/>
      <protection locked="true" hidden="false"/>
    </xf>
    <xf numFmtId="164" fontId="4" fillId="16" borderId="53" xfId="0" applyFont="true" applyBorder="true" applyAlignment="true" applyProtection="false">
      <alignment horizontal="center" vertical="center" textRotation="0" wrapText="true" indent="0" shrinkToFit="false"/>
      <protection locked="true" hidden="false"/>
    </xf>
    <xf numFmtId="164" fontId="31" fillId="12" borderId="0" xfId="0" applyFont="true" applyBorder="false" applyAlignment="true" applyProtection="false">
      <alignment horizontal="center" vertical="center" textRotation="0" wrapText="true" indent="0" shrinkToFit="false"/>
      <protection locked="true" hidden="false"/>
    </xf>
    <xf numFmtId="164" fontId="32" fillId="17" borderId="0" xfId="0" applyFont="true" applyBorder="false" applyAlignment="tru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4">
    <dxf>
      <fill>
        <patternFill>
          <bgColor rgb="FFB9D2A9"/>
        </patternFill>
      </fill>
    </dxf>
    <dxf>
      <fill>
        <patternFill>
          <bgColor rgb="FFF0CC60"/>
        </patternFill>
      </fill>
    </dxf>
    <dxf>
      <fill>
        <patternFill>
          <bgColor rgb="FFF00000"/>
        </patternFill>
      </fill>
    </dxf>
    <dxf>
      <fill>
        <patternFill>
          <bgColor rgb="FFB40000"/>
        </patternFill>
      </fill>
    </dxf>
  </dxfs>
  <colors>
    <indexedColors>
      <rgbColor rgb="FF000000"/>
      <rgbColor rgb="FFFFFFFF"/>
      <rgbColor rgb="FFF00000"/>
      <rgbColor rgb="FF00FF00"/>
      <rgbColor rgb="FF0000FF"/>
      <rgbColor rgb="FFFFFF00"/>
      <rgbColor rgb="FFFF00FF"/>
      <rgbColor rgb="FF00FFFF"/>
      <rgbColor rgb="FFB40000"/>
      <rgbColor rgb="FF008000"/>
      <rgbColor rgb="FF000080"/>
      <rgbColor rgb="FF767171"/>
      <rgbColor rgb="FF800080"/>
      <rgbColor rgb="FF008080"/>
      <rgbColor rgb="FFD0CECE"/>
      <rgbColor rgb="FF888888"/>
      <rgbColor rgb="FFB9D2A9"/>
      <rgbColor rgb="FF993366"/>
      <rgbColor rgb="FFF2F2F2"/>
      <rgbColor rgb="FFDEEBF7"/>
      <rgbColor rgb="FF660066"/>
      <rgbColor rgb="FFFF8080"/>
      <rgbColor rgb="FF0563C1"/>
      <rgbColor rgb="FFD6DCE5"/>
      <rgbColor rgb="FF000080"/>
      <rgbColor rgb="FFFF00FF"/>
      <rgbColor rgb="FFFFFF00"/>
      <rgbColor rgb="FF00FFFF"/>
      <rgbColor rgb="FF800080"/>
      <rgbColor rgb="FF800000"/>
      <rgbColor rgb="FF008080"/>
      <rgbColor rgb="FF0000FF"/>
      <rgbColor rgb="FF00CCFF"/>
      <rgbColor rgb="FFDCE6F1"/>
      <rgbColor rgb="FFDAE3F3"/>
      <rgbColor rgb="FFFFE699"/>
      <rgbColor rgb="FF9DC3E6"/>
      <rgbColor rgb="FFD9E1F2"/>
      <rgbColor rgb="FFD3D3D3"/>
      <rgbColor rgb="FFF8CBAD"/>
      <rgbColor rgb="FF3366FF"/>
      <rgbColor rgb="FF33CCCC"/>
      <rgbColor rgb="FF99CC00"/>
      <rgbColor rgb="FFF0CC60"/>
      <rgbColor rgb="FFFF9900"/>
      <rgbColor rgb="FFFF6600"/>
      <rgbColor rgb="FF666699"/>
      <rgbColor rgb="FFAFABAB"/>
      <rgbColor rgb="FF002060"/>
      <rgbColor rgb="FF339966"/>
      <rgbColor rgb="FF003300"/>
      <rgbColor rgb="FF333300"/>
      <rgbColor rgb="FF993300"/>
      <rgbColor rgb="FF993366"/>
      <rgbColor rgb="FF00467F"/>
      <rgbColor rgb="FF222A3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7.xml.rels><?xml version="1.0" encoding="UTF-8"?>
<Relationships xmlns="http://schemas.openxmlformats.org/package/2006/relationships"><Relationship Id="rId1" Type="http://schemas.openxmlformats.org/officeDocument/2006/relationships/hyperlink" Target="https://euroexchange.uk/" TargetMode="External"/><Relationship Id="rId2" Type="http://schemas.openxmlformats.org/officeDocument/2006/relationships/hyperlink" Target="https://www.ipaylinks.com/" TargetMode="External"/><Relationship Id="rId3" Type="http://schemas.openxmlformats.org/officeDocument/2006/relationships/hyperlink" Target="https://leatherback.co/" TargetMode="External"/><Relationship Id="rId4" Type="http://schemas.openxmlformats.org/officeDocument/2006/relationships/hyperlink" Target="https://www.pandaremit.com/en/usa/about" TargetMode="External"/><Relationship Id="rId5" Type="http://schemas.openxmlformats.org/officeDocument/2006/relationships/hyperlink" Target="http://www.skrill.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Z289"/>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J20" activeCellId="0" sqref="J20"/>
    </sheetView>
  </sheetViews>
  <sheetFormatPr defaultColWidth="11.53515625" defaultRowHeight="18" zeroHeight="true" outlineLevelRow="0" outlineLevelCol="0"/>
  <cols>
    <col collapsed="false" customWidth="true" hidden="false" outlineLevel="0" max="1" min="1" style="1" width="7"/>
    <col collapsed="false" customWidth="true" hidden="false" outlineLevel="0" max="2" min="2" style="1" width="4.54"/>
    <col collapsed="false" customWidth="true" hidden="false" outlineLevel="0" max="3" min="3" style="1" width="8.54"/>
    <col collapsed="false" customWidth="true" hidden="false" outlineLevel="0" max="4" min="4" style="1" width="15.82"/>
    <col collapsed="false" customWidth="true" hidden="false" outlineLevel="0" max="5" min="5" style="1" width="5.54"/>
    <col collapsed="false" customWidth="true" hidden="false" outlineLevel="0" max="6" min="6" style="1" width="9.45"/>
    <col collapsed="false" customWidth="true" hidden="false" outlineLevel="0" max="9" min="7" style="2" width="6.82"/>
    <col collapsed="false" customWidth="true" hidden="false" outlineLevel="0" max="10" min="10" style="3" width="5.45"/>
    <col collapsed="false" customWidth="true" hidden="false" outlineLevel="0" max="14" min="11" style="1" width="5.45"/>
    <col collapsed="false" customWidth="true" hidden="false" outlineLevel="0" max="15" min="15" style="1" width="12.45"/>
    <col collapsed="false" customWidth="true" hidden="false" outlineLevel="0" max="17" min="16" style="1" width="8.54"/>
    <col collapsed="false" customWidth="true" hidden="false" outlineLevel="0" max="18" min="18" style="1" width="8.45"/>
    <col collapsed="false" customWidth="true" hidden="false" outlineLevel="0" max="19" min="19" style="1" width="8.73"/>
    <col collapsed="false" customWidth="true" hidden="false" outlineLevel="0" max="20" min="20" style="3" width="48"/>
    <col collapsed="false" customWidth="true" hidden="true" outlineLevel="0" max="21" min="21" style="1" width="8.73"/>
    <col collapsed="false" customWidth="true" hidden="true" outlineLevel="0" max="22" min="22" style="1" width="2.45"/>
    <col collapsed="false" customWidth="true" hidden="true" outlineLevel="0" max="28" min="23" style="1" width="8.73"/>
    <col collapsed="false" customWidth="true" hidden="true" outlineLevel="0" max="29" min="29" style="1" width="0.45"/>
    <col collapsed="false" customWidth="true" hidden="true" outlineLevel="0" max="46" min="30" style="1" width="8.73"/>
    <col collapsed="false" customWidth="true" hidden="true" outlineLevel="0" max="47" min="47" style="1" width="71.27"/>
    <col collapsed="false" customWidth="true" hidden="false" outlineLevel="0" max="48" min="48" style="1" width="0.27"/>
    <col collapsed="false" customWidth="true" hidden="true" outlineLevel="0" max="49" min="49" style="1" width="20.45"/>
    <col collapsed="false" customWidth="true" hidden="true" outlineLevel="0" max="50" min="50" style="1" width="47.18"/>
    <col collapsed="false" customWidth="true" hidden="true" outlineLevel="0" max="51" min="51" style="1" width="46.18"/>
    <col collapsed="false" customWidth="true" hidden="true" outlineLevel="0" max="52" min="52" style="1" width="11.45"/>
    <col collapsed="false" customWidth="true" hidden="true" outlineLevel="0" max="53" min="53" style="1" width="4.54"/>
    <col collapsed="false" customWidth="true" hidden="true" outlineLevel="0" max="76" min="54" style="1" width="8.73"/>
    <col collapsed="false" customWidth="false" hidden="true" outlineLevel="0" max="16357" min="77" style="1" width="11.53"/>
    <col collapsed="false" customWidth="true" hidden="false" outlineLevel="0" max="16358" min="16358" style="1" width="6.82"/>
    <col collapsed="false" customWidth="true" hidden="true" outlineLevel="0" max="16383" min="16359" style="1" width="8.73"/>
    <col collapsed="false" customWidth="true" hidden="true" outlineLevel="0" max="16384" min="16384" style="1" width="7.82"/>
  </cols>
  <sheetData>
    <row r="1" s="1" customFormat="true" ht="18" hidden="false" customHeight="true" outlineLevel="0" collapsed="false"/>
    <row r="2" customFormat="false" ht="18" hidden="false" customHeight="true" outlineLevel="0" collapsed="false">
      <c r="B2" s="4"/>
      <c r="C2" s="4"/>
      <c r="D2" s="4"/>
      <c r="E2" s="4"/>
      <c r="F2" s="4"/>
      <c r="G2" s="4"/>
      <c r="H2" s="4"/>
      <c r="I2" s="4"/>
      <c r="J2" s="4"/>
      <c r="K2" s="4"/>
      <c r="L2" s="4"/>
      <c r="M2" s="4"/>
      <c r="N2" s="4"/>
      <c r="O2" s="4"/>
      <c r="P2" s="4"/>
      <c r="Q2" s="4"/>
      <c r="R2" s="4"/>
      <c r="S2" s="4"/>
      <c r="T2" s="4"/>
    </row>
    <row r="3" customFormat="false" ht="18" hidden="false" customHeight="true" outlineLevel="0" collapsed="false">
      <c r="B3" s="5"/>
      <c r="C3" s="5"/>
      <c r="D3" s="5"/>
      <c r="E3" s="5"/>
      <c r="F3" s="5"/>
      <c r="G3" s="5"/>
      <c r="H3" s="5"/>
      <c r="I3" s="5"/>
      <c r="J3" s="5"/>
      <c r="K3" s="5"/>
      <c r="L3" s="5"/>
      <c r="M3" s="5"/>
      <c r="N3" s="5"/>
      <c r="O3" s="5"/>
      <c r="P3" s="5"/>
      <c r="Q3" s="5"/>
      <c r="R3" s="5"/>
      <c r="S3" s="5"/>
      <c r="T3" s="5"/>
    </row>
    <row r="4" customFormat="false" ht="18" hidden="false" customHeight="true" outlineLevel="0" collapsed="false">
      <c r="A4" s="6"/>
      <c r="B4" s="6"/>
      <c r="C4" s="6"/>
      <c r="D4" s="6"/>
      <c r="E4" s="6"/>
      <c r="F4" s="6"/>
      <c r="G4" s="6"/>
      <c r="H4" s="6"/>
      <c r="I4" s="6"/>
      <c r="J4" s="6"/>
      <c r="K4" s="6"/>
      <c r="L4" s="6"/>
      <c r="M4" s="6"/>
      <c r="N4" s="6"/>
      <c r="O4" s="6"/>
      <c r="P4" s="6"/>
      <c r="Q4" s="6"/>
      <c r="R4" s="6"/>
      <c r="S4" s="6"/>
      <c r="T4" s="6"/>
    </row>
    <row r="5" customFormat="false" ht="18" hidden="false" customHeight="true" outlineLevel="0" collapsed="false">
      <c r="A5" s="7"/>
      <c r="B5" s="8" t="s">
        <v>0</v>
      </c>
      <c r="C5" s="8"/>
      <c r="D5" s="8"/>
      <c r="E5" s="8"/>
      <c r="F5" s="7"/>
      <c r="G5" s="9" t="s">
        <v>1</v>
      </c>
      <c r="H5" s="9"/>
      <c r="I5" s="9"/>
      <c r="J5" s="9"/>
      <c r="K5" s="9"/>
      <c r="L5" s="9"/>
      <c r="M5" s="9"/>
      <c r="N5" s="9"/>
      <c r="O5" s="9"/>
      <c r="P5" s="9"/>
      <c r="Q5" s="9"/>
      <c r="R5" s="9"/>
      <c r="S5" s="9"/>
      <c r="T5" s="9"/>
    </row>
    <row r="6" customFormat="false" ht="18" hidden="false" customHeight="true" outlineLevel="0" collapsed="false">
      <c r="A6" s="10"/>
      <c r="B6" s="11"/>
      <c r="C6" s="11"/>
      <c r="D6" s="11"/>
      <c r="E6" s="11"/>
      <c r="F6" s="10"/>
      <c r="G6" s="12" t="s">
        <v>2</v>
      </c>
      <c r="H6" s="12"/>
      <c r="I6" s="12"/>
      <c r="J6" s="13"/>
      <c r="K6" s="13"/>
      <c r="L6" s="13"/>
      <c r="M6" s="13"/>
      <c r="N6" s="13"/>
      <c r="O6" s="13"/>
      <c r="P6" s="13"/>
      <c r="Q6" s="13"/>
      <c r="R6" s="13"/>
      <c r="S6" s="13"/>
      <c r="T6" s="13"/>
    </row>
    <row r="7" customFormat="false" ht="18" hidden="false" customHeight="true" outlineLevel="0" collapsed="false">
      <c r="A7" s="10"/>
      <c r="B7" s="11"/>
      <c r="C7" s="11"/>
      <c r="D7" s="11"/>
      <c r="E7" s="11"/>
      <c r="F7" s="10"/>
      <c r="G7" s="14" t="s">
        <v>3</v>
      </c>
      <c r="H7" s="14"/>
      <c r="I7" s="14"/>
      <c r="J7" s="15"/>
      <c r="K7" s="15"/>
      <c r="L7" s="15"/>
      <c r="M7" s="15"/>
      <c r="N7" s="15"/>
      <c r="O7" s="15"/>
      <c r="P7" s="15"/>
      <c r="Q7" s="15"/>
      <c r="R7" s="15"/>
      <c r="S7" s="15"/>
      <c r="T7" s="15"/>
    </row>
    <row r="8" customFormat="false" ht="18" hidden="false" customHeight="true" outlineLevel="0" collapsed="false">
      <c r="A8" s="10"/>
      <c r="B8" s="11"/>
      <c r="C8" s="11"/>
      <c r="D8" s="11"/>
      <c r="E8" s="11"/>
      <c r="F8" s="10"/>
      <c r="G8" s="16" t="s">
        <v>4</v>
      </c>
      <c r="H8" s="16"/>
      <c r="I8" s="16"/>
      <c r="J8" s="17"/>
      <c r="K8" s="17"/>
      <c r="L8" s="17"/>
      <c r="M8" s="17"/>
      <c r="N8" s="17"/>
      <c r="O8" s="17"/>
      <c r="P8" s="17"/>
      <c r="Q8" s="17"/>
      <c r="R8" s="17"/>
      <c r="S8" s="17"/>
      <c r="T8" s="17"/>
    </row>
    <row r="9" customFormat="false" ht="18" hidden="false" customHeight="true" outlineLevel="0" collapsed="false">
      <c r="A9" s="10"/>
      <c r="B9" s="11"/>
      <c r="C9" s="11"/>
      <c r="D9" s="11"/>
      <c r="E9" s="11"/>
      <c r="F9" s="10"/>
      <c r="G9" s="16" t="s">
        <v>5</v>
      </c>
      <c r="H9" s="16"/>
      <c r="I9" s="16"/>
      <c r="J9" s="18"/>
      <c r="K9" s="18"/>
      <c r="L9" s="18"/>
      <c r="M9" s="18"/>
      <c r="N9" s="18"/>
      <c r="O9" s="18"/>
      <c r="P9" s="18"/>
      <c r="Q9" s="18"/>
      <c r="R9" s="18"/>
      <c r="S9" s="18"/>
      <c r="T9" s="18"/>
    </row>
    <row r="10" customFormat="false" ht="18" hidden="false" customHeight="true" outlineLevel="0" collapsed="false">
      <c r="A10" s="10"/>
      <c r="B10" s="11"/>
      <c r="C10" s="11"/>
      <c r="D10" s="11"/>
      <c r="E10" s="11"/>
      <c r="F10" s="10"/>
      <c r="G10" s="16" t="s">
        <v>6</v>
      </c>
      <c r="H10" s="16"/>
      <c r="I10" s="16"/>
      <c r="J10" s="13"/>
      <c r="K10" s="13"/>
      <c r="L10" s="13"/>
      <c r="M10" s="13"/>
      <c r="N10" s="13"/>
      <c r="O10" s="13"/>
      <c r="P10" s="13"/>
      <c r="Q10" s="13"/>
      <c r="R10" s="13"/>
      <c r="S10" s="13"/>
      <c r="T10" s="13"/>
    </row>
    <row r="11" customFormat="false" ht="18" hidden="false" customHeight="true" outlineLevel="0" collapsed="false">
      <c r="A11" s="10"/>
      <c r="B11" s="11"/>
      <c r="C11" s="11"/>
      <c r="D11" s="11"/>
      <c r="E11" s="11"/>
      <c r="F11" s="10"/>
      <c r="G11" s="19" t="s">
        <v>7</v>
      </c>
      <c r="H11" s="19"/>
      <c r="I11" s="19"/>
      <c r="J11" s="20"/>
      <c r="K11" s="20"/>
      <c r="L11" s="20"/>
      <c r="M11" s="20"/>
      <c r="N11" s="20"/>
      <c r="O11" s="20"/>
      <c r="P11" s="20"/>
      <c r="Q11" s="20"/>
      <c r="R11" s="20"/>
      <c r="S11" s="20"/>
      <c r="T11" s="20"/>
    </row>
    <row r="12" customFormat="false" ht="18" hidden="false" customHeight="true" outlineLevel="0" collapsed="false">
      <c r="A12" s="10"/>
      <c r="B12" s="11"/>
      <c r="C12" s="11"/>
      <c r="D12" s="11"/>
      <c r="E12" s="11"/>
      <c r="F12" s="10"/>
      <c r="G12" s="21"/>
      <c r="H12" s="21"/>
      <c r="I12" s="21"/>
      <c r="J12" s="22"/>
      <c r="K12" s="23"/>
      <c r="L12" s="23"/>
      <c r="M12" s="23"/>
      <c r="N12" s="23"/>
      <c r="O12" s="23"/>
      <c r="P12" s="23"/>
      <c r="Q12" s="23"/>
      <c r="R12" s="23"/>
      <c r="S12" s="23"/>
      <c r="T12" s="22"/>
    </row>
    <row r="13" customFormat="false" ht="18" hidden="false" customHeight="true" outlineLevel="0" collapsed="false">
      <c r="A13" s="10"/>
      <c r="B13" s="11"/>
      <c r="C13" s="11"/>
      <c r="D13" s="11"/>
      <c r="E13" s="11"/>
      <c r="F13" s="10"/>
      <c r="G13" s="24" t="s">
        <v>8</v>
      </c>
      <c r="H13" s="24"/>
      <c r="I13" s="24"/>
      <c r="J13" s="24"/>
      <c r="K13" s="24"/>
      <c r="L13" s="24"/>
      <c r="M13" s="24"/>
      <c r="N13" s="24"/>
      <c r="O13" s="24"/>
      <c r="P13" s="24"/>
      <c r="Q13" s="24"/>
      <c r="R13" s="24"/>
      <c r="S13" s="24"/>
      <c r="T13" s="24"/>
    </row>
    <row r="14" customFormat="false" ht="18" hidden="false" customHeight="true" outlineLevel="0" collapsed="false">
      <c r="A14" s="10"/>
      <c r="B14" s="11"/>
      <c r="C14" s="11"/>
      <c r="D14" s="11"/>
      <c r="E14" s="11"/>
      <c r="F14" s="10"/>
      <c r="G14" s="12" t="s">
        <v>9</v>
      </c>
      <c r="H14" s="12"/>
      <c r="I14" s="12"/>
      <c r="J14" s="25"/>
      <c r="K14" s="25"/>
      <c r="L14" s="25"/>
      <c r="M14" s="25"/>
      <c r="N14" s="25"/>
      <c r="O14" s="25"/>
      <c r="P14" s="25"/>
      <c r="Q14" s="25"/>
      <c r="R14" s="25"/>
      <c r="S14" s="25"/>
      <c r="T14" s="25"/>
    </row>
    <row r="15" customFormat="false" ht="18" hidden="false" customHeight="true" outlineLevel="0" collapsed="false">
      <c r="A15" s="10"/>
      <c r="B15" s="11"/>
      <c r="C15" s="11"/>
      <c r="D15" s="11"/>
      <c r="E15" s="11"/>
      <c r="F15" s="10"/>
      <c r="G15" s="19" t="s">
        <v>10</v>
      </c>
      <c r="H15" s="19"/>
      <c r="I15" s="19"/>
      <c r="J15" s="26"/>
      <c r="K15" s="26"/>
      <c r="L15" s="26"/>
      <c r="M15" s="26"/>
      <c r="N15" s="26"/>
      <c r="O15" s="26"/>
      <c r="P15" s="26"/>
      <c r="Q15" s="26"/>
      <c r="R15" s="26"/>
      <c r="S15" s="26"/>
      <c r="T15" s="26"/>
      <c r="AD15" s="27"/>
      <c r="AE15" s="27"/>
      <c r="AF15" s="27"/>
      <c r="AG15" s="27"/>
      <c r="AH15" s="27"/>
      <c r="AI15" s="27"/>
      <c r="AJ15" s="27"/>
      <c r="AK15" s="27"/>
      <c r="AL15" s="27"/>
      <c r="AM15" s="27"/>
      <c r="AN15" s="27"/>
      <c r="AO15" s="27"/>
      <c r="AP15" s="27"/>
      <c r="AQ15" s="27"/>
      <c r="AR15" s="27"/>
      <c r="AS15" s="27"/>
      <c r="AT15" s="27"/>
      <c r="AU15" s="27"/>
      <c r="AV15" s="27"/>
      <c r="AW15" s="27"/>
      <c r="AX15" s="27"/>
      <c r="AY15" s="27"/>
      <c r="AZ15" s="27"/>
    </row>
    <row r="16" customFormat="false" ht="18" hidden="false" customHeight="true" outlineLevel="0" collapsed="false">
      <c r="A16" s="10"/>
      <c r="B16" s="11"/>
      <c r="C16" s="11"/>
      <c r="D16" s="11"/>
      <c r="E16" s="11"/>
      <c r="F16" s="10"/>
      <c r="G16" s="21"/>
      <c r="H16" s="21"/>
      <c r="I16" s="21"/>
      <c r="J16" s="22"/>
      <c r="K16" s="23"/>
      <c r="L16" s="23"/>
      <c r="M16" s="23"/>
      <c r="N16" s="23"/>
      <c r="O16" s="23"/>
      <c r="P16" s="23"/>
      <c r="Q16" s="23"/>
      <c r="R16" s="23"/>
      <c r="S16" s="23"/>
      <c r="T16" s="22"/>
      <c r="AD16" s="28"/>
      <c r="AE16" s="29"/>
      <c r="AF16" s="29"/>
      <c r="AG16" s="29"/>
      <c r="AH16" s="29"/>
      <c r="AI16" s="29"/>
      <c r="AJ16" s="29"/>
      <c r="AK16" s="29"/>
      <c r="AL16" s="29"/>
      <c r="AM16" s="29"/>
      <c r="AN16" s="29"/>
      <c r="AO16" s="29"/>
      <c r="AP16" s="29"/>
      <c r="AQ16" s="29"/>
      <c r="AR16" s="29"/>
      <c r="AS16" s="29"/>
      <c r="AT16" s="29"/>
      <c r="AU16" s="29"/>
      <c r="AV16" s="29"/>
      <c r="AW16" s="29"/>
      <c r="AX16" s="29"/>
      <c r="AY16" s="29"/>
      <c r="AZ16" s="29"/>
    </row>
    <row r="17" customFormat="false" ht="18" hidden="false" customHeight="true" outlineLevel="0" collapsed="false">
      <c r="A17" s="10"/>
      <c r="B17" s="30"/>
      <c r="C17" s="30"/>
      <c r="D17" s="30"/>
      <c r="E17" s="30"/>
      <c r="F17" s="10"/>
      <c r="G17" s="31" t="s">
        <v>11</v>
      </c>
      <c r="H17" s="31"/>
      <c r="I17" s="31"/>
      <c r="J17" s="31"/>
      <c r="K17" s="31"/>
      <c r="L17" s="31"/>
      <c r="M17" s="31"/>
      <c r="N17" s="31"/>
      <c r="O17" s="31"/>
      <c r="P17" s="31"/>
      <c r="Q17" s="31"/>
      <c r="R17" s="31"/>
      <c r="S17" s="31"/>
      <c r="T17" s="31"/>
      <c r="U17" s="31"/>
      <c r="V17" s="31"/>
      <c r="W17" s="31"/>
      <c r="X17" s="31"/>
      <c r="Y17" s="31"/>
      <c r="Z17" s="31"/>
      <c r="AA17" s="31"/>
      <c r="AB17" s="31"/>
      <c r="AD17" s="28"/>
      <c r="AE17" s="29"/>
      <c r="AF17" s="29"/>
      <c r="AG17" s="29"/>
      <c r="AH17" s="29"/>
      <c r="AI17" s="29"/>
      <c r="AJ17" s="29"/>
      <c r="AK17" s="29"/>
      <c r="AL17" s="29"/>
      <c r="AM17" s="29"/>
      <c r="AN17" s="29"/>
      <c r="AO17" s="29"/>
      <c r="AP17" s="29"/>
      <c r="AQ17" s="29"/>
      <c r="AR17" s="29"/>
      <c r="AS17" s="29"/>
      <c r="AT17" s="29"/>
      <c r="AU17" s="29"/>
      <c r="AV17" s="29"/>
      <c r="AW17" s="29"/>
      <c r="AX17" s="29"/>
      <c r="AY17" s="29"/>
      <c r="AZ17" s="29"/>
    </row>
    <row r="18" customFormat="false" ht="18" hidden="false" customHeight="true" outlineLevel="0" collapsed="false">
      <c r="A18" s="10"/>
      <c r="B18" s="8" t="s">
        <v>12</v>
      </c>
      <c r="C18" s="8"/>
      <c r="D18" s="8"/>
      <c r="E18" s="8"/>
      <c r="F18" s="10"/>
      <c r="G18" s="32" t="s">
        <v>13</v>
      </c>
      <c r="H18" s="32"/>
      <c r="I18" s="32"/>
      <c r="J18" s="32" t="s">
        <v>14</v>
      </c>
      <c r="K18" s="32"/>
      <c r="L18" s="32"/>
      <c r="M18" s="32"/>
      <c r="N18" s="32"/>
      <c r="O18" s="32"/>
      <c r="P18" s="32"/>
      <c r="Q18" s="32"/>
      <c r="R18" s="32"/>
      <c r="S18" s="32"/>
      <c r="T18" s="33" t="s">
        <v>15</v>
      </c>
      <c r="U18" s="34"/>
      <c r="V18" s="35"/>
      <c r="W18" s="35"/>
      <c r="X18" s="35"/>
      <c r="Y18" s="35"/>
      <c r="Z18" s="35"/>
      <c r="AA18" s="35"/>
      <c r="AB18" s="36"/>
      <c r="AD18" s="28"/>
      <c r="AE18" s="29"/>
      <c r="AF18" s="29"/>
      <c r="AG18" s="29"/>
      <c r="AH18" s="29"/>
      <c r="AI18" s="29"/>
      <c r="AJ18" s="29"/>
      <c r="AK18" s="29"/>
      <c r="AL18" s="29"/>
      <c r="AM18" s="29"/>
      <c r="AN18" s="29"/>
      <c r="AO18" s="29"/>
      <c r="AP18" s="29"/>
      <c r="AQ18" s="29"/>
      <c r="AR18" s="29"/>
      <c r="AS18" s="29"/>
      <c r="AT18" s="29"/>
      <c r="AU18" s="29"/>
      <c r="AV18" s="29"/>
      <c r="AW18" s="29"/>
      <c r="AX18" s="29"/>
      <c r="AY18" s="29"/>
      <c r="AZ18" s="29"/>
    </row>
    <row r="19" customFormat="false" ht="18" hidden="false" customHeight="true" outlineLevel="0" collapsed="false">
      <c r="A19" s="10"/>
      <c r="B19" s="37"/>
      <c r="C19" s="38"/>
      <c r="D19" s="38"/>
      <c r="E19" s="39"/>
      <c r="F19" s="10"/>
      <c r="G19" s="16" t="s">
        <v>16</v>
      </c>
      <c r="H19" s="16"/>
      <c r="I19" s="16"/>
      <c r="J19" s="40"/>
      <c r="K19" s="40"/>
      <c r="L19" s="40"/>
      <c r="M19" s="40"/>
      <c r="N19" s="40"/>
      <c r="O19" s="40"/>
      <c r="P19" s="40"/>
      <c r="Q19" s="40"/>
      <c r="R19" s="40"/>
      <c r="S19" s="40"/>
      <c r="T19" s="15"/>
      <c r="U19" s="41"/>
      <c r="V19" s="42"/>
      <c r="W19" s="42"/>
      <c r="X19" s="42"/>
      <c r="Y19" s="42"/>
      <c r="Z19" s="42"/>
      <c r="AA19" s="42"/>
      <c r="AB19" s="43"/>
    </row>
    <row r="20" customFormat="false" ht="18" hidden="false" customHeight="true" outlineLevel="0" collapsed="false">
      <c r="A20" s="10"/>
      <c r="B20" s="44"/>
      <c r="C20" s="45"/>
      <c r="D20" s="45"/>
      <c r="E20" s="46"/>
      <c r="F20" s="10"/>
      <c r="G20" s="16" t="s">
        <v>17</v>
      </c>
      <c r="H20" s="16"/>
      <c r="I20" s="16"/>
      <c r="J20" s="47"/>
      <c r="K20" s="47"/>
      <c r="L20" s="47"/>
      <c r="M20" s="47"/>
      <c r="N20" s="47"/>
      <c r="O20" s="47"/>
      <c r="P20" s="47"/>
      <c r="Q20" s="47"/>
      <c r="R20" s="47"/>
      <c r="S20" s="47"/>
      <c r="T20" s="15"/>
      <c r="U20" s="41"/>
      <c r="V20" s="42"/>
      <c r="W20" s="42"/>
      <c r="X20" s="42"/>
      <c r="Y20" s="42"/>
      <c r="Z20" s="42"/>
      <c r="AA20" s="42"/>
      <c r="AB20" s="43"/>
    </row>
    <row r="21" customFormat="false" ht="18" hidden="false" customHeight="true" outlineLevel="0" collapsed="false">
      <c r="A21" s="10"/>
      <c r="B21" s="44"/>
      <c r="C21" s="45"/>
      <c r="D21" s="45"/>
      <c r="E21" s="46"/>
      <c r="F21" s="10"/>
      <c r="G21" s="16" t="s">
        <v>18</v>
      </c>
      <c r="H21" s="16"/>
      <c r="I21" s="16"/>
      <c r="J21" s="47"/>
      <c r="K21" s="47"/>
      <c r="L21" s="47"/>
      <c r="M21" s="47"/>
      <c r="N21" s="47"/>
      <c r="O21" s="47"/>
      <c r="P21" s="47"/>
      <c r="Q21" s="47"/>
      <c r="R21" s="47"/>
      <c r="S21" s="47"/>
      <c r="T21" s="15"/>
      <c r="U21" s="41"/>
      <c r="V21" s="42"/>
      <c r="W21" s="42"/>
      <c r="X21" s="42"/>
      <c r="Y21" s="42"/>
      <c r="Z21" s="42"/>
      <c r="AA21" s="42"/>
      <c r="AB21" s="43"/>
    </row>
    <row r="22" customFormat="false" ht="18" hidden="false" customHeight="true" outlineLevel="0" collapsed="false">
      <c r="A22" s="10"/>
      <c r="B22" s="44"/>
      <c r="C22" s="45"/>
      <c r="D22" s="45"/>
      <c r="E22" s="46"/>
      <c r="F22" s="10"/>
      <c r="G22" s="16" t="s">
        <v>19</v>
      </c>
      <c r="H22" s="16"/>
      <c r="I22" s="16"/>
      <c r="J22" s="47"/>
      <c r="K22" s="47"/>
      <c r="L22" s="47"/>
      <c r="M22" s="47"/>
      <c r="N22" s="47"/>
      <c r="O22" s="47"/>
      <c r="P22" s="47"/>
      <c r="Q22" s="47"/>
      <c r="R22" s="47"/>
      <c r="S22" s="47"/>
      <c r="T22" s="15"/>
      <c r="U22" s="41"/>
      <c r="V22" s="42"/>
      <c r="W22" s="42"/>
      <c r="X22" s="42"/>
      <c r="Y22" s="42"/>
      <c r="Z22" s="42"/>
      <c r="AA22" s="42"/>
      <c r="AB22" s="43"/>
    </row>
    <row r="23" customFormat="false" ht="18" hidden="false" customHeight="true" outlineLevel="0" collapsed="false">
      <c r="A23" s="10"/>
      <c r="B23" s="48"/>
      <c r="C23" s="49"/>
      <c r="D23" s="49"/>
      <c r="E23" s="50"/>
      <c r="F23" s="10"/>
      <c r="G23" s="16" t="s">
        <v>20</v>
      </c>
      <c r="H23" s="16"/>
      <c r="I23" s="16"/>
      <c r="J23" s="47"/>
      <c r="K23" s="47"/>
      <c r="L23" s="47"/>
      <c r="M23" s="47"/>
      <c r="N23" s="47"/>
      <c r="O23" s="47"/>
      <c r="P23" s="47"/>
      <c r="Q23" s="47"/>
      <c r="R23" s="47"/>
      <c r="S23" s="47"/>
      <c r="T23" s="15"/>
      <c r="U23" s="41"/>
      <c r="V23" s="42"/>
      <c r="W23" s="42"/>
      <c r="X23" s="42"/>
      <c r="Y23" s="42"/>
      <c r="Z23" s="42"/>
      <c r="AA23" s="42"/>
      <c r="AB23" s="43"/>
    </row>
    <row r="24" customFormat="false" ht="18" hidden="false" customHeight="true" outlineLevel="0" collapsed="false">
      <c r="A24" s="10"/>
      <c r="F24" s="10"/>
      <c r="G24" s="19" t="s">
        <v>21</v>
      </c>
      <c r="H24" s="19"/>
      <c r="I24" s="19"/>
      <c r="J24" s="51"/>
      <c r="K24" s="51"/>
      <c r="L24" s="51"/>
      <c r="M24" s="51"/>
      <c r="N24" s="51"/>
      <c r="O24" s="51"/>
      <c r="P24" s="51"/>
      <c r="Q24" s="51"/>
      <c r="R24" s="51"/>
      <c r="S24" s="51"/>
      <c r="T24" s="52"/>
      <c r="U24" s="53"/>
      <c r="V24" s="54"/>
      <c r="W24" s="54"/>
      <c r="X24" s="54"/>
      <c r="Y24" s="54"/>
      <c r="Z24" s="54"/>
      <c r="AA24" s="54"/>
      <c r="AB24" s="55"/>
    </row>
    <row r="25" customFormat="false" ht="18" hidden="false" customHeight="true" outlineLevel="0" collapsed="false">
      <c r="A25" s="3"/>
      <c r="B25" s="56"/>
      <c r="C25" s="56"/>
      <c r="D25" s="56"/>
      <c r="E25" s="56"/>
      <c r="F25" s="3"/>
      <c r="G25" s="3"/>
      <c r="H25" s="3"/>
      <c r="I25" s="3"/>
      <c r="K25" s="3"/>
      <c r="L25" s="3"/>
      <c r="M25" s="3"/>
      <c r="N25" s="3"/>
      <c r="O25" s="3"/>
      <c r="P25" s="3"/>
      <c r="Q25" s="3"/>
      <c r="R25" s="3"/>
      <c r="S25" s="3"/>
    </row>
    <row r="26" customFormat="false" ht="18" hidden="false" customHeight="true" outlineLevel="0" collapsed="false">
      <c r="A26" s="3"/>
      <c r="B26" s="56"/>
      <c r="C26" s="56"/>
      <c r="D26" s="56"/>
      <c r="E26" s="56"/>
      <c r="F26" s="3"/>
      <c r="G26" s="57" t="s">
        <v>22</v>
      </c>
      <c r="H26" s="57"/>
      <c r="I26" s="57"/>
      <c r="J26" s="57"/>
      <c r="K26" s="57"/>
      <c r="L26" s="58" t="s">
        <v>23</v>
      </c>
      <c r="M26" s="58"/>
      <c r="N26" s="58"/>
      <c r="O26" s="59" t="s">
        <v>24</v>
      </c>
      <c r="P26" s="59"/>
      <c r="Q26" s="59"/>
      <c r="R26" s="59" t="s">
        <v>25</v>
      </c>
      <c r="S26" s="59"/>
      <c r="T26" s="60" t="s">
        <v>26</v>
      </c>
      <c r="U26" s="61"/>
    </row>
    <row r="27" customFormat="false" ht="18" hidden="false" customHeight="true" outlineLevel="0" collapsed="false">
      <c r="A27" s="3"/>
      <c r="B27" s="56"/>
      <c r="C27" s="56"/>
      <c r="D27" s="56"/>
      <c r="E27" s="56"/>
      <c r="F27" s="3"/>
      <c r="G27" s="62"/>
      <c r="H27" s="62"/>
      <c r="I27" s="62"/>
      <c r="J27" s="62"/>
      <c r="K27" s="62"/>
      <c r="L27" s="63" t="e">
        <f aca="false">_xlfn.xlookup(G27,O36:O289,P36:P289, "")</f>
        <v>#NAME?</v>
      </c>
      <c r="M27" s="63"/>
      <c r="N27" s="63"/>
      <c r="O27" s="63" t="e">
        <f aca="false">_xlfn.xlookup(G27,O36:O289,Q36:Q289, "")</f>
        <v>#NAME?</v>
      </c>
      <c r="P27" s="63"/>
      <c r="Q27" s="63"/>
      <c r="R27" s="63" t="e">
        <f aca="false">_xlfn.xlookup(G27,O36:O289,S36:S289, "")</f>
        <v>#NAME?</v>
      </c>
      <c r="S27" s="63"/>
      <c r="T27" s="64" t="e">
        <f aca="false">_xlfn.xlookup(G27,O36:O289,R36:R289, "")</f>
        <v>#NAME?</v>
      </c>
    </row>
    <row r="28" customFormat="false" ht="18" hidden="false" customHeight="true" outlineLevel="0" collapsed="false">
      <c r="A28" s="3"/>
      <c r="B28" s="3"/>
      <c r="C28" s="3"/>
      <c r="D28" s="3"/>
      <c r="E28" s="3"/>
      <c r="F28" s="3"/>
      <c r="G28" s="65"/>
      <c r="H28" s="65"/>
      <c r="I28" s="65"/>
      <c r="J28" s="65"/>
      <c r="K28" s="65"/>
      <c r="L28" s="65"/>
      <c r="M28" s="65"/>
      <c r="N28" s="65"/>
      <c r="O28" s="65"/>
      <c r="P28" s="65"/>
      <c r="Q28" s="65"/>
      <c r="R28" s="65"/>
      <c r="S28" s="65"/>
    </row>
    <row r="29" customFormat="false" ht="18" hidden="true" customHeight="true" outlineLevel="0" collapsed="false">
      <c r="A29" s="3"/>
      <c r="B29" s="3"/>
      <c r="C29" s="3"/>
      <c r="D29" s="3"/>
      <c r="E29" s="3"/>
      <c r="F29" s="3"/>
      <c r="G29" s="65"/>
      <c r="H29" s="65"/>
      <c r="I29" s="65"/>
      <c r="J29" s="65"/>
      <c r="K29" s="65"/>
      <c r="L29" s="65"/>
      <c r="M29" s="65"/>
      <c r="N29" s="65"/>
      <c r="O29" s="65"/>
      <c r="P29" s="65"/>
      <c r="Q29" s="65"/>
      <c r="R29" s="65"/>
      <c r="S29" s="65"/>
    </row>
    <row r="30" customFormat="false" ht="18" hidden="true" customHeight="true" outlineLevel="0" collapsed="false">
      <c r="A30" s="3"/>
      <c r="B30" s="3"/>
      <c r="C30" s="3"/>
      <c r="D30" s="3"/>
      <c r="E30" s="3"/>
      <c r="F30" s="3"/>
      <c r="G30" s="65"/>
      <c r="H30" s="65"/>
      <c r="I30" s="65"/>
      <c r="J30" s="65"/>
      <c r="K30" s="65"/>
      <c r="L30" s="65"/>
      <c r="M30" s="65"/>
      <c r="N30" s="65"/>
      <c r="O30" s="65"/>
      <c r="P30" s="65"/>
      <c r="Q30" s="65"/>
      <c r="R30" s="65"/>
      <c r="S30" s="65"/>
    </row>
    <row r="31" customFormat="false" ht="18" hidden="true" customHeight="true" outlineLevel="0" collapsed="false">
      <c r="A31" s="3"/>
      <c r="B31" s="3"/>
      <c r="C31" s="3"/>
      <c r="D31" s="3"/>
      <c r="E31" s="3"/>
      <c r="F31" s="3"/>
      <c r="G31" s="65"/>
      <c r="H31" s="65"/>
      <c r="I31" s="65"/>
      <c r="J31" s="65"/>
      <c r="K31" s="65"/>
      <c r="L31" s="65"/>
      <c r="M31" s="65"/>
      <c r="N31" s="65"/>
      <c r="O31" s="65"/>
      <c r="P31" s="65"/>
      <c r="Q31" s="65"/>
      <c r="R31" s="65"/>
      <c r="S31" s="65"/>
    </row>
    <row r="32" customFormat="false" ht="18" hidden="true" customHeight="true" outlineLevel="0" collapsed="false">
      <c r="G32" s="65"/>
      <c r="H32" s="65"/>
      <c r="I32" s="65"/>
      <c r="J32" s="65"/>
      <c r="K32" s="65"/>
      <c r="L32" s="65"/>
      <c r="M32" s="65"/>
      <c r="N32" s="65"/>
      <c r="O32" s="65"/>
      <c r="P32" s="65"/>
      <c r="Q32" s="65"/>
      <c r="R32" s="65"/>
      <c r="S32" s="65"/>
    </row>
    <row r="33" customFormat="false" ht="18" hidden="true" customHeight="true" outlineLevel="0" collapsed="false">
      <c r="G33" s="65"/>
      <c r="H33" s="65"/>
      <c r="I33" s="65"/>
      <c r="J33" s="65"/>
      <c r="K33" s="65"/>
      <c r="L33" s="65"/>
      <c r="M33" s="65"/>
      <c r="N33" s="65"/>
      <c r="O33" s="65"/>
      <c r="P33" s="65"/>
      <c r="Q33" s="65"/>
      <c r="R33" s="65"/>
      <c r="S33" s="65"/>
    </row>
    <row r="34" customFormat="false" ht="18" hidden="true" customHeight="true" outlineLevel="0" collapsed="false">
      <c r="A34" s="6"/>
      <c r="B34" s="6"/>
      <c r="C34" s="6"/>
      <c r="D34" s="6"/>
      <c r="E34" s="6"/>
      <c r="F34" s="6"/>
      <c r="G34" s="6"/>
      <c r="H34" s="6"/>
      <c r="I34" s="6"/>
      <c r="J34" s="6"/>
      <c r="K34" s="6"/>
      <c r="L34" s="6"/>
      <c r="M34" s="6"/>
      <c r="N34" s="6"/>
      <c r="O34" s="6"/>
      <c r="P34" s="6"/>
      <c r="Q34" s="6"/>
      <c r="R34" s="6"/>
      <c r="S34" s="6"/>
      <c r="T34" s="6"/>
    </row>
    <row r="35" customFormat="false" ht="18" hidden="true" customHeight="true" outlineLevel="0" collapsed="false">
      <c r="O35" s="66" t="s">
        <v>27</v>
      </c>
      <c r="P35" s="66" t="s">
        <v>28</v>
      </c>
      <c r="Q35" s="66" t="s">
        <v>29</v>
      </c>
      <c r="R35" s="66" t="s">
        <v>30</v>
      </c>
      <c r="S35" s="66" t="s">
        <v>31</v>
      </c>
    </row>
    <row r="36" customFormat="false" ht="18" hidden="true" customHeight="true" outlineLevel="0" collapsed="false">
      <c r="O36" s="67" t="s">
        <v>32</v>
      </c>
      <c r="P36" s="67" t="s">
        <v>33</v>
      </c>
      <c r="Q36" s="67" t="s">
        <v>34</v>
      </c>
      <c r="R36" s="67" t="s">
        <v>35</v>
      </c>
      <c r="S36" s="67" t="n">
        <v>100</v>
      </c>
    </row>
    <row r="37" customFormat="false" ht="18" hidden="true" customHeight="true" outlineLevel="0" collapsed="false">
      <c r="O37" s="67" t="s">
        <v>36</v>
      </c>
      <c r="P37" s="67" t="s">
        <v>37</v>
      </c>
      <c r="Q37" s="67"/>
      <c r="R37" s="67" t="s">
        <v>38</v>
      </c>
      <c r="S37" s="67" t="n">
        <v>39</v>
      </c>
    </row>
    <row r="38" customFormat="false" ht="18" hidden="true" customHeight="true" outlineLevel="0" collapsed="false">
      <c r="O38" s="67" t="s">
        <v>39</v>
      </c>
      <c r="P38" s="67" t="s">
        <v>40</v>
      </c>
      <c r="Q38" s="67" t="s">
        <v>41</v>
      </c>
      <c r="R38" s="67" t="s">
        <v>42</v>
      </c>
      <c r="S38" s="67" t="n">
        <v>65</v>
      </c>
    </row>
    <row r="39" customFormat="false" ht="18" hidden="true" customHeight="true" outlineLevel="0" collapsed="false">
      <c r="O39" s="67" t="s">
        <v>43</v>
      </c>
      <c r="P39" s="67" t="s">
        <v>44</v>
      </c>
      <c r="Q39" s="67" t="s">
        <v>45</v>
      </c>
      <c r="R39" s="67" t="s">
        <v>42</v>
      </c>
      <c r="S39" s="67" t="n">
        <v>80</v>
      </c>
    </row>
    <row r="40" customFormat="false" ht="18" hidden="true" customHeight="true" outlineLevel="0" collapsed="false">
      <c r="O40" s="67" t="s">
        <v>46</v>
      </c>
      <c r="P40" s="67" t="s">
        <v>47</v>
      </c>
      <c r="Q40" s="67" t="s">
        <v>48</v>
      </c>
      <c r="R40" s="67" t="s">
        <v>38</v>
      </c>
      <c r="S40" s="67" t="n">
        <v>41</v>
      </c>
    </row>
    <row r="41" customFormat="false" ht="18" hidden="true" customHeight="true" outlineLevel="0" collapsed="false">
      <c r="O41" s="67" t="s">
        <v>49</v>
      </c>
      <c r="P41" s="67" t="s">
        <v>50</v>
      </c>
      <c r="Q41" s="67" t="s">
        <v>51</v>
      </c>
      <c r="R41" s="67" t="s">
        <v>38</v>
      </c>
      <c r="S41" s="67" t="n">
        <v>40</v>
      </c>
    </row>
    <row r="42" customFormat="false" ht="18" hidden="true" customHeight="true" outlineLevel="0" collapsed="false">
      <c r="O42" s="67" t="s">
        <v>52</v>
      </c>
      <c r="P42" s="67" t="s">
        <v>53</v>
      </c>
      <c r="Q42" s="67" t="s">
        <v>54</v>
      </c>
      <c r="R42" s="67" t="s">
        <v>42</v>
      </c>
      <c r="S42" s="67" t="n">
        <v>80</v>
      </c>
    </row>
    <row r="43" customFormat="false" ht="18" hidden="true" customHeight="true" outlineLevel="0" collapsed="false">
      <c r="O43" s="67" t="s">
        <v>55</v>
      </c>
      <c r="P43" s="67" t="s">
        <v>56</v>
      </c>
      <c r="Q43" s="67" t="s">
        <v>54</v>
      </c>
      <c r="R43" s="67" t="s">
        <v>38</v>
      </c>
      <c r="S43" s="67" t="n">
        <v>50</v>
      </c>
    </row>
    <row r="44" customFormat="false" ht="18" hidden="true" customHeight="true" outlineLevel="0" collapsed="false">
      <c r="O44" s="67" t="s">
        <v>57</v>
      </c>
      <c r="P44" s="67" t="s">
        <v>58</v>
      </c>
      <c r="Q44" s="67" t="s">
        <v>59</v>
      </c>
      <c r="R44" s="67" t="s">
        <v>60</v>
      </c>
      <c r="S44" s="67" t="n">
        <v>30</v>
      </c>
    </row>
    <row r="45" customFormat="false" ht="18" hidden="true" customHeight="true" outlineLevel="0" collapsed="false">
      <c r="O45" s="67" t="s">
        <v>61</v>
      </c>
      <c r="P45" s="67" t="s">
        <v>62</v>
      </c>
      <c r="Q45" s="67" t="s">
        <v>63</v>
      </c>
      <c r="R45" s="67" t="s">
        <v>42</v>
      </c>
      <c r="S45" s="67" t="n">
        <v>61</v>
      </c>
    </row>
    <row r="46" customFormat="false" ht="18" hidden="true" customHeight="true" outlineLevel="0" collapsed="false">
      <c r="O46" s="67" t="s">
        <v>64</v>
      </c>
      <c r="P46" s="67" t="s">
        <v>65</v>
      </c>
      <c r="Q46" s="67" t="s">
        <v>66</v>
      </c>
      <c r="R46" s="67" t="s">
        <v>38</v>
      </c>
      <c r="S46" s="67" t="n">
        <v>51</v>
      </c>
    </row>
    <row r="47" customFormat="false" ht="18" hidden="true" customHeight="true" outlineLevel="0" collapsed="false">
      <c r="O47" s="67" t="s">
        <v>67</v>
      </c>
      <c r="P47" s="67" t="s">
        <v>68</v>
      </c>
      <c r="Q47" s="67" t="s">
        <v>69</v>
      </c>
      <c r="R47" s="67" t="s">
        <v>38</v>
      </c>
      <c r="S47" s="67" t="n">
        <v>50</v>
      </c>
    </row>
    <row r="48" customFormat="false" ht="18" hidden="true" customHeight="true" outlineLevel="0" collapsed="false">
      <c r="O48" s="67" t="s">
        <v>70</v>
      </c>
      <c r="P48" s="67" t="s">
        <v>71</v>
      </c>
      <c r="Q48" s="67" t="s">
        <v>72</v>
      </c>
      <c r="R48" s="67" t="s">
        <v>38</v>
      </c>
      <c r="S48" s="67" t="n">
        <v>45</v>
      </c>
    </row>
    <row r="49" customFormat="false" ht="18" hidden="true" customHeight="true" outlineLevel="0" collapsed="false">
      <c r="O49" s="67" t="s">
        <v>73</v>
      </c>
      <c r="P49" s="67" t="s">
        <v>74</v>
      </c>
      <c r="Q49" s="67" t="s">
        <v>72</v>
      </c>
      <c r="R49" s="67" t="s">
        <v>60</v>
      </c>
      <c r="S49" s="67" t="n">
        <v>27</v>
      </c>
    </row>
    <row r="50" customFormat="false" ht="18" hidden="true" customHeight="true" outlineLevel="0" collapsed="false">
      <c r="O50" s="67" t="s">
        <v>75</v>
      </c>
      <c r="P50" s="67" t="s">
        <v>76</v>
      </c>
      <c r="Q50" s="67" t="s">
        <v>77</v>
      </c>
      <c r="R50" s="67" t="s">
        <v>60</v>
      </c>
      <c r="S50" s="67" t="n">
        <v>30</v>
      </c>
    </row>
    <row r="51" customFormat="false" ht="18" hidden="true" customHeight="true" outlineLevel="0" collapsed="false">
      <c r="O51" s="67" t="s">
        <v>78</v>
      </c>
      <c r="P51" s="67" t="s">
        <v>79</v>
      </c>
      <c r="Q51" s="67" t="s">
        <v>80</v>
      </c>
      <c r="R51" s="67" t="s">
        <v>38</v>
      </c>
      <c r="S51" s="67" t="n">
        <v>53</v>
      </c>
    </row>
    <row r="52" customFormat="false" ht="18" hidden="true" customHeight="true" outlineLevel="0" collapsed="false">
      <c r="O52" s="67" t="s">
        <v>81</v>
      </c>
      <c r="P52" s="67" t="s">
        <v>82</v>
      </c>
      <c r="Q52" s="67" t="s">
        <v>83</v>
      </c>
      <c r="R52" s="67" t="s">
        <v>42</v>
      </c>
      <c r="S52" s="67" t="n">
        <v>80</v>
      </c>
    </row>
    <row r="53" customFormat="false" ht="18" hidden="true" customHeight="true" outlineLevel="0" collapsed="false">
      <c r="O53" s="67" t="s">
        <v>84</v>
      </c>
      <c r="P53" s="67" t="s">
        <v>85</v>
      </c>
      <c r="Q53" s="67" t="s">
        <v>86</v>
      </c>
      <c r="R53" s="67" t="s">
        <v>38</v>
      </c>
      <c r="S53" s="67" t="n">
        <v>48</v>
      </c>
    </row>
    <row r="54" customFormat="false" ht="18" hidden="true" customHeight="true" outlineLevel="0" collapsed="false">
      <c r="O54" s="67" t="s">
        <v>87</v>
      </c>
      <c r="P54" s="67" t="s">
        <v>88</v>
      </c>
      <c r="Q54" s="67" t="s">
        <v>89</v>
      </c>
      <c r="R54" s="67" t="s">
        <v>42</v>
      </c>
      <c r="S54" s="67" t="n">
        <v>72</v>
      </c>
    </row>
    <row r="55" customFormat="false" ht="18" hidden="true" customHeight="true" outlineLevel="0" collapsed="false">
      <c r="O55" s="67" t="s">
        <v>90</v>
      </c>
      <c r="P55" s="67" t="s">
        <v>91</v>
      </c>
      <c r="Q55" s="67" t="s">
        <v>92</v>
      </c>
      <c r="R55" s="67" t="s">
        <v>38</v>
      </c>
      <c r="S55" s="67" t="n">
        <v>51</v>
      </c>
    </row>
    <row r="56" customFormat="false" ht="18" hidden="true" customHeight="true" outlineLevel="0" collapsed="false">
      <c r="O56" s="67" t="s">
        <v>93</v>
      </c>
      <c r="P56" s="67" t="s">
        <v>94</v>
      </c>
      <c r="Q56" s="67" t="s">
        <v>95</v>
      </c>
      <c r="R56" s="67" t="s">
        <v>42</v>
      </c>
      <c r="S56" s="67" t="n">
        <v>73</v>
      </c>
    </row>
    <row r="57" customFormat="false" ht="18" hidden="true" customHeight="true" outlineLevel="0" collapsed="false">
      <c r="O57" s="67" t="s">
        <v>96</v>
      </c>
      <c r="P57" s="67" t="s">
        <v>97</v>
      </c>
      <c r="Q57" s="67" t="s">
        <v>98</v>
      </c>
      <c r="R57" s="67" t="s">
        <v>60</v>
      </c>
      <c r="S57" s="67" t="n">
        <v>30</v>
      </c>
    </row>
    <row r="58" customFormat="false" ht="18" hidden="true" customHeight="true" outlineLevel="0" collapsed="false">
      <c r="O58" s="67" t="s">
        <v>99</v>
      </c>
      <c r="P58" s="67" t="s">
        <v>100</v>
      </c>
      <c r="Q58" s="67" t="s">
        <v>101</v>
      </c>
      <c r="R58" s="67" t="s">
        <v>42</v>
      </c>
      <c r="S58" s="67" t="n">
        <v>80</v>
      </c>
    </row>
    <row r="59" customFormat="false" ht="18" hidden="true" customHeight="true" outlineLevel="0" collapsed="false">
      <c r="O59" s="67" t="s">
        <v>102</v>
      </c>
      <c r="P59" s="67" t="s">
        <v>103</v>
      </c>
      <c r="Q59" s="67" t="s">
        <v>104</v>
      </c>
      <c r="R59" s="67" t="s">
        <v>42</v>
      </c>
      <c r="S59" s="67" t="n">
        <v>62</v>
      </c>
    </row>
    <row r="60" customFormat="false" ht="18" hidden="true" customHeight="true" outlineLevel="0" collapsed="false">
      <c r="O60" s="67" t="s">
        <v>105</v>
      </c>
      <c r="P60" s="67" t="s">
        <v>106</v>
      </c>
      <c r="Q60" s="67" t="s">
        <v>107</v>
      </c>
      <c r="R60" s="67" t="s">
        <v>38</v>
      </c>
      <c r="S60" s="67" t="n">
        <v>48</v>
      </c>
    </row>
    <row r="61" customFormat="false" ht="18" hidden="true" customHeight="true" outlineLevel="0" collapsed="false">
      <c r="O61" s="67" t="s">
        <v>108</v>
      </c>
      <c r="P61" s="67" t="s">
        <v>109</v>
      </c>
      <c r="Q61" s="67" t="s">
        <v>110</v>
      </c>
      <c r="R61" s="67" t="s">
        <v>38</v>
      </c>
      <c r="S61" s="67" t="n">
        <v>40</v>
      </c>
    </row>
    <row r="62" customFormat="false" ht="18" hidden="true" customHeight="true" outlineLevel="0" collapsed="false">
      <c r="O62" s="67" t="s">
        <v>111</v>
      </c>
      <c r="P62" s="67" t="s">
        <v>112</v>
      </c>
      <c r="Q62" s="67" t="s">
        <v>113</v>
      </c>
      <c r="R62" s="67" t="s">
        <v>42</v>
      </c>
      <c r="S62" s="67" t="n">
        <v>80</v>
      </c>
    </row>
    <row r="63" customFormat="false" ht="18" hidden="true" customHeight="true" outlineLevel="0" collapsed="false">
      <c r="O63" s="67" t="s">
        <v>114</v>
      </c>
      <c r="P63" s="67" t="s">
        <v>115</v>
      </c>
      <c r="Q63" s="67"/>
      <c r="R63" s="67" t="s">
        <v>38</v>
      </c>
      <c r="S63" s="67" t="n">
        <v>38</v>
      </c>
    </row>
    <row r="64" customFormat="false" ht="18" hidden="true" customHeight="true" outlineLevel="0" collapsed="false">
      <c r="O64" s="67" t="s">
        <v>116</v>
      </c>
      <c r="P64" s="67" t="s">
        <v>117</v>
      </c>
      <c r="Q64" s="67" t="s">
        <v>118</v>
      </c>
      <c r="R64" s="67" t="s">
        <v>42</v>
      </c>
      <c r="S64" s="67" t="n">
        <v>64</v>
      </c>
    </row>
    <row r="65" customFormat="false" ht="18" hidden="true" customHeight="true" outlineLevel="0" collapsed="false">
      <c r="O65" s="67" t="s">
        <v>119</v>
      </c>
      <c r="P65" s="67" t="s">
        <v>120</v>
      </c>
      <c r="Q65" s="67" t="s">
        <v>121</v>
      </c>
      <c r="R65" s="67" t="s">
        <v>38</v>
      </c>
      <c r="S65" s="67" t="n">
        <v>39</v>
      </c>
    </row>
    <row r="66" customFormat="false" ht="18" hidden="true" customHeight="true" outlineLevel="0" collapsed="false">
      <c r="O66" s="67" t="s">
        <v>122</v>
      </c>
      <c r="P66" s="67" t="s">
        <v>123</v>
      </c>
      <c r="Q66" s="67" t="s">
        <v>124</v>
      </c>
      <c r="R66" s="67" t="s">
        <v>60</v>
      </c>
      <c r="S66" s="67" t="n">
        <v>30</v>
      </c>
    </row>
    <row r="67" customFormat="false" ht="18" hidden="true" customHeight="true" outlineLevel="0" collapsed="false">
      <c r="O67" s="67" t="s">
        <v>125</v>
      </c>
      <c r="P67" s="67" t="s">
        <v>126</v>
      </c>
      <c r="Q67" s="67"/>
      <c r="R67" s="67" t="s">
        <v>38</v>
      </c>
      <c r="S67" s="67" t="n">
        <v>37</v>
      </c>
    </row>
    <row r="68" customFormat="false" ht="18" hidden="true" customHeight="true" outlineLevel="0" collapsed="false">
      <c r="O68" s="67" t="s">
        <v>127</v>
      </c>
      <c r="P68" s="67" t="s">
        <v>128</v>
      </c>
      <c r="Q68" s="67" t="s">
        <v>129</v>
      </c>
      <c r="R68" s="67" t="s">
        <v>38</v>
      </c>
      <c r="S68" s="67" t="n">
        <v>54</v>
      </c>
    </row>
    <row r="69" customFormat="false" ht="18" hidden="true" customHeight="true" outlineLevel="0" collapsed="false">
      <c r="O69" s="67" t="s">
        <v>130</v>
      </c>
      <c r="P69" s="67" t="s">
        <v>131</v>
      </c>
      <c r="Q69" s="67" t="s">
        <v>132</v>
      </c>
      <c r="R69" s="67" t="s">
        <v>38</v>
      </c>
      <c r="S69" s="67" t="n">
        <v>46</v>
      </c>
    </row>
    <row r="70" customFormat="false" ht="18" hidden="true" customHeight="true" outlineLevel="0" collapsed="false">
      <c r="O70" s="67" t="s">
        <v>133</v>
      </c>
      <c r="P70" s="67" t="s">
        <v>134</v>
      </c>
      <c r="Q70" s="67" t="s">
        <v>135</v>
      </c>
      <c r="R70" s="67" t="s">
        <v>38</v>
      </c>
      <c r="S70" s="67" t="n">
        <v>38</v>
      </c>
    </row>
    <row r="71" customFormat="false" ht="18" hidden="true" customHeight="true" outlineLevel="0" collapsed="false">
      <c r="O71" s="67" t="s">
        <v>136</v>
      </c>
      <c r="P71" s="67" t="s">
        <v>137</v>
      </c>
      <c r="Q71" s="67" t="s">
        <v>138</v>
      </c>
      <c r="R71" s="67" t="s">
        <v>42</v>
      </c>
      <c r="S71" s="67" t="n">
        <v>73</v>
      </c>
    </row>
    <row r="72" customFormat="false" ht="18" hidden="true" customHeight="true" outlineLevel="0" collapsed="false">
      <c r="O72" s="67" t="s">
        <v>139</v>
      </c>
      <c r="P72" s="67" t="s">
        <v>140</v>
      </c>
      <c r="Q72" s="67" t="s">
        <v>141</v>
      </c>
      <c r="R72" s="67" t="s">
        <v>42</v>
      </c>
      <c r="S72" s="67" t="n">
        <v>66</v>
      </c>
    </row>
    <row r="73" customFormat="false" ht="18" hidden="true" customHeight="true" outlineLevel="0" collapsed="false">
      <c r="O73" s="67" t="s">
        <v>142</v>
      </c>
      <c r="P73" s="67" t="s">
        <v>143</v>
      </c>
      <c r="Q73" s="67" t="s">
        <v>144</v>
      </c>
      <c r="R73" s="67" t="s">
        <v>42</v>
      </c>
      <c r="S73" s="67" t="n">
        <v>80</v>
      </c>
    </row>
    <row r="74" customFormat="false" ht="18" hidden="true" customHeight="true" outlineLevel="0" collapsed="false">
      <c r="O74" s="67" t="s">
        <v>145</v>
      </c>
      <c r="P74" s="67" t="s">
        <v>146</v>
      </c>
      <c r="Q74" s="67" t="s">
        <v>147</v>
      </c>
      <c r="R74" s="67" t="s">
        <v>42</v>
      </c>
      <c r="S74" s="67" t="n">
        <v>62</v>
      </c>
    </row>
    <row r="75" customFormat="false" ht="18" hidden="true" customHeight="true" outlineLevel="0" collapsed="false">
      <c r="O75" s="67" t="s">
        <v>148</v>
      </c>
      <c r="P75" s="67" t="s">
        <v>149</v>
      </c>
      <c r="Q75" s="67" t="s">
        <v>150</v>
      </c>
      <c r="R75" s="67" t="s">
        <v>60</v>
      </c>
      <c r="S75" s="67" t="n">
        <v>27</v>
      </c>
    </row>
    <row r="76" customFormat="false" ht="18" hidden="true" customHeight="true" outlineLevel="0" collapsed="false">
      <c r="O76" s="67" t="s">
        <v>151</v>
      </c>
      <c r="P76" s="67" t="s">
        <v>152</v>
      </c>
      <c r="Q76" s="67" t="s">
        <v>153</v>
      </c>
      <c r="R76" s="67" t="s">
        <v>38</v>
      </c>
      <c r="S76" s="67" t="n">
        <v>42</v>
      </c>
    </row>
    <row r="77" customFormat="false" ht="18" hidden="true" customHeight="true" outlineLevel="0" collapsed="false">
      <c r="O77" s="67" t="s">
        <v>154</v>
      </c>
      <c r="P77" s="67" t="s">
        <v>155</v>
      </c>
      <c r="Q77" s="67" t="s">
        <v>156</v>
      </c>
      <c r="R77" s="67" t="s">
        <v>42</v>
      </c>
      <c r="S77" s="67" t="n">
        <v>62</v>
      </c>
    </row>
    <row r="78" customFormat="false" ht="18" hidden="true" customHeight="true" outlineLevel="0" collapsed="false">
      <c r="O78" s="67" t="s">
        <v>157</v>
      </c>
      <c r="P78" s="67" t="s">
        <v>158</v>
      </c>
      <c r="Q78" s="67" t="s">
        <v>159</v>
      </c>
      <c r="R78" s="67" t="s">
        <v>42</v>
      </c>
      <c r="S78" s="67" t="n">
        <v>71</v>
      </c>
    </row>
    <row r="79" customFormat="false" ht="18" hidden="true" customHeight="true" outlineLevel="0" collapsed="false">
      <c r="O79" s="67" t="s">
        <v>160</v>
      </c>
      <c r="P79" s="67" t="s">
        <v>161</v>
      </c>
      <c r="Q79" s="67" t="s">
        <v>162</v>
      </c>
      <c r="R79" s="67" t="s">
        <v>42</v>
      </c>
      <c r="S79" s="67" t="n">
        <v>67</v>
      </c>
    </row>
    <row r="80" customFormat="false" ht="18" hidden="true" customHeight="true" outlineLevel="0" collapsed="false">
      <c r="O80" s="67" t="s">
        <v>163</v>
      </c>
      <c r="P80" s="67" t="s">
        <v>164</v>
      </c>
      <c r="Q80" s="67" t="s">
        <v>165</v>
      </c>
      <c r="R80" s="67" t="s">
        <v>38</v>
      </c>
      <c r="S80" s="67" t="n">
        <v>45</v>
      </c>
    </row>
    <row r="81" customFormat="false" ht="18" hidden="true" customHeight="true" outlineLevel="0" collapsed="false">
      <c r="O81" s="67" t="s">
        <v>166</v>
      </c>
      <c r="P81" s="67" t="s">
        <v>167</v>
      </c>
      <c r="Q81" s="67" t="s">
        <v>168</v>
      </c>
      <c r="R81" s="67" t="s">
        <v>38</v>
      </c>
      <c r="S81" s="67" t="n">
        <v>48</v>
      </c>
    </row>
    <row r="82" customFormat="false" ht="18" hidden="true" customHeight="true" outlineLevel="0" collapsed="false">
      <c r="O82" s="67" t="s">
        <v>169</v>
      </c>
      <c r="P82" s="67" t="s">
        <v>170</v>
      </c>
      <c r="Q82" s="67" t="s">
        <v>171</v>
      </c>
      <c r="R82" s="67" t="s">
        <v>38</v>
      </c>
      <c r="S82" s="67" t="n">
        <v>39</v>
      </c>
    </row>
    <row r="83" customFormat="false" ht="18" hidden="true" customHeight="true" outlineLevel="0" collapsed="false">
      <c r="O83" s="67" t="s">
        <v>172</v>
      </c>
      <c r="P83" s="67" t="s">
        <v>173</v>
      </c>
      <c r="Q83" s="67" t="s">
        <v>174</v>
      </c>
      <c r="R83" s="67" t="s">
        <v>38</v>
      </c>
      <c r="S83" s="67" t="n">
        <v>37</v>
      </c>
    </row>
    <row r="84" customFormat="false" ht="18" hidden="true" customHeight="true" outlineLevel="0" collapsed="false">
      <c r="O84" s="67" t="s">
        <v>175</v>
      </c>
      <c r="P84" s="67" t="s">
        <v>176</v>
      </c>
      <c r="Q84" s="67" t="s">
        <v>177</v>
      </c>
      <c r="R84" s="67" t="s">
        <v>42</v>
      </c>
      <c r="S84" s="67" t="n">
        <v>68</v>
      </c>
    </row>
    <row r="85" customFormat="false" ht="18" hidden="true" customHeight="true" outlineLevel="0" collapsed="false">
      <c r="O85" s="67" t="s">
        <v>178</v>
      </c>
      <c r="P85" s="67" t="s">
        <v>179</v>
      </c>
      <c r="Q85" s="67" t="s">
        <v>180</v>
      </c>
      <c r="R85" s="67" t="s">
        <v>38</v>
      </c>
      <c r="S85" s="67" t="n">
        <v>52</v>
      </c>
    </row>
    <row r="86" customFormat="false" ht="18" hidden="true" customHeight="true" outlineLevel="0" collapsed="false">
      <c r="O86" s="67" t="s">
        <v>181</v>
      </c>
      <c r="P86" s="67" t="s">
        <v>182</v>
      </c>
      <c r="Q86" s="67" t="s">
        <v>183</v>
      </c>
      <c r="R86" s="67" t="s">
        <v>42</v>
      </c>
      <c r="S86" s="67" t="n">
        <v>76</v>
      </c>
    </row>
    <row r="87" customFormat="false" ht="18" hidden="true" customHeight="true" outlineLevel="0" collapsed="false">
      <c r="O87" s="67" t="s">
        <v>184</v>
      </c>
      <c r="P87" s="67" t="s">
        <v>185</v>
      </c>
      <c r="Q87" s="67" t="s">
        <v>186</v>
      </c>
      <c r="R87" s="67" t="s">
        <v>42</v>
      </c>
      <c r="S87" s="67" t="n">
        <v>76</v>
      </c>
    </row>
    <row r="88" customFormat="false" ht="18" hidden="true" customHeight="true" outlineLevel="0" collapsed="false">
      <c r="O88" s="67" t="s">
        <v>187</v>
      </c>
      <c r="P88" s="67" t="s">
        <v>188</v>
      </c>
      <c r="Q88" s="67" t="s">
        <v>189</v>
      </c>
      <c r="R88" s="67" t="s">
        <v>42</v>
      </c>
      <c r="S88" s="67" t="n">
        <v>80</v>
      </c>
    </row>
    <row r="89" customFormat="false" ht="18" hidden="true" customHeight="true" outlineLevel="0" collapsed="false">
      <c r="O89" s="67" t="s">
        <v>190</v>
      </c>
      <c r="P89" s="67" t="s">
        <v>191</v>
      </c>
      <c r="Q89" s="67" t="s">
        <v>192</v>
      </c>
      <c r="R89" s="67" t="s">
        <v>38</v>
      </c>
      <c r="S89" s="67" t="n">
        <v>48</v>
      </c>
    </row>
    <row r="90" customFormat="false" ht="18" hidden="true" customHeight="true" outlineLevel="0" collapsed="false">
      <c r="O90" s="67" t="s">
        <v>193</v>
      </c>
      <c r="P90" s="67" t="s">
        <v>194</v>
      </c>
      <c r="Q90" s="67" t="s">
        <v>195</v>
      </c>
      <c r="R90" s="67" t="s">
        <v>38</v>
      </c>
      <c r="S90" s="67" t="n">
        <v>52</v>
      </c>
    </row>
    <row r="91" customFormat="false" ht="18" hidden="true" customHeight="true" outlineLevel="0" collapsed="false">
      <c r="O91" s="67" t="s">
        <v>196</v>
      </c>
      <c r="P91" s="67" t="s">
        <v>197</v>
      </c>
      <c r="Q91" s="67" t="s">
        <v>198</v>
      </c>
      <c r="R91" s="67" t="s">
        <v>38</v>
      </c>
      <c r="S91" s="67" t="n">
        <v>40</v>
      </c>
    </row>
    <row r="92" customFormat="false" ht="18" hidden="true" customHeight="true" outlineLevel="0" collapsed="false">
      <c r="O92" s="67" t="s">
        <v>199</v>
      </c>
      <c r="P92" s="67" t="s">
        <v>200</v>
      </c>
      <c r="Q92" s="67" t="s">
        <v>201</v>
      </c>
      <c r="R92" s="67" t="s">
        <v>35</v>
      </c>
      <c r="S92" s="67" t="n">
        <v>100</v>
      </c>
    </row>
    <row r="93" customFormat="false" ht="18" hidden="true" customHeight="true" outlineLevel="0" collapsed="false">
      <c r="O93" s="67" t="s">
        <v>202</v>
      </c>
      <c r="P93" s="67" t="s">
        <v>203</v>
      </c>
      <c r="Q93" s="67" t="s">
        <v>204</v>
      </c>
      <c r="R93" s="67" t="s">
        <v>38</v>
      </c>
      <c r="S93" s="67" t="n">
        <v>49</v>
      </c>
    </row>
    <row r="94" customFormat="false" ht="18" hidden="true" customHeight="true" outlineLevel="0" collapsed="false">
      <c r="O94" s="67" t="s">
        <v>205</v>
      </c>
      <c r="P94" s="67" t="s">
        <v>206</v>
      </c>
      <c r="Q94" s="67" t="s">
        <v>207</v>
      </c>
      <c r="R94" s="67" t="s">
        <v>42</v>
      </c>
      <c r="S94" s="67" t="n">
        <v>62</v>
      </c>
    </row>
    <row r="95" customFormat="false" ht="18" hidden="true" customHeight="true" outlineLevel="0" collapsed="false">
      <c r="O95" s="67" t="s">
        <v>208</v>
      </c>
      <c r="P95" s="67" t="s">
        <v>209</v>
      </c>
      <c r="Q95" s="67" t="s">
        <v>210</v>
      </c>
      <c r="R95" s="67" t="s">
        <v>38</v>
      </c>
      <c r="S95" s="67" t="n">
        <v>41</v>
      </c>
    </row>
    <row r="96" customFormat="false" ht="18" hidden="true" customHeight="true" outlineLevel="0" collapsed="false">
      <c r="O96" s="67" t="s">
        <v>211</v>
      </c>
      <c r="P96" s="67" t="s">
        <v>212</v>
      </c>
      <c r="Q96" s="67" t="s">
        <v>213</v>
      </c>
      <c r="R96" s="67" t="s">
        <v>60</v>
      </c>
      <c r="S96" s="67" t="n">
        <v>21</v>
      </c>
    </row>
    <row r="97" customFormat="false" ht="18" hidden="true" customHeight="true" outlineLevel="0" collapsed="false">
      <c r="O97" s="67" t="s">
        <v>214</v>
      </c>
      <c r="P97" s="67" t="s">
        <v>215</v>
      </c>
      <c r="Q97" s="67" t="s">
        <v>216</v>
      </c>
      <c r="R97" s="67" t="s">
        <v>38</v>
      </c>
      <c r="S97" s="67" t="n">
        <v>54</v>
      </c>
    </row>
    <row r="98" customFormat="false" ht="18" hidden="true" customHeight="true" outlineLevel="0" collapsed="false">
      <c r="O98" s="67" t="s">
        <v>217</v>
      </c>
      <c r="P98" s="67" t="s">
        <v>218</v>
      </c>
      <c r="Q98" s="67" t="s">
        <v>219</v>
      </c>
      <c r="R98" s="67" t="s">
        <v>38</v>
      </c>
      <c r="S98" s="67" t="n">
        <v>60</v>
      </c>
    </row>
    <row r="99" customFormat="false" ht="18" hidden="true" customHeight="true" outlineLevel="0" collapsed="false">
      <c r="O99" s="67" t="s">
        <v>220</v>
      </c>
      <c r="P99" s="67" t="s">
        <v>221</v>
      </c>
      <c r="Q99" s="67" t="s">
        <v>222</v>
      </c>
      <c r="R99" s="67" t="s">
        <v>42</v>
      </c>
      <c r="S99" s="67" t="n">
        <v>80</v>
      </c>
    </row>
    <row r="100" customFormat="false" ht="18" hidden="true" customHeight="true" outlineLevel="0" collapsed="false">
      <c r="O100" s="67" t="s">
        <v>223</v>
      </c>
      <c r="P100" s="67" t="s">
        <v>224</v>
      </c>
      <c r="Q100" s="67" t="s">
        <v>225</v>
      </c>
      <c r="R100" s="67" t="s">
        <v>42</v>
      </c>
      <c r="S100" s="67" t="n">
        <v>62</v>
      </c>
    </row>
    <row r="101" customFormat="false" ht="18" hidden="true" customHeight="true" outlineLevel="0" collapsed="false">
      <c r="O101" s="67" t="s">
        <v>226</v>
      </c>
      <c r="P101" s="67" t="s">
        <v>227</v>
      </c>
      <c r="Q101" s="67" t="s">
        <v>228</v>
      </c>
      <c r="R101" s="67" t="s">
        <v>42</v>
      </c>
      <c r="S101" s="67" t="n">
        <v>64</v>
      </c>
    </row>
    <row r="102" customFormat="false" ht="18" hidden="true" customHeight="true" outlineLevel="0" collapsed="false">
      <c r="O102" s="67" t="s">
        <v>229</v>
      </c>
      <c r="P102" s="67" t="s">
        <v>230</v>
      </c>
      <c r="Q102" s="67" t="s">
        <v>231</v>
      </c>
      <c r="R102" s="67" t="s">
        <v>42</v>
      </c>
      <c r="S102" s="67" t="n">
        <v>61</v>
      </c>
    </row>
    <row r="103" customFormat="false" ht="18" hidden="true" customHeight="true" outlineLevel="0" collapsed="false">
      <c r="O103" s="67" t="s">
        <v>232</v>
      </c>
      <c r="P103" s="67" t="s">
        <v>233</v>
      </c>
      <c r="Q103" s="67" t="s">
        <v>234</v>
      </c>
      <c r="R103" s="67" t="s">
        <v>42</v>
      </c>
      <c r="S103" s="67" t="n">
        <v>72</v>
      </c>
    </row>
    <row r="104" customFormat="false" ht="18" hidden="true" customHeight="true" outlineLevel="0" collapsed="false">
      <c r="O104" s="67" t="s">
        <v>235</v>
      </c>
      <c r="P104" s="67" t="s">
        <v>236</v>
      </c>
      <c r="Q104" s="67" t="s">
        <v>237</v>
      </c>
      <c r="R104" s="67" t="s">
        <v>35</v>
      </c>
      <c r="S104" s="67" t="n">
        <v>100</v>
      </c>
    </row>
    <row r="105" customFormat="false" ht="18" hidden="true" customHeight="true" outlineLevel="0" collapsed="false">
      <c r="O105" s="67" t="s">
        <v>238</v>
      </c>
      <c r="P105" s="67" t="s">
        <v>239</v>
      </c>
      <c r="Q105" s="67" t="s">
        <v>240</v>
      </c>
      <c r="R105" s="67" t="s">
        <v>38</v>
      </c>
      <c r="S105" s="67" t="n">
        <v>39</v>
      </c>
    </row>
    <row r="106" customFormat="false" ht="18" hidden="true" customHeight="true" outlineLevel="0" collapsed="false">
      <c r="O106" s="67" t="s">
        <v>241</v>
      </c>
      <c r="P106" s="67" t="s">
        <v>242</v>
      </c>
      <c r="Q106" s="67" t="s">
        <v>243</v>
      </c>
      <c r="R106" s="67" t="s">
        <v>42</v>
      </c>
      <c r="S106" s="67" t="n">
        <v>74</v>
      </c>
    </row>
    <row r="107" customFormat="false" ht="18" hidden="true" customHeight="true" outlineLevel="0" collapsed="false">
      <c r="O107" s="67" t="s">
        <v>244</v>
      </c>
      <c r="P107" s="67" t="s">
        <v>245</v>
      </c>
      <c r="Q107" s="67" t="s">
        <v>246</v>
      </c>
      <c r="R107" s="67" t="s">
        <v>60</v>
      </c>
      <c r="S107" s="67" t="n">
        <v>28</v>
      </c>
    </row>
    <row r="108" customFormat="false" ht="18" hidden="true" customHeight="true" outlineLevel="0" collapsed="false">
      <c r="O108" s="67" t="s">
        <v>247</v>
      </c>
      <c r="P108" s="67" t="s">
        <v>248</v>
      </c>
      <c r="Q108" s="67" t="s">
        <v>249</v>
      </c>
      <c r="R108" s="67" t="s">
        <v>60</v>
      </c>
      <c r="S108" s="67" t="n">
        <v>30</v>
      </c>
    </row>
    <row r="109" customFormat="false" ht="18" hidden="true" customHeight="true" outlineLevel="0" collapsed="false">
      <c r="O109" s="67" t="s">
        <v>250</v>
      </c>
      <c r="P109" s="67" t="s">
        <v>251</v>
      </c>
      <c r="Q109" s="67" t="s">
        <v>252</v>
      </c>
      <c r="R109" s="67" t="s">
        <v>38</v>
      </c>
      <c r="S109" s="67" t="n">
        <v>51</v>
      </c>
    </row>
    <row r="110" customFormat="false" ht="18" hidden="true" customHeight="true" outlineLevel="0" collapsed="false">
      <c r="O110" s="67" t="s">
        <v>253</v>
      </c>
      <c r="P110" s="67" t="s">
        <v>254</v>
      </c>
      <c r="Q110" s="67" t="s">
        <v>255</v>
      </c>
      <c r="R110" s="67" t="s">
        <v>60</v>
      </c>
      <c r="S110" s="67" t="n">
        <v>21</v>
      </c>
    </row>
    <row r="111" customFormat="false" ht="18" hidden="true" customHeight="true" outlineLevel="0" collapsed="false">
      <c r="O111" s="67" t="s">
        <v>256</v>
      </c>
      <c r="P111" s="67" t="s">
        <v>257</v>
      </c>
      <c r="Q111" s="67" t="s">
        <v>258</v>
      </c>
      <c r="R111" s="67" t="s">
        <v>38</v>
      </c>
      <c r="S111" s="67" t="n">
        <v>47</v>
      </c>
    </row>
    <row r="112" customFormat="false" ht="18" hidden="true" customHeight="true" outlineLevel="0" collapsed="false">
      <c r="O112" s="67" t="s">
        <v>259</v>
      </c>
      <c r="P112" s="67" t="s">
        <v>260</v>
      </c>
      <c r="Q112" s="67" t="s">
        <v>261</v>
      </c>
      <c r="R112" s="67" t="s">
        <v>38</v>
      </c>
      <c r="S112" s="67" t="n">
        <v>49</v>
      </c>
    </row>
    <row r="113" customFormat="false" ht="18" hidden="true" customHeight="true" outlineLevel="0" collapsed="false">
      <c r="O113" s="67" t="s">
        <v>262</v>
      </c>
      <c r="P113" s="67" t="s">
        <v>263</v>
      </c>
      <c r="Q113" s="67" t="s">
        <v>264</v>
      </c>
      <c r="R113" s="67" t="s">
        <v>60</v>
      </c>
      <c r="S113" s="67" t="n">
        <v>30</v>
      </c>
    </row>
    <row r="114" customFormat="false" ht="18" hidden="true" customHeight="true" outlineLevel="0" collapsed="false">
      <c r="O114" s="67" t="s">
        <v>265</v>
      </c>
      <c r="P114" s="67" t="s">
        <v>266</v>
      </c>
      <c r="Q114" s="67" t="s">
        <v>267</v>
      </c>
      <c r="R114" s="67" t="s">
        <v>38</v>
      </c>
      <c r="S114" s="67" t="n">
        <v>42</v>
      </c>
    </row>
    <row r="115" customFormat="false" ht="18" hidden="true" customHeight="true" outlineLevel="0" collapsed="false">
      <c r="O115" s="67" t="s">
        <v>268</v>
      </c>
      <c r="P115" s="67" t="s">
        <v>269</v>
      </c>
      <c r="Q115" s="67" t="s">
        <v>270</v>
      </c>
      <c r="R115" s="67" t="s">
        <v>42</v>
      </c>
      <c r="S115" s="67" t="n">
        <v>80</v>
      </c>
    </row>
    <row r="116" customFormat="false" ht="18" hidden="true" customHeight="true" outlineLevel="0" collapsed="false">
      <c r="O116" s="67" t="s">
        <v>271</v>
      </c>
      <c r="P116" s="67" t="s">
        <v>272</v>
      </c>
      <c r="Q116" s="67" t="s">
        <v>273</v>
      </c>
      <c r="R116" s="67" t="s">
        <v>42</v>
      </c>
      <c r="S116" s="67" t="n">
        <v>80</v>
      </c>
    </row>
    <row r="117" customFormat="false" ht="18" hidden="true" customHeight="true" outlineLevel="0" collapsed="false">
      <c r="O117" s="67" t="s">
        <v>274</v>
      </c>
      <c r="P117" s="67" t="s">
        <v>275</v>
      </c>
      <c r="Q117" s="67" t="s">
        <v>276</v>
      </c>
      <c r="R117" s="67" t="s">
        <v>42</v>
      </c>
      <c r="S117" s="67" t="n">
        <v>80</v>
      </c>
    </row>
    <row r="118" customFormat="false" ht="18" hidden="true" customHeight="true" outlineLevel="0" collapsed="false">
      <c r="O118" s="67" t="s">
        <v>277</v>
      </c>
      <c r="P118" s="67" t="s">
        <v>278</v>
      </c>
      <c r="Q118" s="67" t="s">
        <v>279</v>
      </c>
      <c r="R118" s="67" t="s">
        <v>60</v>
      </c>
      <c r="S118" s="67" t="n">
        <v>29</v>
      </c>
    </row>
    <row r="119" customFormat="false" ht="18" hidden="true" customHeight="true" outlineLevel="0" collapsed="false">
      <c r="O119" s="67" t="s">
        <v>280</v>
      </c>
      <c r="P119" s="67" t="s">
        <v>281</v>
      </c>
      <c r="Q119" s="67" t="s">
        <v>282</v>
      </c>
      <c r="R119" s="67" t="s">
        <v>42</v>
      </c>
      <c r="S119" s="67" t="n">
        <v>80</v>
      </c>
    </row>
    <row r="120" customFormat="false" ht="18" hidden="true" customHeight="true" outlineLevel="0" collapsed="false">
      <c r="O120" s="67" t="s">
        <v>283</v>
      </c>
      <c r="P120" s="67" t="s">
        <v>284</v>
      </c>
      <c r="Q120" s="67" t="s">
        <v>285</v>
      </c>
      <c r="R120" s="67" t="s">
        <v>38</v>
      </c>
      <c r="S120" s="67" t="n">
        <v>39</v>
      </c>
    </row>
    <row r="121" customFormat="false" ht="18" hidden="true" customHeight="true" outlineLevel="0" collapsed="false">
      <c r="O121" s="67" t="s">
        <v>286</v>
      </c>
      <c r="P121" s="67" t="s">
        <v>287</v>
      </c>
      <c r="Q121" s="67" t="s">
        <v>288</v>
      </c>
      <c r="R121" s="67" t="s">
        <v>38</v>
      </c>
      <c r="S121" s="67" t="n">
        <v>43</v>
      </c>
    </row>
    <row r="122" customFormat="false" ht="18" hidden="true" customHeight="true" outlineLevel="0" collapsed="false">
      <c r="O122" s="67" t="s">
        <v>289</v>
      </c>
      <c r="P122" s="67" t="s">
        <v>290</v>
      </c>
      <c r="Q122" s="67" t="s">
        <v>291</v>
      </c>
      <c r="R122" s="67" t="s">
        <v>38</v>
      </c>
      <c r="S122" s="67" t="n">
        <v>38</v>
      </c>
    </row>
    <row r="123" customFormat="false" ht="18" hidden="true" customHeight="true" outlineLevel="0" collapsed="false">
      <c r="O123" s="67" t="s">
        <v>292</v>
      </c>
      <c r="P123" s="67" t="s">
        <v>293</v>
      </c>
      <c r="Q123" s="67" t="s">
        <v>294</v>
      </c>
      <c r="R123" s="67" t="s">
        <v>38</v>
      </c>
      <c r="S123" s="67" t="n">
        <v>50</v>
      </c>
    </row>
    <row r="124" customFormat="false" ht="18" hidden="true" customHeight="true" outlineLevel="0" collapsed="false">
      <c r="O124" s="67" t="s">
        <v>295</v>
      </c>
      <c r="P124" s="67" t="s">
        <v>296</v>
      </c>
      <c r="Q124" s="67" t="s">
        <v>297</v>
      </c>
      <c r="R124" s="67" t="s">
        <v>38</v>
      </c>
      <c r="S124" s="67" t="n">
        <v>60</v>
      </c>
    </row>
    <row r="125" customFormat="false" ht="18" hidden="true" customHeight="true" outlineLevel="0" collapsed="false">
      <c r="O125" s="67" t="s">
        <v>298</v>
      </c>
      <c r="P125" s="67" t="s">
        <v>299</v>
      </c>
      <c r="Q125" s="67" t="s">
        <v>300</v>
      </c>
      <c r="R125" s="67" t="s">
        <v>38</v>
      </c>
      <c r="S125" s="67" t="n">
        <v>36</v>
      </c>
    </row>
    <row r="126" customFormat="false" ht="18" hidden="true" customHeight="true" outlineLevel="0" collapsed="false">
      <c r="O126" s="67" t="s">
        <v>301</v>
      </c>
      <c r="P126" s="67" t="s">
        <v>302</v>
      </c>
      <c r="Q126" s="67" t="s">
        <v>303</v>
      </c>
      <c r="R126" s="67" t="s">
        <v>42</v>
      </c>
      <c r="S126" s="67" t="n">
        <v>80</v>
      </c>
    </row>
    <row r="127" customFormat="false" ht="18" hidden="true" customHeight="true" outlineLevel="0" collapsed="false">
      <c r="O127" s="67" t="s">
        <v>304</v>
      </c>
      <c r="P127" s="67" t="s">
        <v>305</v>
      </c>
      <c r="Q127" s="67"/>
      <c r="R127" s="67" t="s">
        <v>38</v>
      </c>
      <c r="S127" s="67" t="n">
        <v>41</v>
      </c>
    </row>
    <row r="128" customFormat="false" ht="18" hidden="true" customHeight="true" outlineLevel="0" collapsed="false">
      <c r="O128" s="67" t="s">
        <v>306</v>
      </c>
      <c r="P128" s="67" t="s">
        <v>307</v>
      </c>
      <c r="Q128" s="67" t="s">
        <v>308</v>
      </c>
      <c r="R128" s="67" t="s">
        <v>42</v>
      </c>
      <c r="S128" s="67" t="n">
        <v>61</v>
      </c>
    </row>
    <row r="129" customFormat="false" ht="18" hidden="true" customHeight="true" outlineLevel="0" collapsed="false">
      <c r="O129" s="67" t="s">
        <v>309</v>
      </c>
      <c r="P129" s="67" t="s">
        <v>310</v>
      </c>
      <c r="Q129" s="67" t="s">
        <v>311</v>
      </c>
      <c r="R129" s="67" t="s">
        <v>35</v>
      </c>
      <c r="S129" s="67" t="n">
        <v>100</v>
      </c>
    </row>
    <row r="130" customFormat="false" ht="18" hidden="true" customHeight="true" outlineLevel="0" collapsed="false">
      <c r="O130" s="67" t="s">
        <v>312</v>
      </c>
      <c r="P130" s="67" t="s">
        <v>313</v>
      </c>
      <c r="Q130" s="67" t="s">
        <v>314</v>
      </c>
      <c r="R130" s="67" t="s">
        <v>38</v>
      </c>
      <c r="S130" s="67" t="n">
        <v>54</v>
      </c>
    </row>
    <row r="131" customFormat="false" ht="18" hidden="true" customHeight="true" outlineLevel="0" collapsed="false">
      <c r="O131" s="67" t="s">
        <v>315</v>
      </c>
      <c r="P131" s="67" t="s">
        <v>316</v>
      </c>
      <c r="Q131" s="67" t="s">
        <v>317</v>
      </c>
      <c r="R131" s="67" t="s">
        <v>42</v>
      </c>
      <c r="S131" s="67" t="n">
        <v>80</v>
      </c>
    </row>
    <row r="132" customFormat="false" ht="18" hidden="true" customHeight="true" outlineLevel="0" collapsed="false">
      <c r="O132" s="67" t="s">
        <v>318</v>
      </c>
      <c r="P132" s="67" t="s">
        <v>319</v>
      </c>
      <c r="Q132" s="67" t="s">
        <v>320</v>
      </c>
      <c r="R132" s="67" t="s">
        <v>60</v>
      </c>
      <c r="S132" s="67" t="n">
        <v>30</v>
      </c>
    </row>
    <row r="133" customFormat="false" ht="18" hidden="true" customHeight="true" outlineLevel="0" collapsed="false">
      <c r="O133" s="67" t="s">
        <v>321</v>
      </c>
      <c r="P133" s="67" t="s">
        <v>322</v>
      </c>
      <c r="Q133" s="67" t="s">
        <v>323</v>
      </c>
      <c r="R133" s="67" t="s">
        <v>42</v>
      </c>
      <c r="S133" s="67" t="n">
        <v>64</v>
      </c>
    </row>
    <row r="134" customFormat="false" ht="18" hidden="true" customHeight="true" outlineLevel="0" collapsed="false">
      <c r="O134" s="67" t="s">
        <v>324</v>
      </c>
      <c r="P134" s="67" t="s">
        <v>325</v>
      </c>
      <c r="Q134" s="67" t="s">
        <v>326</v>
      </c>
      <c r="R134" s="67" t="s">
        <v>38</v>
      </c>
      <c r="S134" s="67" t="n">
        <v>39</v>
      </c>
    </row>
    <row r="135" customFormat="false" ht="18" hidden="true" customHeight="true" outlineLevel="0" collapsed="false">
      <c r="O135" s="67" t="s">
        <v>327</v>
      </c>
      <c r="P135" s="67" t="s">
        <v>328</v>
      </c>
      <c r="Q135" s="67" t="s">
        <v>329</v>
      </c>
      <c r="R135" s="67" t="s">
        <v>38</v>
      </c>
      <c r="S135" s="67" t="n">
        <v>38</v>
      </c>
    </row>
    <row r="136" customFormat="false" ht="18" hidden="true" customHeight="true" outlineLevel="0" collapsed="false">
      <c r="O136" s="67" t="s">
        <v>330</v>
      </c>
      <c r="P136" s="67" t="s">
        <v>331</v>
      </c>
      <c r="Q136" s="67" t="s">
        <v>332</v>
      </c>
      <c r="R136" s="67" t="s">
        <v>60</v>
      </c>
      <c r="S136" s="67" t="n">
        <v>30</v>
      </c>
    </row>
    <row r="137" customFormat="false" ht="18" hidden="true" customHeight="true" outlineLevel="0" collapsed="false">
      <c r="O137" s="67" t="s">
        <v>333</v>
      </c>
      <c r="P137" s="67" t="s">
        <v>334</v>
      </c>
      <c r="Q137" s="67" t="s">
        <v>335</v>
      </c>
      <c r="R137" s="67" t="s">
        <v>38</v>
      </c>
      <c r="S137" s="67" t="n">
        <v>45</v>
      </c>
    </row>
    <row r="138" customFormat="false" ht="18" hidden="true" customHeight="true" outlineLevel="0" collapsed="false">
      <c r="O138" s="67" t="s">
        <v>336</v>
      </c>
      <c r="P138" s="67" t="s">
        <v>337</v>
      </c>
      <c r="Q138" s="67" t="s">
        <v>338</v>
      </c>
      <c r="R138" s="67" t="s">
        <v>38</v>
      </c>
      <c r="S138" s="67" t="n">
        <v>51</v>
      </c>
    </row>
    <row r="139" customFormat="false" ht="18" hidden="true" customHeight="true" outlineLevel="0" collapsed="false">
      <c r="O139" s="67" t="s">
        <v>339</v>
      </c>
      <c r="P139" s="67" t="s">
        <v>340</v>
      </c>
      <c r="Q139" s="67" t="s">
        <v>341</v>
      </c>
      <c r="R139" s="67"/>
      <c r="S139" s="67" t="n">
        <v>100</v>
      </c>
    </row>
    <row r="140" customFormat="false" ht="18" hidden="true" customHeight="true" outlineLevel="0" collapsed="false">
      <c r="O140" s="67" t="s">
        <v>342</v>
      </c>
      <c r="P140" s="67" t="s">
        <v>343</v>
      </c>
      <c r="Q140" s="67" t="s">
        <v>344</v>
      </c>
      <c r="R140" s="67" t="s">
        <v>35</v>
      </c>
      <c r="S140" s="67" t="n">
        <v>100</v>
      </c>
    </row>
    <row r="141" customFormat="false" ht="18" hidden="true" customHeight="true" outlineLevel="0" collapsed="false">
      <c r="O141" s="67" t="s">
        <v>345</v>
      </c>
      <c r="P141" s="67" t="s">
        <v>346</v>
      </c>
      <c r="Q141" s="67" t="s">
        <v>347</v>
      </c>
      <c r="R141" s="67" t="s">
        <v>35</v>
      </c>
      <c r="S141" s="67" t="n">
        <v>100</v>
      </c>
    </row>
    <row r="142" customFormat="false" ht="18" hidden="true" customHeight="true" outlineLevel="0" collapsed="false">
      <c r="O142" s="67" t="s">
        <v>348</v>
      </c>
      <c r="P142" s="67" t="s">
        <v>349</v>
      </c>
      <c r="Q142" s="67" t="s">
        <v>350</v>
      </c>
      <c r="R142" s="67" t="s">
        <v>38</v>
      </c>
      <c r="S142" s="67" t="n">
        <v>60</v>
      </c>
    </row>
    <row r="143" customFormat="false" ht="18" hidden="true" customHeight="true" outlineLevel="0" collapsed="false">
      <c r="O143" s="67" t="s">
        <v>351</v>
      </c>
      <c r="P143" s="67" t="s">
        <v>352</v>
      </c>
      <c r="Q143" s="67" t="s">
        <v>353</v>
      </c>
      <c r="R143" s="67" t="s">
        <v>38</v>
      </c>
      <c r="S143" s="67" t="n">
        <v>39</v>
      </c>
    </row>
    <row r="144" customFormat="false" ht="18" hidden="true" customHeight="true" outlineLevel="0" collapsed="false">
      <c r="O144" s="67" t="s">
        <v>354</v>
      </c>
      <c r="P144" s="67" t="s">
        <v>355</v>
      </c>
      <c r="Q144" s="67" t="s">
        <v>356</v>
      </c>
      <c r="R144" s="67" t="s">
        <v>38</v>
      </c>
      <c r="S144" s="67" t="n">
        <v>54</v>
      </c>
    </row>
    <row r="145" customFormat="false" ht="18" hidden="true" customHeight="true" outlineLevel="0" collapsed="false">
      <c r="O145" s="67" t="s">
        <v>357</v>
      </c>
      <c r="P145" s="67" t="s">
        <v>358</v>
      </c>
      <c r="Q145" s="67" t="s">
        <v>359</v>
      </c>
      <c r="R145" s="67" t="s">
        <v>38</v>
      </c>
      <c r="S145" s="67" t="n">
        <v>60</v>
      </c>
    </row>
    <row r="146" customFormat="false" ht="18" hidden="true" customHeight="true" outlineLevel="0" collapsed="false">
      <c r="O146" s="67" t="s">
        <v>360</v>
      </c>
      <c r="P146" s="67" t="s">
        <v>361</v>
      </c>
      <c r="Q146" s="67" t="s">
        <v>362</v>
      </c>
      <c r="R146" s="67" t="s">
        <v>42</v>
      </c>
      <c r="S146" s="67" t="n">
        <v>61</v>
      </c>
    </row>
    <row r="147" customFormat="false" ht="18" hidden="true" customHeight="true" outlineLevel="0" collapsed="false">
      <c r="O147" s="67" t="s">
        <v>363</v>
      </c>
      <c r="P147" s="67" t="s">
        <v>364</v>
      </c>
      <c r="Q147" s="67" t="s">
        <v>365</v>
      </c>
      <c r="R147" s="67" t="s">
        <v>60</v>
      </c>
      <c r="S147" s="67" t="n">
        <v>30</v>
      </c>
    </row>
    <row r="148" customFormat="false" ht="18" hidden="true" customHeight="true" outlineLevel="0" collapsed="false">
      <c r="O148" s="67" t="s">
        <v>366</v>
      </c>
      <c r="P148" s="67" t="s">
        <v>367</v>
      </c>
      <c r="Q148" s="67" t="s">
        <v>368</v>
      </c>
      <c r="R148" s="67" t="s">
        <v>38</v>
      </c>
      <c r="S148" s="67" t="n">
        <v>41</v>
      </c>
    </row>
    <row r="149" customFormat="false" ht="18" hidden="true" customHeight="true" outlineLevel="0" collapsed="false">
      <c r="O149" s="67" t="s">
        <v>369</v>
      </c>
      <c r="P149" s="67" t="s">
        <v>370</v>
      </c>
      <c r="Q149" s="67" t="s">
        <v>371</v>
      </c>
      <c r="R149" s="67" t="s">
        <v>38</v>
      </c>
      <c r="S149" s="67" t="n">
        <v>60</v>
      </c>
    </row>
    <row r="150" customFormat="false" ht="18" hidden="true" customHeight="true" outlineLevel="0" collapsed="false">
      <c r="O150" s="67" t="s">
        <v>372</v>
      </c>
      <c r="P150" s="67" t="s">
        <v>373</v>
      </c>
      <c r="Q150" s="67" t="s">
        <v>374</v>
      </c>
      <c r="R150" s="67" t="s">
        <v>42</v>
      </c>
      <c r="S150" s="67" t="n">
        <v>80</v>
      </c>
    </row>
    <row r="151" customFormat="false" ht="18" hidden="true" customHeight="true" outlineLevel="0" collapsed="false">
      <c r="O151" s="67" t="s">
        <v>375</v>
      </c>
      <c r="P151" s="67" t="s">
        <v>376</v>
      </c>
      <c r="Q151" s="67" t="s">
        <v>377</v>
      </c>
      <c r="R151" s="67" t="s">
        <v>38</v>
      </c>
      <c r="S151" s="67" t="n">
        <v>54</v>
      </c>
    </row>
    <row r="152" customFormat="false" ht="18" hidden="true" customHeight="true" outlineLevel="0" collapsed="false">
      <c r="O152" s="67" t="s">
        <v>378</v>
      </c>
      <c r="P152" s="67" t="s">
        <v>379</v>
      </c>
      <c r="Q152" s="67" t="s">
        <v>380</v>
      </c>
      <c r="R152" s="67" t="s">
        <v>38</v>
      </c>
      <c r="S152" s="67" t="n">
        <v>43</v>
      </c>
    </row>
    <row r="153" customFormat="false" ht="18" hidden="true" customHeight="true" outlineLevel="0" collapsed="false">
      <c r="O153" s="67" t="s">
        <v>381</v>
      </c>
      <c r="P153" s="67" t="s">
        <v>382</v>
      </c>
      <c r="Q153" s="67" t="s">
        <v>383</v>
      </c>
      <c r="R153" s="67" t="s">
        <v>35</v>
      </c>
      <c r="S153" s="67" t="n">
        <v>100</v>
      </c>
    </row>
    <row r="154" customFormat="false" ht="18" hidden="true" customHeight="true" outlineLevel="0" collapsed="false">
      <c r="O154" s="67" t="s">
        <v>384</v>
      </c>
      <c r="P154" s="67" t="s">
        <v>385</v>
      </c>
      <c r="Q154" s="67" t="s">
        <v>386</v>
      </c>
      <c r="R154" s="67" t="s">
        <v>60</v>
      </c>
      <c r="S154" s="67" t="n">
        <v>30</v>
      </c>
    </row>
    <row r="155" customFormat="false" ht="18" hidden="true" customHeight="true" outlineLevel="0" collapsed="false">
      <c r="O155" s="67" t="s">
        <v>387</v>
      </c>
      <c r="P155" s="67" t="s">
        <v>388</v>
      </c>
      <c r="Q155" s="67"/>
      <c r="R155" s="67" t="s">
        <v>42</v>
      </c>
      <c r="S155" s="67" t="n">
        <v>100</v>
      </c>
    </row>
    <row r="156" customFormat="false" ht="18" hidden="true" customHeight="true" outlineLevel="0" collapsed="false">
      <c r="O156" s="67" t="s">
        <v>387</v>
      </c>
      <c r="P156" s="67" t="s">
        <v>389</v>
      </c>
      <c r="Q156" s="67" t="s">
        <v>390</v>
      </c>
      <c r="R156" s="67" t="s">
        <v>38</v>
      </c>
      <c r="S156" s="67" t="n">
        <v>53</v>
      </c>
    </row>
    <row r="157" customFormat="false" ht="18" hidden="true" customHeight="true" outlineLevel="0" collapsed="false">
      <c r="O157" s="67" t="s">
        <v>391</v>
      </c>
      <c r="P157" s="67" t="s">
        <v>392</v>
      </c>
      <c r="Q157" s="67" t="s">
        <v>393</v>
      </c>
      <c r="R157" s="67" t="s">
        <v>38</v>
      </c>
      <c r="S157" s="67" t="n">
        <v>47</v>
      </c>
    </row>
    <row r="158" customFormat="false" ht="18" hidden="true" customHeight="true" outlineLevel="0" collapsed="false">
      <c r="O158" s="67" t="s">
        <v>394</v>
      </c>
      <c r="P158" s="67" t="s">
        <v>395</v>
      </c>
      <c r="Q158" s="67" t="s">
        <v>396</v>
      </c>
      <c r="R158" s="67" t="s">
        <v>42</v>
      </c>
      <c r="S158" s="67" t="n">
        <v>65</v>
      </c>
    </row>
    <row r="159" customFormat="false" ht="18" hidden="true" customHeight="true" outlineLevel="0" collapsed="false">
      <c r="O159" s="67" t="s">
        <v>397</v>
      </c>
      <c r="P159" s="67" t="s">
        <v>398</v>
      </c>
      <c r="Q159" s="67" t="s">
        <v>397</v>
      </c>
      <c r="R159" s="67" t="s">
        <v>42</v>
      </c>
      <c r="S159" s="67" t="n">
        <v>63</v>
      </c>
    </row>
    <row r="160" customFormat="false" ht="18" hidden="true" customHeight="true" outlineLevel="0" collapsed="false">
      <c r="O160" s="67" t="s">
        <v>399</v>
      </c>
      <c r="P160" s="67" t="s">
        <v>400</v>
      </c>
      <c r="Q160" s="67" t="s">
        <v>401</v>
      </c>
      <c r="R160" s="67" t="s">
        <v>38</v>
      </c>
      <c r="S160" s="67" t="n">
        <v>46</v>
      </c>
    </row>
    <row r="161" customFormat="false" ht="18" hidden="true" customHeight="true" outlineLevel="0" collapsed="false">
      <c r="O161" s="67" t="s">
        <v>402</v>
      </c>
      <c r="P161" s="67" t="s">
        <v>403</v>
      </c>
      <c r="Q161" s="67" t="s">
        <v>404</v>
      </c>
      <c r="R161" s="67" t="s">
        <v>42</v>
      </c>
      <c r="S161" s="67" t="n">
        <v>71</v>
      </c>
    </row>
    <row r="162" customFormat="false" ht="18" hidden="true" customHeight="true" outlineLevel="0" collapsed="false">
      <c r="O162" s="67" t="s">
        <v>405</v>
      </c>
      <c r="P162" s="67" t="s">
        <v>406</v>
      </c>
      <c r="Q162" s="67" t="s">
        <v>407</v>
      </c>
      <c r="R162" s="67" t="s">
        <v>38</v>
      </c>
      <c r="S162" s="67" t="n">
        <v>52</v>
      </c>
    </row>
    <row r="163" customFormat="false" ht="18" hidden="true" customHeight="true" outlineLevel="0" collapsed="false">
      <c r="O163" s="67" t="s">
        <v>408</v>
      </c>
      <c r="P163" s="67" t="s">
        <v>409</v>
      </c>
      <c r="Q163" s="67" t="s">
        <v>410</v>
      </c>
      <c r="R163" s="67" t="s">
        <v>42</v>
      </c>
      <c r="S163" s="67" t="n">
        <v>64</v>
      </c>
    </row>
    <row r="164" customFormat="false" ht="18" hidden="true" customHeight="true" outlineLevel="0" collapsed="false">
      <c r="O164" s="67" t="s">
        <v>411</v>
      </c>
      <c r="P164" s="67" t="s">
        <v>412</v>
      </c>
      <c r="Q164" s="67" t="s">
        <v>413</v>
      </c>
      <c r="R164" s="67" t="s">
        <v>35</v>
      </c>
      <c r="S164" s="67" t="n">
        <v>100</v>
      </c>
    </row>
    <row r="165" customFormat="false" ht="18" hidden="true" customHeight="true" outlineLevel="0" collapsed="false">
      <c r="O165" s="67" t="s">
        <v>414</v>
      </c>
      <c r="P165" s="67" t="s">
        <v>415</v>
      </c>
      <c r="Q165" s="67" t="s">
        <v>416</v>
      </c>
      <c r="R165" s="67" t="s">
        <v>60</v>
      </c>
      <c r="S165" s="67" t="n">
        <v>30</v>
      </c>
    </row>
    <row r="166" customFormat="false" ht="18" hidden="true" customHeight="true" outlineLevel="0" collapsed="false">
      <c r="O166" s="67" t="s">
        <v>417</v>
      </c>
      <c r="P166" s="67" t="s">
        <v>418</v>
      </c>
      <c r="Q166" s="67" t="s">
        <v>419</v>
      </c>
      <c r="R166" s="67" t="s">
        <v>38</v>
      </c>
      <c r="S166" s="67" t="n">
        <v>40</v>
      </c>
    </row>
    <row r="167" customFormat="false" ht="18" hidden="true" customHeight="true" outlineLevel="0" collapsed="false">
      <c r="O167" s="67" t="s">
        <v>420</v>
      </c>
      <c r="P167" s="67" t="s">
        <v>421</v>
      </c>
      <c r="Q167" s="67" t="s">
        <v>422</v>
      </c>
      <c r="R167" s="67" t="s">
        <v>60</v>
      </c>
      <c r="S167" s="67" t="n">
        <v>30</v>
      </c>
    </row>
    <row r="168" customFormat="false" ht="18" hidden="true" customHeight="true" outlineLevel="0" collapsed="false">
      <c r="O168" s="67" t="s">
        <v>423</v>
      </c>
      <c r="P168" s="67" t="s">
        <v>424</v>
      </c>
      <c r="Q168" s="67" t="s">
        <v>425</v>
      </c>
      <c r="R168" s="67" t="s">
        <v>38</v>
      </c>
      <c r="S168" s="67" t="n">
        <v>47</v>
      </c>
    </row>
    <row r="169" customFormat="false" ht="18" hidden="true" customHeight="true" outlineLevel="0" collapsed="false">
      <c r="O169" s="67" t="s">
        <v>426</v>
      </c>
      <c r="P169" s="67" t="s">
        <v>427</v>
      </c>
      <c r="Q169" s="67" t="s">
        <v>428</v>
      </c>
      <c r="R169" s="67" t="s">
        <v>38</v>
      </c>
      <c r="S169" s="67" t="n">
        <v>53</v>
      </c>
    </row>
    <row r="170" customFormat="false" ht="18" hidden="true" customHeight="true" outlineLevel="0" collapsed="false">
      <c r="O170" s="67" t="s">
        <v>429</v>
      </c>
      <c r="P170" s="67" t="s">
        <v>430</v>
      </c>
      <c r="Q170" s="67" t="s">
        <v>431</v>
      </c>
      <c r="R170" s="67" t="s">
        <v>38</v>
      </c>
      <c r="S170" s="67" t="n">
        <v>50</v>
      </c>
    </row>
    <row r="171" customFormat="false" ht="18" hidden="true" customHeight="true" outlineLevel="0" collapsed="false">
      <c r="O171" s="67" t="s">
        <v>432</v>
      </c>
      <c r="P171" s="67" t="s">
        <v>433</v>
      </c>
      <c r="Q171" s="67" t="s">
        <v>434</v>
      </c>
      <c r="R171" s="67" t="s">
        <v>42</v>
      </c>
      <c r="S171" s="67" t="n">
        <v>80</v>
      </c>
    </row>
    <row r="172" customFormat="false" ht="18" hidden="true" customHeight="true" outlineLevel="0" collapsed="false">
      <c r="O172" s="67" t="s">
        <v>435</v>
      </c>
      <c r="P172" s="67" t="s">
        <v>436</v>
      </c>
      <c r="Q172" s="67" t="s">
        <v>437</v>
      </c>
      <c r="R172" s="67" t="s">
        <v>38</v>
      </c>
      <c r="S172" s="67" t="n">
        <v>52</v>
      </c>
    </row>
    <row r="173" customFormat="false" ht="18" hidden="true" customHeight="true" outlineLevel="0" collapsed="false">
      <c r="O173" s="67" t="s">
        <v>438</v>
      </c>
      <c r="P173" s="67" t="s">
        <v>439</v>
      </c>
      <c r="Q173" s="67" t="s">
        <v>440</v>
      </c>
      <c r="R173" s="67" t="s">
        <v>38</v>
      </c>
      <c r="S173" s="67" t="n">
        <v>47</v>
      </c>
    </row>
    <row r="174" customFormat="false" ht="18" hidden="true" customHeight="true" outlineLevel="0" collapsed="false">
      <c r="O174" s="67" t="s">
        <v>441</v>
      </c>
      <c r="P174" s="67" t="s">
        <v>442</v>
      </c>
      <c r="Q174" s="67" t="s">
        <v>443</v>
      </c>
      <c r="R174" s="67" t="s">
        <v>42</v>
      </c>
      <c r="S174" s="67" t="n">
        <v>73</v>
      </c>
    </row>
    <row r="175" customFormat="false" ht="18" hidden="true" customHeight="true" outlineLevel="0" collapsed="false">
      <c r="O175" s="67" t="s">
        <v>444</v>
      </c>
      <c r="P175" s="67" t="s">
        <v>445</v>
      </c>
      <c r="Q175" s="67" t="s">
        <v>446</v>
      </c>
      <c r="R175" s="67" t="s">
        <v>38</v>
      </c>
      <c r="S175" s="67" t="n">
        <v>42</v>
      </c>
    </row>
    <row r="176" customFormat="false" ht="18" hidden="true" customHeight="true" outlineLevel="0" collapsed="false">
      <c r="O176" s="67" t="s">
        <v>447</v>
      </c>
      <c r="P176" s="67" t="s">
        <v>448</v>
      </c>
      <c r="Q176" s="67" t="s">
        <v>449</v>
      </c>
      <c r="R176" s="67" t="s">
        <v>38</v>
      </c>
      <c r="S176" s="67" t="n">
        <v>50</v>
      </c>
    </row>
    <row r="177" customFormat="false" ht="18" hidden="true" customHeight="true" outlineLevel="0" collapsed="false">
      <c r="O177" s="67" t="s">
        <v>450</v>
      </c>
      <c r="P177" s="67" t="s">
        <v>451</v>
      </c>
      <c r="Q177" s="67" t="s">
        <v>452</v>
      </c>
      <c r="R177" s="67" t="s">
        <v>38</v>
      </c>
      <c r="S177" s="67" t="n">
        <v>38</v>
      </c>
    </row>
    <row r="178" customFormat="false" ht="18" hidden="true" customHeight="true" outlineLevel="0" collapsed="false">
      <c r="O178" s="67" t="s">
        <v>453</v>
      </c>
      <c r="P178" s="67" t="s">
        <v>454</v>
      </c>
      <c r="Q178" s="67" t="s">
        <v>455</v>
      </c>
      <c r="R178" s="67" t="s">
        <v>42</v>
      </c>
      <c r="S178" s="67" t="n">
        <v>68</v>
      </c>
    </row>
    <row r="179" customFormat="false" ht="18" hidden="true" customHeight="true" outlineLevel="0" collapsed="false">
      <c r="O179" s="67" t="s">
        <v>456</v>
      </c>
      <c r="P179" s="67" t="s">
        <v>457</v>
      </c>
      <c r="Q179" s="67" t="s">
        <v>458</v>
      </c>
      <c r="R179" s="67" t="s">
        <v>42</v>
      </c>
      <c r="S179" s="67" t="n">
        <v>80</v>
      </c>
    </row>
    <row r="180" customFormat="false" ht="18" hidden="true" customHeight="true" outlineLevel="0" collapsed="false">
      <c r="O180" s="67" t="s">
        <v>459</v>
      </c>
      <c r="P180" s="67" t="s">
        <v>460</v>
      </c>
      <c r="Q180" s="67" t="s">
        <v>461</v>
      </c>
      <c r="R180" s="67" t="s">
        <v>60</v>
      </c>
      <c r="S180" s="67" t="n">
        <v>30</v>
      </c>
    </row>
    <row r="181" customFormat="false" ht="18" hidden="true" customHeight="true" outlineLevel="0" collapsed="false">
      <c r="O181" s="67" t="s">
        <v>462</v>
      </c>
      <c r="P181" s="67" t="s">
        <v>463</v>
      </c>
      <c r="Q181" s="67" t="s">
        <v>464</v>
      </c>
      <c r="R181" s="67" t="s">
        <v>42</v>
      </c>
      <c r="S181" s="67" t="n">
        <v>68</v>
      </c>
    </row>
    <row r="182" customFormat="false" ht="18" hidden="true" customHeight="true" outlineLevel="0" collapsed="false">
      <c r="O182" s="67" t="s">
        <v>465</v>
      </c>
      <c r="P182" s="67" t="s">
        <v>466</v>
      </c>
      <c r="Q182" s="67" t="s">
        <v>467</v>
      </c>
      <c r="R182" s="67" t="s">
        <v>38</v>
      </c>
      <c r="S182" s="67" t="n">
        <v>39</v>
      </c>
    </row>
    <row r="183" customFormat="false" ht="18" hidden="true" customHeight="true" outlineLevel="0" collapsed="false">
      <c r="O183" s="67" t="s">
        <v>468</v>
      </c>
      <c r="P183" s="67" t="s">
        <v>469</v>
      </c>
      <c r="Q183" s="67" t="s">
        <v>470</v>
      </c>
      <c r="R183" s="67" t="s">
        <v>38</v>
      </c>
      <c r="S183" s="67" t="n">
        <v>60</v>
      </c>
    </row>
    <row r="184" customFormat="false" ht="18" hidden="true" customHeight="true" outlineLevel="0" collapsed="false">
      <c r="O184" s="67" t="s">
        <v>471</v>
      </c>
      <c r="P184" s="67" t="s">
        <v>472</v>
      </c>
      <c r="Q184" s="67" t="s">
        <v>473</v>
      </c>
      <c r="R184" s="67" t="s">
        <v>38</v>
      </c>
      <c r="S184" s="67" t="n">
        <v>40</v>
      </c>
    </row>
    <row r="185" customFormat="false" ht="18" hidden="true" customHeight="true" outlineLevel="0" collapsed="false">
      <c r="O185" s="67" t="s">
        <v>474</v>
      </c>
      <c r="P185" s="67" t="s">
        <v>475</v>
      </c>
      <c r="Q185" s="67" t="s">
        <v>476</v>
      </c>
      <c r="R185" s="67" t="s">
        <v>38</v>
      </c>
      <c r="S185" s="67" t="n">
        <v>53</v>
      </c>
    </row>
    <row r="186" customFormat="false" ht="18" hidden="true" customHeight="true" outlineLevel="0" collapsed="false">
      <c r="O186" s="67" t="s">
        <v>477</v>
      </c>
      <c r="P186" s="67" t="s">
        <v>478</v>
      </c>
      <c r="Q186" s="67" t="s">
        <v>479</v>
      </c>
      <c r="R186" s="67" t="s">
        <v>38</v>
      </c>
      <c r="S186" s="67" t="n">
        <v>41</v>
      </c>
    </row>
    <row r="187" customFormat="false" ht="18" hidden="true" customHeight="true" outlineLevel="0" collapsed="false">
      <c r="O187" s="67" t="s">
        <v>480</v>
      </c>
      <c r="P187" s="67" t="s">
        <v>481</v>
      </c>
      <c r="Q187" s="67" t="s">
        <v>482</v>
      </c>
      <c r="R187" s="67" t="s">
        <v>38</v>
      </c>
      <c r="S187" s="67" t="n">
        <v>60</v>
      </c>
    </row>
    <row r="188" customFormat="false" ht="18" hidden="true" customHeight="true" outlineLevel="0" collapsed="false">
      <c r="O188" s="67" t="s">
        <v>483</v>
      </c>
      <c r="P188" s="67" t="s">
        <v>484</v>
      </c>
      <c r="Q188" s="67" t="s">
        <v>485</v>
      </c>
      <c r="R188" s="67" t="s">
        <v>42</v>
      </c>
      <c r="S188" s="67" t="n">
        <v>80</v>
      </c>
    </row>
    <row r="189" customFormat="false" ht="18" hidden="true" customHeight="true" outlineLevel="0" collapsed="false">
      <c r="O189" s="67" t="s">
        <v>486</v>
      </c>
      <c r="P189" s="67" t="s">
        <v>487</v>
      </c>
      <c r="Q189" s="67" t="s">
        <v>488</v>
      </c>
      <c r="R189" s="67" t="s">
        <v>42</v>
      </c>
      <c r="S189" s="67" t="n">
        <v>61</v>
      </c>
    </row>
    <row r="190" customFormat="false" ht="18" hidden="true" customHeight="true" outlineLevel="0" collapsed="false">
      <c r="O190" s="67" t="s">
        <v>489</v>
      </c>
      <c r="P190" s="67" t="s">
        <v>490</v>
      </c>
      <c r="Q190" s="67" t="s">
        <v>491</v>
      </c>
      <c r="R190" s="67" t="s">
        <v>42</v>
      </c>
      <c r="S190" s="67" t="n">
        <v>80</v>
      </c>
    </row>
    <row r="191" customFormat="false" ht="18" hidden="true" customHeight="true" outlineLevel="0" collapsed="false">
      <c r="O191" s="67" t="s">
        <v>492</v>
      </c>
      <c r="P191" s="67" t="s">
        <v>493</v>
      </c>
      <c r="Q191" s="67" t="s">
        <v>494</v>
      </c>
      <c r="R191" s="67" t="s">
        <v>60</v>
      </c>
      <c r="S191" s="67" t="n">
        <v>30</v>
      </c>
    </row>
    <row r="192" customFormat="false" ht="18" hidden="true" customHeight="true" outlineLevel="0" collapsed="false">
      <c r="O192" s="67" t="s">
        <v>495</v>
      </c>
      <c r="P192" s="67" t="s">
        <v>496</v>
      </c>
      <c r="Q192" s="67" t="s">
        <v>497</v>
      </c>
      <c r="R192" s="67" t="s">
        <v>38</v>
      </c>
      <c r="S192" s="67" t="n">
        <v>48</v>
      </c>
    </row>
    <row r="193" customFormat="false" ht="18" hidden="true" customHeight="true" outlineLevel="0" collapsed="false">
      <c r="O193" s="67" t="s">
        <v>498</v>
      </c>
      <c r="P193" s="67" t="s">
        <v>499</v>
      </c>
      <c r="Q193" s="67" t="s">
        <v>500</v>
      </c>
      <c r="R193" s="67" t="s">
        <v>38</v>
      </c>
      <c r="S193" s="67" t="n">
        <v>47</v>
      </c>
    </row>
    <row r="194" customFormat="false" ht="18" hidden="true" customHeight="true" outlineLevel="0" collapsed="false">
      <c r="O194" s="67" t="s">
        <v>501</v>
      </c>
      <c r="P194" s="67" t="s">
        <v>502</v>
      </c>
      <c r="Q194" s="67" t="s">
        <v>503</v>
      </c>
      <c r="R194" s="67" t="s">
        <v>38</v>
      </c>
      <c r="S194" s="67" t="n">
        <v>54</v>
      </c>
    </row>
    <row r="195" customFormat="false" ht="18" hidden="true" customHeight="true" outlineLevel="0" collapsed="false">
      <c r="O195" s="67" t="s">
        <v>504</v>
      </c>
      <c r="P195" s="67" t="s">
        <v>505</v>
      </c>
      <c r="Q195" s="67" t="s">
        <v>506</v>
      </c>
      <c r="R195" s="67" t="s">
        <v>60</v>
      </c>
      <c r="S195" s="67" t="n">
        <v>29</v>
      </c>
    </row>
    <row r="196" customFormat="false" ht="18" hidden="true" customHeight="true" outlineLevel="0" collapsed="false">
      <c r="O196" s="67" t="s">
        <v>507</v>
      </c>
      <c r="P196" s="67" t="s">
        <v>508</v>
      </c>
      <c r="Q196" s="67"/>
      <c r="R196" s="67"/>
      <c r="S196" s="67" t="n">
        <v>100</v>
      </c>
    </row>
    <row r="197" customFormat="false" ht="18" hidden="true" customHeight="true" outlineLevel="0" collapsed="false">
      <c r="O197" s="67" t="s">
        <v>509</v>
      </c>
      <c r="P197" s="67" t="s">
        <v>510</v>
      </c>
      <c r="Q197" s="67" t="s">
        <v>511</v>
      </c>
      <c r="R197" s="67" t="s">
        <v>60</v>
      </c>
      <c r="S197" s="67" t="n">
        <v>29</v>
      </c>
    </row>
    <row r="198" customFormat="false" ht="18" hidden="true" customHeight="true" outlineLevel="0" collapsed="false">
      <c r="O198" s="67" t="s">
        <v>512</v>
      </c>
      <c r="P198" s="67" t="s">
        <v>513</v>
      </c>
      <c r="Q198" s="67" t="s">
        <v>514</v>
      </c>
      <c r="R198" s="67" t="s">
        <v>42</v>
      </c>
      <c r="S198" s="67" t="n">
        <v>63</v>
      </c>
    </row>
    <row r="199" customFormat="false" ht="18" hidden="true" customHeight="true" outlineLevel="0" collapsed="false">
      <c r="O199" s="67" t="s">
        <v>515</v>
      </c>
      <c r="P199" s="67" t="s">
        <v>516</v>
      </c>
      <c r="Q199" s="67" t="s">
        <v>517</v>
      </c>
      <c r="R199" s="67" t="s">
        <v>42</v>
      </c>
      <c r="S199" s="67" t="n">
        <v>72</v>
      </c>
    </row>
    <row r="200" customFormat="false" ht="18" hidden="true" customHeight="true" outlineLevel="0" collapsed="false">
      <c r="O200" s="67" t="s">
        <v>518</v>
      </c>
      <c r="P200" s="67" t="s">
        <v>519</v>
      </c>
      <c r="Q200" s="67" t="s">
        <v>520</v>
      </c>
      <c r="R200" s="67" t="s">
        <v>42</v>
      </c>
      <c r="S200" s="67" t="n">
        <v>66</v>
      </c>
    </row>
    <row r="201" customFormat="false" ht="18" hidden="true" customHeight="true" outlineLevel="0" collapsed="false">
      <c r="O201" s="67" t="s">
        <v>521</v>
      </c>
      <c r="P201" s="67" t="s">
        <v>522</v>
      </c>
      <c r="Q201" s="67" t="s">
        <v>523</v>
      </c>
      <c r="R201" s="67" t="s">
        <v>38</v>
      </c>
      <c r="S201" s="67" t="n">
        <v>45</v>
      </c>
    </row>
    <row r="202" customFormat="false" ht="18" hidden="true" customHeight="true" outlineLevel="0" collapsed="false">
      <c r="O202" s="67" t="s">
        <v>524</v>
      </c>
      <c r="P202" s="67" t="s">
        <v>525</v>
      </c>
      <c r="Q202" s="67" t="s">
        <v>526</v>
      </c>
      <c r="R202" s="67" t="s">
        <v>38</v>
      </c>
      <c r="S202" s="67" t="n">
        <v>37</v>
      </c>
    </row>
    <row r="203" customFormat="false" ht="18" hidden="true" customHeight="true" outlineLevel="0" collapsed="false">
      <c r="O203" s="67" t="s">
        <v>527</v>
      </c>
      <c r="P203" s="67" t="s">
        <v>528</v>
      </c>
      <c r="Q203" s="67" t="s">
        <v>529</v>
      </c>
      <c r="R203" s="67" t="s">
        <v>60</v>
      </c>
      <c r="S203" s="67" t="n">
        <v>26</v>
      </c>
    </row>
    <row r="204" customFormat="false" ht="18" hidden="true" customHeight="true" outlineLevel="0" collapsed="false">
      <c r="O204" s="67" t="s">
        <v>530</v>
      </c>
      <c r="P204" s="67" t="s">
        <v>530</v>
      </c>
      <c r="Q204" s="67" t="s">
        <v>531</v>
      </c>
      <c r="R204" s="67" t="s">
        <v>60</v>
      </c>
      <c r="S204" s="67" t="n">
        <v>26</v>
      </c>
    </row>
    <row r="205" customFormat="false" ht="18" hidden="true" customHeight="true" outlineLevel="0" collapsed="false">
      <c r="O205" s="67" t="s">
        <v>532</v>
      </c>
      <c r="P205" s="67" t="s">
        <v>533</v>
      </c>
      <c r="Q205" s="67" t="s">
        <v>534</v>
      </c>
      <c r="R205" s="67" t="s">
        <v>38</v>
      </c>
      <c r="S205" s="67" t="n">
        <v>52</v>
      </c>
    </row>
    <row r="206" customFormat="false" ht="18" hidden="true" customHeight="true" outlineLevel="0" collapsed="false">
      <c r="O206" s="67" t="s">
        <v>535</v>
      </c>
      <c r="P206" s="67" t="s">
        <v>536</v>
      </c>
      <c r="Q206" s="67" t="s">
        <v>537</v>
      </c>
      <c r="R206" s="67" t="s">
        <v>42</v>
      </c>
      <c r="S206" s="67" t="n">
        <v>76</v>
      </c>
    </row>
    <row r="207" customFormat="false" ht="18" hidden="true" customHeight="true" outlineLevel="0" collapsed="false">
      <c r="O207" s="67" t="s">
        <v>538</v>
      </c>
      <c r="P207" s="67" t="s">
        <v>539</v>
      </c>
      <c r="Q207" s="67" t="s">
        <v>540</v>
      </c>
      <c r="R207" s="67" t="s">
        <v>38</v>
      </c>
      <c r="S207" s="67" t="n">
        <v>48</v>
      </c>
    </row>
    <row r="208" customFormat="false" ht="18" hidden="true" customHeight="true" outlineLevel="0" collapsed="false">
      <c r="O208" s="67" t="s">
        <v>541</v>
      </c>
      <c r="P208" s="67" t="s">
        <v>542</v>
      </c>
      <c r="Q208" s="67" t="s">
        <v>543</v>
      </c>
      <c r="R208" s="67" t="s">
        <v>42</v>
      </c>
      <c r="S208" s="67" t="n">
        <v>80</v>
      </c>
    </row>
    <row r="209" customFormat="false" ht="18" hidden="true" customHeight="true" outlineLevel="0" collapsed="false">
      <c r="O209" s="67" t="s">
        <v>544</v>
      </c>
      <c r="P209" s="67" t="s">
        <v>545</v>
      </c>
      <c r="Q209" s="67" t="s">
        <v>546</v>
      </c>
      <c r="R209" s="67" t="s">
        <v>38</v>
      </c>
      <c r="S209" s="67" t="n">
        <v>52</v>
      </c>
    </row>
    <row r="210" customFormat="false" ht="18" hidden="true" customHeight="true" outlineLevel="0" collapsed="false">
      <c r="O210" s="67" t="s">
        <v>547</v>
      </c>
      <c r="P210" s="67" t="s">
        <v>548</v>
      </c>
      <c r="Q210" s="67" t="s">
        <v>549</v>
      </c>
      <c r="R210" s="67" t="s">
        <v>42</v>
      </c>
      <c r="S210" s="67" t="n">
        <v>80</v>
      </c>
    </row>
    <row r="211" customFormat="false" ht="18" hidden="true" customHeight="true" outlineLevel="0" collapsed="false">
      <c r="O211" s="67" t="s">
        <v>550</v>
      </c>
      <c r="P211" s="67" t="s">
        <v>551</v>
      </c>
      <c r="Q211" s="67" t="s">
        <v>552</v>
      </c>
      <c r="R211" s="67" t="s">
        <v>38</v>
      </c>
      <c r="S211" s="67" t="n">
        <v>49</v>
      </c>
    </row>
    <row r="212" customFormat="false" ht="18" hidden="true" customHeight="true" outlineLevel="0" collapsed="false">
      <c r="O212" s="67" t="s">
        <v>553</v>
      </c>
      <c r="P212" s="67" t="s">
        <v>554</v>
      </c>
      <c r="Q212" s="67" t="s">
        <v>555</v>
      </c>
      <c r="R212" s="67" t="s">
        <v>38</v>
      </c>
      <c r="S212" s="67" t="n">
        <v>60</v>
      </c>
    </row>
    <row r="213" customFormat="false" ht="18" hidden="true" customHeight="true" outlineLevel="0" collapsed="false">
      <c r="O213" s="67" t="s">
        <v>556</v>
      </c>
      <c r="P213" s="67" t="s">
        <v>557</v>
      </c>
      <c r="Q213" s="67" t="s">
        <v>558</v>
      </c>
      <c r="R213" s="67" t="s">
        <v>60</v>
      </c>
      <c r="S213" s="67" t="n">
        <v>28</v>
      </c>
    </row>
    <row r="214" customFormat="false" ht="18" hidden="true" customHeight="true" outlineLevel="0" collapsed="false">
      <c r="O214" s="67" t="s">
        <v>559</v>
      </c>
      <c r="P214" s="67" t="s">
        <v>560</v>
      </c>
      <c r="Q214" s="67" t="s">
        <v>561</v>
      </c>
      <c r="R214" s="67" t="s">
        <v>38</v>
      </c>
      <c r="S214" s="67" t="n">
        <v>60</v>
      </c>
    </row>
    <row r="215" customFormat="false" ht="18" hidden="true" customHeight="true" outlineLevel="0" collapsed="false">
      <c r="O215" s="67" t="s">
        <v>562</v>
      </c>
      <c r="P215" s="67" t="s">
        <v>563</v>
      </c>
      <c r="Q215" s="67" t="s">
        <v>564</v>
      </c>
      <c r="R215" s="67" t="s">
        <v>60</v>
      </c>
      <c r="S215" s="67" t="n">
        <v>30</v>
      </c>
    </row>
    <row r="216" customFormat="false" ht="18" hidden="true" customHeight="true" outlineLevel="0" collapsed="false">
      <c r="O216" s="67" t="s">
        <v>565</v>
      </c>
      <c r="P216" s="67" t="s">
        <v>566</v>
      </c>
      <c r="Q216" s="67" t="s">
        <v>567</v>
      </c>
      <c r="R216" s="67" t="s">
        <v>38</v>
      </c>
      <c r="S216" s="67" t="n">
        <v>48</v>
      </c>
    </row>
    <row r="217" customFormat="false" ht="18" hidden="true" customHeight="true" outlineLevel="0" collapsed="false">
      <c r="O217" s="67" t="s">
        <v>568</v>
      </c>
      <c r="P217" s="67" t="s">
        <v>569</v>
      </c>
      <c r="Q217" s="67" t="s">
        <v>570</v>
      </c>
      <c r="R217" s="67" t="s">
        <v>38</v>
      </c>
      <c r="S217" s="67" t="n">
        <v>45</v>
      </c>
    </row>
    <row r="218" customFormat="false" ht="18" hidden="true" customHeight="true" outlineLevel="0" collapsed="false">
      <c r="O218" s="67" t="s">
        <v>571</v>
      </c>
      <c r="P218" s="67" t="s">
        <v>572</v>
      </c>
      <c r="Q218" s="67" t="s">
        <v>573</v>
      </c>
      <c r="R218" s="67" t="s">
        <v>38</v>
      </c>
      <c r="S218" s="67" t="n">
        <v>38</v>
      </c>
    </row>
    <row r="219" customFormat="false" ht="18" hidden="true" customHeight="true" outlineLevel="0" collapsed="false">
      <c r="O219" s="67" t="s">
        <v>574</v>
      </c>
      <c r="P219" s="67" t="s">
        <v>575</v>
      </c>
      <c r="Q219" s="67" t="s">
        <v>576</v>
      </c>
      <c r="R219" s="67" t="s">
        <v>38</v>
      </c>
      <c r="S219" s="67" t="n">
        <v>37</v>
      </c>
    </row>
    <row r="220" customFormat="false" ht="18" hidden="true" customHeight="true" outlineLevel="0" collapsed="false">
      <c r="O220" s="67" t="s">
        <v>577</v>
      </c>
      <c r="P220" s="67" t="s">
        <v>578</v>
      </c>
      <c r="Q220" s="67" t="s">
        <v>579</v>
      </c>
      <c r="R220" s="67" t="s">
        <v>42</v>
      </c>
      <c r="S220" s="67" t="n">
        <v>80</v>
      </c>
    </row>
    <row r="221" customFormat="false" ht="18" hidden="true" customHeight="true" outlineLevel="0" collapsed="false">
      <c r="O221" s="67" t="s">
        <v>580</v>
      </c>
      <c r="P221" s="67" t="s">
        <v>581</v>
      </c>
      <c r="Q221" s="67" t="s">
        <v>582</v>
      </c>
      <c r="R221" s="67" t="s">
        <v>38</v>
      </c>
      <c r="S221" s="67" t="n">
        <v>42</v>
      </c>
    </row>
    <row r="222" customFormat="false" ht="18" hidden="true" customHeight="true" outlineLevel="0" collapsed="false">
      <c r="O222" s="67" t="s">
        <v>583</v>
      </c>
      <c r="P222" s="67" t="s">
        <v>584</v>
      </c>
      <c r="Q222" s="67" t="s">
        <v>585</v>
      </c>
      <c r="R222" s="67" t="s">
        <v>38</v>
      </c>
      <c r="S222" s="67" t="n">
        <v>47</v>
      </c>
    </row>
    <row r="223" customFormat="false" ht="18" hidden="true" customHeight="true" outlineLevel="0" collapsed="false">
      <c r="O223" s="67" t="s">
        <v>586</v>
      </c>
      <c r="P223" s="67" t="s">
        <v>587</v>
      </c>
      <c r="Q223" s="67"/>
      <c r="R223" s="67" t="s">
        <v>38</v>
      </c>
      <c r="S223" s="67" t="n">
        <v>38</v>
      </c>
    </row>
    <row r="224" customFormat="false" ht="18" hidden="true" customHeight="true" outlineLevel="0" collapsed="false">
      <c r="O224" s="67" t="s">
        <v>588</v>
      </c>
      <c r="P224" s="67" t="s">
        <v>589</v>
      </c>
      <c r="Q224" s="67" t="s">
        <v>590</v>
      </c>
      <c r="R224" s="67" t="s">
        <v>38</v>
      </c>
      <c r="S224" s="67" t="n">
        <v>46</v>
      </c>
    </row>
    <row r="225" customFormat="false" ht="18" hidden="true" customHeight="true" outlineLevel="0" collapsed="false">
      <c r="O225" s="67" t="s">
        <v>591</v>
      </c>
      <c r="P225" s="67" t="s">
        <v>592</v>
      </c>
      <c r="Q225" s="67" t="s">
        <v>593</v>
      </c>
      <c r="R225" s="67" t="s">
        <v>38</v>
      </c>
      <c r="S225" s="67" t="n">
        <v>44</v>
      </c>
    </row>
    <row r="226" customFormat="false" ht="18" hidden="true" customHeight="true" outlineLevel="0" collapsed="false">
      <c r="O226" s="67" t="s">
        <v>594</v>
      </c>
      <c r="P226" s="67" t="s">
        <v>595</v>
      </c>
      <c r="Q226" s="67" t="s">
        <v>596</v>
      </c>
      <c r="R226" s="67" t="s">
        <v>38</v>
      </c>
      <c r="S226" s="67" t="n">
        <v>44</v>
      </c>
    </row>
    <row r="227" customFormat="false" ht="18" hidden="true" customHeight="true" outlineLevel="0" collapsed="false">
      <c r="O227" s="67" t="s">
        <v>597</v>
      </c>
      <c r="P227" s="67" t="s">
        <v>598</v>
      </c>
      <c r="Q227" s="67" t="s">
        <v>599</v>
      </c>
      <c r="R227" s="67" t="s">
        <v>38</v>
      </c>
      <c r="S227" s="67" t="n">
        <v>47</v>
      </c>
    </row>
    <row r="228" customFormat="false" ht="18" hidden="true" customHeight="true" outlineLevel="0" collapsed="false">
      <c r="O228" s="67" t="s">
        <v>600</v>
      </c>
      <c r="P228" s="67" t="s">
        <v>601</v>
      </c>
      <c r="Q228" s="67" t="s">
        <v>602</v>
      </c>
      <c r="R228" s="67" t="s">
        <v>38</v>
      </c>
      <c r="S228" s="67" t="n">
        <v>54</v>
      </c>
    </row>
    <row r="229" customFormat="false" ht="18" hidden="true" customHeight="true" outlineLevel="0" collapsed="false">
      <c r="O229" s="67" t="s">
        <v>603</v>
      </c>
      <c r="P229" s="67" t="s">
        <v>604</v>
      </c>
      <c r="Q229" s="67" t="s">
        <v>605</v>
      </c>
      <c r="R229" s="67" t="s">
        <v>38</v>
      </c>
      <c r="S229" s="67" t="n">
        <v>52</v>
      </c>
    </row>
    <row r="230" customFormat="false" ht="18" hidden="true" customHeight="true" outlineLevel="0" collapsed="false">
      <c r="O230" s="67" t="s">
        <v>606</v>
      </c>
      <c r="P230" s="67" t="s">
        <v>607</v>
      </c>
      <c r="Q230" s="67" t="s">
        <v>608</v>
      </c>
      <c r="R230" s="67" t="s">
        <v>35</v>
      </c>
      <c r="S230" s="67" t="n">
        <v>100</v>
      </c>
    </row>
    <row r="231" customFormat="false" ht="18" hidden="true" customHeight="true" outlineLevel="0" collapsed="false">
      <c r="O231" s="67" t="s">
        <v>609</v>
      </c>
      <c r="P231" s="67" t="s">
        <v>610</v>
      </c>
      <c r="Q231" s="67" t="s">
        <v>611</v>
      </c>
      <c r="R231" s="67" t="s">
        <v>38</v>
      </c>
      <c r="S231" s="67" t="n">
        <v>52</v>
      </c>
    </row>
    <row r="232" customFormat="false" ht="18" hidden="true" customHeight="true" outlineLevel="0" collapsed="false">
      <c r="O232" s="67" t="s">
        <v>612</v>
      </c>
      <c r="P232" s="67" t="s">
        <v>613</v>
      </c>
      <c r="Q232" s="67" t="s">
        <v>614</v>
      </c>
      <c r="R232" s="67" t="s">
        <v>42</v>
      </c>
      <c r="S232" s="67" t="n">
        <v>64</v>
      </c>
    </row>
    <row r="233" customFormat="false" ht="18" hidden="true" customHeight="true" outlineLevel="0" collapsed="false">
      <c r="O233" s="67" t="s">
        <v>615</v>
      </c>
      <c r="P233" s="67" t="s">
        <v>616</v>
      </c>
      <c r="Q233" s="67" t="s">
        <v>617</v>
      </c>
      <c r="R233" s="67" t="s">
        <v>60</v>
      </c>
      <c r="S233" s="67" t="n">
        <v>26</v>
      </c>
    </row>
    <row r="234" customFormat="false" ht="18" hidden="true" customHeight="true" outlineLevel="0" collapsed="false">
      <c r="O234" s="67" t="s">
        <v>618</v>
      </c>
      <c r="P234" s="67" t="s">
        <v>619</v>
      </c>
      <c r="Q234" s="67" t="s">
        <v>620</v>
      </c>
      <c r="R234" s="67" t="s">
        <v>38</v>
      </c>
      <c r="S234" s="67" t="n">
        <v>45</v>
      </c>
    </row>
    <row r="235" customFormat="false" ht="18" hidden="true" customHeight="true" outlineLevel="0" collapsed="false">
      <c r="O235" s="67" t="s">
        <v>621</v>
      </c>
      <c r="P235" s="67" t="s">
        <v>622</v>
      </c>
      <c r="Q235" s="67" t="s">
        <v>623</v>
      </c>
      <c r="R235" s="67" t="s">
        <v>38</v>
      </c>
      <c r="S235" s="67" t="n">
        <v>39</v>
      </c>
    </row>
    <row r="236" customFormat="false" ht="18" hidden="true" customHeight="true" outlineLevel="0" collapsed="false">
      <c r="O236" s="67" t="s">
        <v>624</v>
      </c>
      <c r="P236" s="67" t="s">
        <v>625</v>
      </c>
      <c r="Q236" s="67" t="s">
        <v>626</v>
      </c>
      <c r="R236" s="67" t="s">
        <v>38</v>
      </c>
      <c r="S236" s="67" t="n">
        <v>43</v>
      </c>
    </row>
    <row r="237" customFormat="false" ht="18" hidden="true" customHeight="true" outlineLevel="0" collapsed="false">
      <c r="O237" s="67" t="s">
        <v>627</v>
      </c>
      <c r="P237" s="67" t="s">
        <v>628</v>
      </c>
      <c r="Q237" s="67" t="s">
        <v>629</v>
      </c>
      <c r="R237" s="67" t="s">
        <v>42</v>
      </c>
      <c r="S237" s="67" t="n">
        <v>80</v>
      </c>
    </row>
    <row r="238" customFormat="false" ht="18" hidden="true" customHeight="true" outlineLevel="0" collapsed="false">
      <c r="O238" s="67" t="s">
        <v>630</v>
      </c>
      <c r="P238" s="67" t="s">
        <v>631</v>
      </c>
      <c r="Q238" s="67" t="s">
        <v>632</v>
      </c>
      <c r="R238" s="67" t="s">
        <v>35</v>
      </c>
      <c r="S238" s="67" t="n">
        <v>100</v>
      </c>
    </row>
    <row r="239" customFormat="false" ht="18" hidden="true" customHeight="true" outlineLevel="0" collapsed="false">
      <c r="O239" s="67" t="s">
        <v>633</v>
      </c>
      <c r="P239" s="67" t="s">
        <v>634</v>
      </c>
      <c r="Q239" s="67" t="s">
        <v>635</v>
      </c>
      <c r="R239" s="67" t="s">
        <v>42</v>
      </c>
      <c r="S239" s="67" t="n">
        <v>63</v>
      </c>
    </row>
    <row r="240" customFormat="false" ht="18" hidden="true" customHeight="true" outlineLevel="0" collapsed="false">
      <c r="O240" s="67" t="s">
        <v>636</v>
      </c>
      <c r="P240" s="67" t="s">
        <v>637</v>
      </c>
      <c r="Q240" s="67" t="s">
        <v>638</v>
      </c>
      <c r="R240" s="67" t="s">
        <v>35</v>
      </c>
      <c r="S240" s="67" t="n">
        <v>100</v>
      </c>
    </row>
    <row r="241" customFormat="false" ht="18" hidden="true" customHeight="true" outlineLevel="0" collapsed="false">
      <c r="O241" s="67" t="s">
        <v>639</v>
      </c>
      <c r="P241" s="67" t="s">
        <v>640</v>
      </c>
      <c r="Q241" s="67" t="s">
        <v>641</v>
      </c>
      <c r="R241" s="67" t="s">
        <v>38</v>
      </c>
      <c r="S241" s="67" t="n">
        <v>60</v>
      </c>
    </row>
    <row r="242" customFormat="false" ht="18" hidden="true" customHeight="true" outlineLevel="0" collapsed="false">
      <c r="O242" s="67" t="s">
        <v>642</v>
      </c>
      <c r="P242" s="67" t="s">
        <v>643</v>
      </c>
      <c r="Q242" s="67" t="s">
        <v>644</v>
      </c>
      <c r="R242" s="67" t="s">
        <v>42</v>
      </c>
      <c r="S242" s="67" t="n">
        <v>80</v>
      </c>
    </row>
    <row r="243" customFormat="false" ht="18" hidden="true" customHeight="true" outlineLevel="0" collapsed="false">
      <c r="O243" s="67" t="s">
        <v>645</v>
      </c>
      <c r="P243" s="67" t="s">
        <v>646</v>
      </c>
      <c r="Q243" s="67" t="s">
        <v>647</v>
      </c>
      <c r="R243" s="67" t="s">
        <v>60</v>
      </c>
      <c r="S243" s="67" t="n">
        <v>30</v>
      </c>
    </row>
    <row r="244" customFormat="false" ht="18" hidden="true" customHeight="true" outlineLevel="0" collapsed="false">
      <c r="O244" s="67" t="s">
        <v>648</v>
      </c>
      <c r="P244" s="67" t="s">
        <v>649</v>
      </c>
      <c r="Q244" s="67" t="s">
        <v>650</v>
      </c>
      <c r="R244" s="67" t="s">
        <v>38</v>
      </c>
      <c r="S244" s="67" t="n">
        <v>44</v>
      </c>
    </row>
    <row r="245" customFormat="false" ht="18" hidden="true" customHeight="true" outlineLevel="0" collapsed="false">
      <c r="O245" s="67" t="s">
        <v>651</v>
      </c>
      <c r="P245" s="67" t="s">
        <v>652</v>
      </c>
      <c r="Q245" s="67" t="s">
        <v>653</v>
      </c>
      <c r="R245" s="67" t="s">
        <v>38</v>
      </c>
      <c r="S245" s="67" t="n">
        <v>44</v>
      </c>
    </row>
    <row r="246" customFormat="false" ht="18" hidden="true" customHeight="true" outlineLevel="0" collapsed="false">
      <c r="O246" s="67" t="s">
        <v>654</v>
      </c>
      <c r="P246" s="67" t="s">
        <v>655</v>
      </c>
      <c r="Q246" s="67" t="s">
        <v>656</v>
      </c>
      <c r="R246" s="67" t="s">
        <v>38</v>
      </c>
      <c r="S246" s="67" t="n">
        <v>42</v>
      </c>
    </row>
    <row r="247" customFormat="false" ht="18" hidden="true" customHeight="true" outlineLevel="0" collapsed="false">
      <c r="O247" s="67" t="s">
        <v>657</v>
      </c>
      <c r="P247" s="67" t="s">
        <v>658</v>
      </c>
      <c r="Q247" s="67" t="s">
        <v>659</v>
      </c>
      <c r="R247" s="67" t="s">
        <v>38</v>
      </c>
      <c r="S247" s="67" t="n">
        <v>45</v>
      </c>
    </row>
    <row r="248" customFormat="false" ht="18" hidden="true" customHeight="true" outlineLevel="0" collapsed="false">
      <c r="O248" s="67" t="s">
        <v>660</v>
      </c>
      <c r="P248" s="67" t="s">
        <v>661</v>
      </c>
      <c r="Q248" s="67" t="s">
        <v>662</v>
      </c>
      <c r="R248" s="67" t="s">
        <v>42</v>
      </c>
      <c r="S248" s="67" t="n">
        <v>74</v>
      </c>
    </row>
    <row r="249" customFormat="false" ht="18" hidden="true" customHeight="true" outlineLevel="0" collapsed="false">
      <c r="O249" s="67" t="s">
        <v>663</v>
      </c>
      <c r="P249" s="67" t="s">
        <v>664</v>
      </c>
      <c r="Q249" s="67" t="s">
        <v>665</v>
      </c>
      <c r="R249" s="67" t="s">
        <v>35</v>
      </c>
      <c r="S249" s="67" t="n">
        <v>100</v>
      </c>
    </row>
    <row r="250" customFormat="false" ht="18" hidden="true" customHeight="true" outlineLevel="0" collapsed="false">
      <c r="O250" s="67" t="s">
        <v>666</v>
      </c>
      <c r="P250" s="67" t="s">
        <v>667</v>
      </c>
      <c r="Q250" s="67" t="s">
        <v>668</v>
      </c>
      <c r="R250" s="67" t="s">
        <v>38</v>
      </c>
      <c r="S250" s="67" t="n">
        <v>53</v>
      </c>
    </row>
    <row r="251" customFormat="false" ht="18" hidden="true" customHeight="true" outlineLevel="0" collapsed="false">
      <c r="O251" s="67" t="s">
        <v>669</v>
      </c>
      <c r="P251" s="67" t="s">
        <v>670</v>
      </c>
      <c r="Q251" s="67" t="s">
        <v>671</v>
      </c>
      <c r="R251" s="67" t="s">
        <v>38</v>
      </c>
      <c r="S251" s="67" t="n">
        <v>41</v>
      </c>
    </row>
    <row r="252" customFormat="false" ht="18" hidden="true" customHeight="true" outlineLevel="0" collapsed="false">
      <c r="O252" s="67" t="s">
        <v>672</v>
      </c>
      <c r="P252" s="67" t="s">
        <v>673</v>
      </c>
      <c r="Q252" s="67" t="s">
        <v>674</v>
      </c>
      <c r="R252" s="67" t="s">
        <v>38</v>
      </c>
      <c r="S252" s="67" t="n">
        <v>47</v>
      </c>
    </row>
    <row r="253" customFormat="false" ht="18" hidden="true" customHeight="true" outlineLevel="0" collapsed="false">
      <c r="O253" s="67" t="s">
        <v>675</v>
      </c>
      <c r="P253" s="67" t="s">
        <v>676</v>
      </c>
      <c r="Q253" s="67" t="s">
        <v>677</v>
      </c>
      <c r="R253" s="67" t="s">
        <v>60</v>
      </c>
      <c r="S253" s="67" t="n">
        <v>29</v>
      </c>
    </row>
    <row r="254" customFormat="false" ht="18" hidden="true" customHeight="true" outlineLevel="0" collapsed="false">
      <c r="O254" s="67" t="s">
        <v>678</v>
      </c>
      <c r="P254" s="67" t="s">
        <v>679</v>
      </c>
      <c r="Q254" s="67" t="s">
        <v>680</v>
      </c>
      <c r="R254" s="67" t="s">
        <v>60</v>
      </c>
      <c r="S254" s="67" t="n">
        <v>30</v>
      </c>
    </row>
    <row r="255" customFormat="false" ht="18" hidden="true" customHeight="true" outlineLevel="0" collapsed="false">
      <c r="O255" s="67" t="s">
        <v>681</v>
      </c>
      <c r="P255" s="67" t="s">
        <v>682</v>
      </c>
      <c r="Q255" s="67" t="s">
        <v>683</v>
      </c>
      <c r="R255" s="67" t="s">
        <v>35</v>
      </c>
      <c r="S255" s="67" t="n">
        <v>100</v>
      </c>
    </row>
    <row r="256" customFormat="false" ht="18" hidden="true" customHeight="true" outlineLevel="0" collapsed="false">
      <c r="O256" s="67" t="s">
        <v>684</v>
      </c>
      <c r="P256" s="67" t="s">
        <v>685</v>
      </c>
      <c r="Q256" s="67" t="s">
        <v>686</v>
      </c>
      <c r="R256" s="67" t="s">
        <v>38</v>
      </c>
      <c r="S256" s="67" t="n">
        <v>46</v>
      </c>
    </row>
    <row r="257" customFormat="false" ht="18" hidden="true" customHeight="true" outlineLevel="0" collapsed="false">
      <c r="O257" s="67" t="s">
        <v>687</v>
      </c>
      <c r="P257" s="67" t="s">
        <v>688</v>
      </c>
      <c r="Q257" s="67" t="s">
        <v>689</v>
      </c>
      <c r="R257" s="67" t="s">
        <v>42</v>
      </c>
      <c r="S257" s="67" t="n">
        <v>65</v>
      </c>
    </row>
    <row r="258" customFormat="false" ht="18" hidden="true" customHeight="true" outlineLevel="0" collapsed="false">
      <c r="O258" s="67" t="s">
        <v>690</v>
      </c>
      <c r="P258" s="67" t="s">
        <v>691</v>
      </c>
      <c r="Q258" s="67" t="s">
        <v>692</v>
      </c>
      <c r="R258" s="67" t="s">
        <v>38</v>
      </c>
      <c r="S258" s="67" t="n">
        <v>54</v>
      </c>
    </row>
    <row r="259" customFormat="false" ht="18" hidden="true" customHeight="true" outlineLevel="0" collapsed="false">
      <c r="O259" s="67" t="s">
        <v>693</v>
      </c>
      <c r="P259" s="67" t="s">
        <v>694</v>
      </c>
      <c r="Q259" s="67" t="s">
        <v>695</v>
      </c>
      <c r="R259" s="67" t="s">
        <v>38</v>
      </c>
      <c r="S259" s="67" t="n">
        <v>49</v>
      </c>
    </row>
    <row r="260" customFormat="false" ht="18" hidden="true" customHeight="true" outlineLevel="0" collapsed="false">
      <c r="O260" s="67" t="s">
        <v>696</v>
      </c>
      <c r="P260" s="67" t="s">
        <v>697</v>
      </c>
      <c r="Q260" s="67" t="s">
        <v>698</v>
      </c>
      <c r="R260" s="67" t="s">
        <v>42</v>
      </c>
      <c r="S260" s="67" t="n">
        <v>67</v>
      </c>
    </row>
    <row r="261" customFormat="false" ht="18" hidden="true" customHeight="true" outlineLevel="0" collapsed="false">
      <c r="O261" s="67" t="s">
        <v>699</v>
      </c>
      <c r="P261" s="67" t="s">
        <v>700</v>
      </c>
      <c r="Q261" s="67" t="s">
        <v>701</v>
      </c>
      <c r="R261" s="67" t="s">
        <v>38</v>
      </c>
      <c r="S261" s="67" t="n">
        <v>48</v>
      </c>
    </row>
    <row r="262" customFormat="false" ht="18" hidden="true" customHeight="true" outlineLevel="0" collapsed="false">
      <c r="O262" s="67" t="s">
        <v>702</v>
      </c>
      <c r="P262" s="67" t="s">
        <v>703</v>
      </c>
      <c r="Q262" s="67" t="s">
        <v>704</v>
      </c>
      <c r="R262" s="67" t="s">
        <v>60</v>
      </c>
      <c r="S262" s="67" t="n">
        <v>30</v>
      </c>
    </row>
    <row r="263" customFormat="false" ht="18" hidden="true" customHeight="true" outlineLevel="0" collapsed="false">
      <c r="O263" s="67" t="s">
        <v>705</v>
      </c>
      <c r="P263" s="67" t="s">
        <v>706</v>
      </c>
      <c r="Q263" s="67" t="s">
        <v>707</v>
      </c>
      <c r="R263" s="67" t="s">
        <v>38</v>
      </c>
      <c r="S263" s="67" t="n">
        <v>46</v>
      </c>
    </row>
    <row r="264" customFormat="false" ht="18" hidden="true" customHeight="true" outlineLevel="0" collapsed="false">
      <c r="O264" s="67" t="s">
        <v>708</v>
      </c>
      <c r="P264" s="67" t="s">
        <v>709</v>
      </c>
      <c r="Q264" s="67" t="s">
        <v>710</v>
      </c>
      <c r="R264" s="67" t="s">
        <v>42</v>
      </c>
      <c r="S264" s="67" t="n">
        <v>61</v>
      </c>
    </row>
    <row r="265" customFormat="false" ht="18" hidden="true" customHeight="true" outlineLevel="0" collapsed="false">
      <c r="O265" s="67" t="s">
        <v>711</v>
      </c>
      <c r="P265" s="67" t="s">
        <v>712</v>
      </c>
      <c r="Q265" s="67" t="s">
        <v>713</v>
      </c>
      <c r="R265" s="67" t="s">
        <v>42</v>
      </c>
      <c r="S265" s="67" t="n">
        <v>80</v>
      </c>
    </row>
    <row r="266" customFormat="false" ht="18" hidden="true" customHeight="true" outlineLevel="0" collapsed="false">
      <c r="O266" s="67" t="s">
        <v>714</v>
      </c>
      <c r="P266" s="67" t="s">
        <v>715</v>
      </c>
      <c r="Q266" s="67" t="s">
        <v>716</v>
      </c>
      <c r="R266" s="67" t="s">
        <v>42</v>
      </c>
      <c r="S266" s="67" t="n">
        <v>61</v>
      </c>
    </row>
    <row r="267" customFormat="false" ht="18" hidden="true" customHeight="true" outlineLevel="0" collapsed="false">
      <c r="O267" s="67" t="s">
        <v>717</v>
      </c>
      <c r="P267" s="67" t="s">
        <v>718</v>
      </c>
      <c r="Q267" s="67" t="s">
        <v>719</v>
      </c>
      <c r="R267" s="67" t="s">
        <v>42</v>
      </c>
      <c r="S267" s="67" t="n">
        <v>65</v>
      </c>
    </row>
    <row r="268" customFormat="false" ht="18" hidden="true" customHeight="true" outlineLevel="0" collapsed="false">
      <c r="O268" s="67" t="s">
        <v>720</v>
      </c>
      <c r="P268" s="67" t="s">
        <v>721</v>
      </c>
      <c r="Q268" s="67" t="s">
        <v>722</v>
      </c>
      <c r="R268" s="67" t="s">
        <v>38</v>
      </c>
      <c r="S268" s="67" t="n">
        <v>43</v>
      </c>
    </row>
    <row r="269" customFormat="false" ht="18" hidden="true" customHeight="true" outlineLevel="0" collapsed="false">
      <c r="O269" s="67" t="s">
        <v>723</v>
      </c>
      <c r="P269" s="67" t="s">
        <v>724</v>
      </c>
      <c r="Q269" s="67" t="s">
        <v>725</v>
      </c>
      <c r="R269" s="67" t="s">
        <v>38</v>
      </c>
      <c r="S269" s="67" t="n">
        <v>38</v>
      </c>
    </row>
    <row r="270" customFormat="false" ht="18" hidden="true" customHeight="true" outlineLevel="0" collapsed="false">
      <c r="O270" s="67" t="s">
        <v>726</v>
      </c>
      <c r="P270" s="67" t="s">
        <v>727</v>
      </c>
      <c r="Q270" s="67" t="s">
        <v>728</v>
      </c>
      <c r="R270" s="67" t="s">
        <v>38</v>
      </c>
      <c r="S270" s="67" t="n">
        <v>60</v>
      </c>
    </row>
    <row r="271" customFormat="false" ht="18" hidden="true" customHeight="true" outlineLevel="0" collapsed="false">
      <c r="O271" s="67" t="s">
        <v>729</v>
      </c>
      <c r="P271" s="67" t="s">
        <v>730</v>
      </c>
      <c r="Q271" s="67" t="s">
        <v>731</v>
      </c>
      <c r="R271" s="67" t="s">
        <v>42</v>
      </c>
      <c r="S271" s="67" t="n">
        <v>80</v>
      </c>
    </row>
    <row r="272" customFormat="false" ht="18" hidden="true" customHeight="true" outlineLevel="0" collapsed="false">
      <c r="O272" s="67" t="s">
        <v>732</v>
      </c>
      <c r="P272" s="67" t="s">
        <v>733</v>
      </c>
      <c r="Q272" s="67" t="s">
        <v>734</v>
      </c>
      <c r="R272" s="67" t="s">
        <v>35</v>
      </c>
      <c r="S272" s="67" t="n">
        <v>100</v>
      </c>
    </row>
    <row r="273" customFormat="false" ht="18" hidden="true" customHeight="true" outlineLevel="0" collapsed="false">
      <c r="O273" s="67" t="s">
        <v>735</v>
      </c>
      <c r="P273" s="67" t="s">
        <v>736</v>
      </c>
      <c r="Q273" s="67" t="s">
        <v>737</v>
      </c>
      <c r="R273" s="67" t="s">
        <v>60</v>
      </c>
      <c r="S273" s="67" t="n">
        <v>28</v>
      </c>
    </row>
    <row r="274" customFormat="false" ht="18" hidden="true" customHeight="true" outlineLevel="0" collapsed="false">
      <c r="O274" s="67" t="s">
        <v>738</v>
      </c>
      <c r="P274" s="67" t="s">
        <v>739</v>
      </c>
      <c r="Q274" s="67"/>
      <c r="R274" s="67" t="s">
        <v>42</v>
      </c>
      <c r="S274" s="67" t="n">
        <v>100</v>
      </c>
    </row>
    <row r="275" customFormat="false" ht="18" hidden="true" customHeight="true" outlineLevel="0" collapsed="false">
      <c r="O275" s="67" t="s">
        <v>740</v>
      </c>
      <c r="P275" s="67" t="s">
        <v>741</v>
      </c>
      <c r="Q275" s="67" t="s">
        <v>742</v>
      </c>
      <c r="R275" s="67" t="s">
        <v>38</v>
      </c>
      <c r="S275" s="67" t="n">
        <v>47</v>
      </c>
    </row>
    <row r="276" customFormat="false" ht="18" hidden="true" customHeight="true" outlineLevel="0" collapsed="false">
      <c r="O276" s="67" t="s">
        <v>743</v>
      </c>
      <c r="P276" s="67" t="s">
        <v>744</v>
      </c>
      <c r="Q276" s="67" t="s">
        <v>745</v>
      </c>
      <c r="R276" s="67" t="s">
        <v>38</v>
      </c>
      <c r="S276" s="67" t="n">
        <v>43</v>
      </c>
    </row>
    <row r="277" customFormat="false" ht="18" hidden="true" customHeight="true" outlineLevel="0" collapsed="false">
      <c r="O277" s="67" t="s">
        <v>746</v>
      </c>
      <c r="P277" s="67" t="s">
        <v>747</v>
      </c>
      <c r="Q277" s="67" t="s">
        <v>746</v>
      </c>
      <c r="R277" s="67" t="s">
        <v>60</v>
      </c>
      <c r="S277" s="67" t="n">
        <v>30</v>
      </c>
    </row>
    <row r="278" customFormat="false" ht="18" hidden="true" customHeight="true" outlineLevel="0" collapsed="false">
      <c r="O278" s="67" t="s">
        <v>748</v>
      </c>
      <c r="P278" s="67" t="s">
        <v>749</v>
      </c>
      <c r="Q278" s="67" t="s">
        <v>750</v>
      </c>
      <c r="R278" s="67" t="s">
        <v>42</v>
      </c>
      <c r="S278" s="67" t="n">
        <v>67</v>
      </c>
    </row>
    <row r="279" customFormat="false" ht="18" hidden="true" customHeight="true" outlineLevel="0" collapsed="false">
      <c r="O279" s="67" t="s">
        <v>751</v>
      </c>
      <c r="P279" s="67" t="s">
        <v>752</v>
      </c>
      <c r="Q279" s="67" t="s">
        <v>753</v>
      </c>
      <c r="R279" s="67" t="s">
        <v>38</v>
      </c>
      <c r="S279" s="67" t="n">
        <v>52</v>
      </c>
    </row>
    <row r="280" customFormat="false" ht="18" hidden="true" customHeight="true" outlineLevel="0" collapsed="false">
      <c r="O280" s="67" t="s">
        <v>754</v>
      </c>
      <c r="P280" s="67" t="s">
        <v>755</v>
      </c>
      <c r="Q280" s="67"/>
      <c r="R280" s="67" t="s">
        <v>60</v>
      </c>
      <c r="S280" s="67" t="n">
        <v>29</v>
      </c>
    </row>
    <row r="281" customFormat="false" ht="18" hidden="true" customHeight="true" outlineLevel="0" collapsed="false">
      <c r="O281" s="67" t="s">
        <v>756</v>
      </c>
      <c r="P281" s="67" t="s">
        <v>757</v>
      </c>
      <c r="Q281" s="67" t="s">
        <v>758</v>
      </c>
      <c r="R281" s="67" t="s">
        <v>42</v>
      </c>
      <c r="S281" s="67" t="n">
        <v>80</v>
      </c>
    </row>
    <row r="282" customFormat="false" ht="18" hidden="true" customHeight="true" outlineLevel="0" collapsed="false">
      <c r="O282" s="67" t="s">
        <v>759</v>
      </c>
      <c r="P282" s="67" t="s">
        <v>760</v>
      </c>
      <c r="Q282" s="67" t="s">
        <v>761</v>
      </c>
      <c r="R282" s="67" t="s">
        <v>38</v>
      </c>
      <c r="S282" s="67" t="n">
        <v>48</v>
      </c>
    </row>
    <row r="283" customFormat="false" ht="18" hidden="true" customHeight="true" outlineLevel="0" collapsed="false">
      <c r="O283" s="67" t="s">
        <v>762</v>
      </c>
      <c r="P283" s="67" t="s">
        <v>763</v>
      </c>
      <c r="Q283" s="67" t="s">
        <v>764</v>
      </c>
      <c r="R283" s="67" t="s">
        <v>38</v>
      </c>
      <c r="S283" s="67" t="n">
        <v>60</v>
      </c>
    </row>
    <row r="284" customFormat="false" ht="18" hidden="true" customHeight="true" outlineLevel="0" collapsed="false">
      <c r="O284" s="67" t="s">
        <v>765</v>
      </c>
      <c r="P284" s="67" t="s">
        <v>766</v>
      </c>
      <c r="Q284" s="67" t="s">
        <v>767</v>
      </c>
      <c r="R284" s="67" t="s">
        <v>38</v>
      </c>
      <c r="S284" s="67" t="n">
        <v>54</v>
      </c>
    </row>
    <row r="285" customFormat="false" ht="18" hidden="true" customHeight="true" outlineLevel="0" collapsed="false">
      <c r="O285" s="67" t="s">
        <v>768</v>
      </c>
      <c r="P285" s="67" t="s">
        <v>769</v>
      </c>
      <c r="Q285" s="67" t="s">
        <v>770</v>
      </c>
      <c r="R285" s="67" t="s">
        <v>38</v>
      </c>
      <c r="S285" s="67" t="n">
        <v>60</v>
      </c>
    </row>
    <row r="286" customFormat="false" ht="18" hidden="true" customHeight="true" outlineLevel="0" collapsed="false">
      <c r="O286" s="67" t="s">
        <v>771</v>
      </c>
      <c r="P286" s="67" t="s">
        <v>772</v>
      </c>
      <c r="Q286" s="67" t="s">
        <v>773</v>
      </c>
      <c r="R286" s="67" t="s">
        <v>42</v>
      </c>
      <c r="S286" s="67" t="n">
        <v>64</v>
      </c>
    </row>
    <row r="287" customFormat="false" ht="18" hidden="true" customHeight="true" outlineLevel="0" collapsed="false">
      <c r="O287" s="67" t="s">
        <v>774</v>
      </c>
      <c r="P287" s="67" t="s">
        <v>775</v>
      </c>
      <c r="Q287" s="67" t="s">
        <v>776</v>
      </c>
      <c r="R287" s="67" t="s">
        <v>35</v>
      </c>
      <c r="S287" s="67" t="n">
        <v>100</v>
      </c>
    </row>
    <row r="288" customFormat="false" ht="18" hidden="true" customHeight="true" outlineLevel="0" collapsed="false">
      <c r="O288" s="67" t="s">
        <v>777</v>
      </c>
      <c r="P288" s="67" t="s">
        <v>778</v>
      </c>
      <c r="Q288" s="67" t="s">
        <v>779</v>
      </c>
      <c r="R288" s="67" t="s">
        <v>38</v>
      </c>
      <c r="S288" s="67" t="n">
        <v>48</v>
      </c>
    </row>
    <row r="289" customFormat="false" ht="18" hidden="true" customHeight="true" outlineLevel="0" collapsed="false">
      <c r="O289" s="67" t="s">
        <v>780</v>
      </c>
      <c r="P289" s="67" t="s">
        <v>781</v>
      </c>
      <c r="Q289" s="67" t="s">
        <v>782</v>
      </c>
      <c r="R289" s="67" t="s">
        <v>42</v>
      </c>
      <c r="S289" s="67" t="n">
        <v>71</v>
      </c>
    </row>
  </sheetData>
  <sheetProtection algorithmName="SHA-512" hashValue="eRSlOZgwEoiKsqGquwaF8ghClRLcZ+HlarThbB/MRXMBwSvOgCKIYGbxrF9aQwT/3LvqU/MzoC96R5pByS4f7w==" saltValue="CCCCXqPbSN6ViNa5LDoIRQ==" spinCount="100000" sheet="true" objects="true" scenarios="true"/>
  <mergeCells count="61">
    <mergeCell ref="B2:T2"/>
    <mergeCell ref="B3:T3"/>
    <mergeCell ref="A4:T4"/>
    <mergeCell ref="B5:E5"/>
    <mergeCell ref="G5:T5"/>
    <mergeCell ref="B6:E16"/>
    <mergeCell ref="G6:I6"/>
    <mergeCell ref="J6:T6"/>
    <mergeCell ref="G7:I7"/>
    <mergeCell ref="J7:T7"/>
    <mergeCell ref="G8:I8"/>
    <mergeCell ref="J8:T8"/>
    <mergeCell ref="G9:I9"/>
    <mergeCell ref="J9:T9"/>
    <mergeCell ref="G10:I10"/>
    <mergeCell ref="J10:T10"/>
    <mergeCell ref="G11:I11"/>
    <mergeCell ref="J11:T11"/>
    <mergeCell ref="G13:T13"/>
    <mergeCell ref="G14:I14"/>
    <mergeCell ref="J14:T14"/>
    <mergeCell ref="G15:I15"/>
    <mergeCell ref="J15:T15"/>
    <mergeCell ref="AD15:AZ15"/>
    <mergeCell ref="G17:AB17"/>
    <mergeCell ref="B18:E18"/>
    <mergeCell ref="G18:I18"/>
    <mergeCell ref="J18:S18"/>
    <mergeCell ref="G19:I19"/>
    <mergeCell ref="J19:S19"/>
    <mergeCell ref="G20:I20"/>
    <mergeCell ref="J20:S20"/>
    <mergeCell ref="G21:I21"/>
    <mergeCell ref="J21:S21"/>
    <mergeCell ref="G22:I22"/>
    <mergeCell ref="J22:S22"/>
    <mergeCell ref="G23:I23"/>
    <mergeCell ref="J23:S23"/>
    <mergeCell ref="G24:I24"/>
    <mergeCell ref="J24:S24"/>
    <mergeCell ref="G26:K26"/>
    <mergeCell ref="L26:N26"/>
    <mergeCell ref="O26:Q26"/>
    <mergeCell ref="R26:S26"/>
    <mergeCell ref="G27:K27"/>
    <mergeCell ref="L27:N27"/>
    <mergeCell ref="O27:Q27"/>
    <mergeCell ref="R27:S27"/>
    <mergeCell ref="G28:I28"/>
    <mergeCell ref="J28:S28"/>
    <mergeCell ref="G29:I29"/>
    <mergeCell ref="J29:S29"/>
    <mergeCell ref="G30:I30"/>
    <mergeCell ref="J30:S30"/>
    <mergeCell ref="G31:I31"/>
    <mergeCell ref="J31:S31"/>
    <mergeCell ref="G32:I32"/>
    <mergeCell ref="J32:S32"/>
    <mergeCell ref="G33:I33"/>
    <mergeCell ref="J33:S33"/>
    <mergeCell ref="A34:T34"/>
  </mergeCells>
  <conditionalFormatting sqref="T27">
    <cfRule type="containsText" priority="2" operator="containsText" aboveAverage="0" equalAverage="0" bottom="0" percent="0" rank="0" text="Low" dxfId="0">
      <formula>NOT(ISERROR(SEARCH("Low",T27)))</formula>
    </cfRule>
    <cfRule type="containsText" priority="3" operator="containsText" aboveAverage="0" equalAverage="0" bottom="0" percent="0" rank="0" text="Medium" dxfId="1">
      <formula>NOT(ISERROR(SEARCH("Medium",T27)))</formula>
    </cfRule>
    <cfRule type="containsText" priority="4" operator="containsText" aboveAverage="0" equalAverage="0" bottom="0" percent="0" rank="0" text="High" dxfId="2">
      <formula>NOT(ISERROR(SEARCH("High",T27)))</formula>
    </cfRule>
    <cfRule type="containsText" priority="5" operator="containsText" aboveAverage="0" equalAverage="0" bottom="0" percent="0" rank="0" text="Prohibited" dxfId="3">
      <formula>NOT(ISERROR(SEARCH("Prohibited",T27)))</formula>
    </cfRule>
  </conditionalFormatting>
  <dataValidations count="3">
    <dataValidation allowBlank="true" errorStyle="stop" operator="between" showDropDown="false" showErrorMessage="true" showInputMessage="true" sqref="J6:T6" type="list">
      <formula1>"Escalation,Non-Escalation,RFI"</formula1>
      <formula2>0</formula2>
    </dataValidation>
    <dataValidation allowBlank="true" errorStyle="stop" operator="between" showDropDown="false" showErrorMessage="true" showInputMessage="true" sqref="G27:K27" type="list">
      <formula1>$O$36:$O$289</formula1>
      <formula2>0</formula2>
    </dataValidation>
    <dataValidation allowBlank="true" errorStyle="stop" operator="between" showDropDown="false" showErrorMessage="true" showInputMessage="true" sqref="J7:T7" type="list">
      <formula1>IF($J$6="RFI", TemplatesRFI, TemplatesStandard)</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DC3E6"/>
    <pageSetUpPr fitToPage="false"/>
  </sheetPr>
  <dimension ref="A1:B4"/>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4" activeCellId="0" sqref="B4"/>
    </sheetView>
  </sheetViews>
  <sheetFormatPr defaultColWidth="8.82421875" defaultRowHeight="14.25" zeroHeight="true" outlineLevelRow="0" outlineLevelCol="0"/>
  <cols>
    <col collapsed="false" customWidth="true" hidden="false" outlineLevel="0" max="1" min="1" style="68" width="32.45"/>
    <col collapsed="false" customWidth="true" hidden="false" outlineLevel="0" max="2" min="2" style="68" width="149.45"/>
    <col collapsed="false" customWidth="true" hidden="false" outlineLevel="0" max="3" min="3" style="68" width="4.82"/>
    <col collapsed="false" customWidth="true" hidden="true" outlineLevel="0" max="13" min="4" style="68" width="4.82"/>
    <col collapsed="false" customWidth="false" hidden="true" outlineLevel="0" max="16384" min="14" style="68" width="8.82"/>
  </cols>
  <sheetData>
    <row r="1" customFormat="false" ht="24" hidden="false" customHeight="true" outlineLevel="0" collapsed="false">
      <c r="A1" s="69"/>
      <c r="B1" s="69"/>
    </row>
    <row r="2" customFormat="false" ht="20.25" hidden="false" customHeight="true" outlineLevel="0" collapsed="false">
      <c r="A2" s="70"/>
      <c r="B2" s="70"/>
    </row>
    <row r="3" s="73" customFormat="true" ht="20.25" hidden="true" customHeight="true" outlineLevel="0" collapsed="false">
      <c r="A3" s="71" t="s">
        <v>783</v>
      </c>
      <c r="B3" s="72" t="s">
        <v>784</v>
      </c>
    </row>
    <row r="4" customFormat="false" ht="14.25" hidden="false" customHeight="true" outlineLevel="0" collapsed="false">
      <c r="A4" s="74" t="s">
        <v>785</v>
      </c>
      <c r="B4" s="72" t="s">
        <v>786</v>
      </c>
    </row>
  </sheetData>
  <mergeCells count="2">
    <mergeCell ref="A1:B1"/>
    <mergeCell ref="A2:B2"/>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E13" activeCellId="0" sqref="E13"/>
    </sheetView>
  </sheetViews>
  <sheetFormatPr defaultColWidth="8.82421875" defaultRowHeight="14.25" zeroHeight="false" outlineLevelRow="0" outlineLevelCol="0"/>
  <cols>
    <col collapsed="false" customWidth="true" hidden="false" outlineLevel="0" max="1" min="1" style="75" width="12.09"/>
    <col collapsed="false" customWidth="true" hidden="false" outlineLevel="0" max="2" min="2" style="75" width="13.63"/>
    <col collapsed="false" customWidth="true" hidden="false" outlineLevel="0" max="3" min="3" style="75" width="28.73"/>
    <col collapsed="false" customWidth="true" hidden="false" outlineLevel="0" max="4" min="4" style="75" width="8.91"/>
    <col collapsed="false" customWidth="true" hidden="false" outlineLevel="0" max="5" min="5" style="75" width="18.73"/>
    <col collapsed="false" customWidth="true" hidden="false" outlineLevel="0" max="6" min="6" style="75" width="12.91"/>
    <col collapsed="false" customWidth="true" hidden="false" outlineLevel="0" max="7" min="7" style="75" width="20"/>
    <col collapsed="false" customWidth="true" hidden="false" outlineLevel="0" max="8" min="8" style="75" width="14.36"/>
    <col collapsed="false" customWidth="true" hidden="false" outlineLevel="0" max="9" min="9" style="75" width="23.82"/>
    <col collapsed="false" customWidth="true" hidden="false" outlineLevel="0" max="10" min="10" style="75" width="7.73"/>
    <col collapsed="false" customWidth="true" hidden="false" outlineLevel="0" max="11" min="11" style="75" width="16.73"/>
    <col collapsed="false" customWidth="true" hidden="false" outlineLevel="0" max="12" min="12" style="75" width="14.09"/>
    <col collapsed="false" customWidth="true" hidden="false" outlineLevel="0" max="13" min="13" style="75" width="4.82"/>
    <col collapsed="false" customWidth="true" hidden="false" outlineLevel="0" max="14" min="14" style="75" width="11.73"/>
    <col collapsed="false" customWidth="true" hidden="false" outlineLevel="0" max="15" min="15" style="75" width="32.63"/>
    <col collapsed="false" customWidth="true" hidden="false" outlineLevel="0" max="16" min="16" style="75" width="18.45"/>
    <col collapsed="false" customWidth="true" hidden="false" outlineLevel="0" max="17" min="17" style="75" width="32.63"/>
    <col collapsed="false" customWidth="true" hidden="false" outlineLevel="0" max="18" min="18" style="75" width="20.54"/>
    <col collapsed="false" customWidth="true" hidden="false" outlineLevel="0" max="20" min="19" style="75" width="16.27"/>
    <col collapsed="false" customWidth="true" hidden="false" outlineLevel="0" max="21" min="21" style="75" width="13.91"/>
    <col collapsed="false" customWidth="true" hidden="false" outlineLevel="0" max="22" min="22" style="75" width="34"/>
    <col collapsed="false" customWidth="true" hidden="false" outlineLevel="0" max="23" min="23" style="75" width="12.91"/>
    <col collapsed="false" customWidth="true" hidden="false" outlineLevel="0" max="24" min="24" style="75" width="13.91"/>
    <col collapsed="false" customWidth="true" hidden="false" outlineLevel="0" max="25" min="25" style="75" width="17.73"/>
    <col collapsed="false" customWidth="true" hidden="false" outlineLevel="0" max="26" min="26" style="75" width="17.54"/>
    <col collapsed="false" customWidth="true" hidden="false" outlineLevel="0" max="27" min="27" style="75" width="19.82"/>
    <col collapsed="false" customWidth="true" hidden="false" outlineLevel="0" max="28" min="28" style="75" width="29.63"/>
    <col collapsed="false" customWidth="true" hidden="false" outlineLevel="0" max="29" min="29" style="75" width="15.54"/>
    <col collapsed="false" customWidth="true" hidden="false" outlineLevel="0" max="30" min="30" style="75" width="33.18"/>
    <col collapsed="false" customWidth="true" hidden="false" outlineLevel="0" max="31" min="31" style="75" width="32.63"/>
    <col collapsed="false" customWidth="true" hidden="false" outlineLevel="0" max="32" min="32" style="75" width="14.54"/>
    <col collapsed="false" customWidth="true" hidden="false" outlineLevel="0" max="33" min="33" style="75" width="23.63"/>
    <col collapsed="false" customWidth="true" hidden="false" outlineLevel="0" max="34" min="34" style="75" width="13.45"/>
    <col collapsed="false" customWidth="true" hidden="false" outlineLevel="0" max="35" min="35" style="75" width="30.45"/>
    <col collapsed="false" customWidth="true" hidden="false" outlineLevel="0" max="36" min="36" style="75" width="12.45"/>
    <col collapsed="false" customWidth="true" hidden="false" outlineLevel="0" max="37" min="37" style="75" width="16.45"/>
    <col collapsed="false" customWidth="true" hidden="false" outlineLevel="0" max="38" min="38" style="75" width="10.82"/>
    <col collapsed="false" customWidth="true" hidden="false" outlineLevel="0" max="39" min="39" style="75" width="12.45"/>
    <col collapsed="false" customWidth="true" hidden="false" outlineLevel="0" max="40" min="40" style="75" width="10.09"/>
    <col collapsed="false" customWidth="true" hidden="false" outlineLevel="0" max="41" min="41" style="75" width="10.82"/>
    <col collapsed="false" customWidth="true" hidden="false" outlineLevel="0" max="42" min="42" style="75" width="12.45"/>
    <col collapsed="false" customWidth="true" hidden="false" outlineLevel="0" max="43" min="43" style="75" width="22.63"/>
    <col collapsed="false" customWidth="true" hidden="false" outlineLevel="0" max="44" min="44" style="75" width="33.82"/>
    <col collapsed="false" customWidth="true" hidden="false" outlineLevel="0" max="45" min="45" style="75" width="12.45"/>
    <col collapsed="false" customWidth="true" hidden="false" outlineLevel="0" max="46" min="46" style="75" width="13.45"/>
    <col collapsed="false" customWidth="true" hidden="false" outlineLevel="0" max="47" min="47" style="75" width="33.82"/>
    <col collapsed="false" customWidth="true" hidden="false" outlineLevel="0" max="48" min="48" style="75" width="12.45"/>
    <col collapsed="false" customWidth="true" hidden="false" outlineLevel="0" max="49" min="49" style="75" width="24.45"/>
    <col collapsed="false" customWidth="true" hidden="false" outlineLevel="0" max="50" min="50" style="75" width="6.82"/>
    <col collapsed="false" customWidth="true" hidden="false" outlineLevel="0" max="51" min="51" style="75" width="9.82"/>
    <col collapsed="false" customWidth="false" hidden="false" outlineLevel="0" max="16384" min="52" style="75" width="8.82"/>
  </cols>
  <sheetData>
    <row r="1" customFormat="false" ht="27.75" hidden="false" customHeight="true" outlineLevel="0" collapsed="false">
      <c r="A1" s="76" t="s">
        <v>787</v>
      </c>
      <c r="B1" s="77" t="s">
        <v>788</v>
      </c>
      <c r="C1" s="77" t="s">
        <v>789</v>
      </c>
      <c r="D1" s="77" t="s">
        <v>790</v>
      </c>
      <c r="E1" s="77" t="s">
        <v>791</v>
      </c>
      <c r="F1" s="77" t="s">
        <v>792</v>
      </c>
      <c r="G1" s="77" t="s">
        <v>793</v>
      </c>
      <c r="H1" s="77" t="s">
        <v>794</v>
      </c>
      <c r="I1" s="77" t="s">
        <v>795</v>
      </c>
      <c r="J1" s="77" t="s">
        <v>796</v>
      </c>
      <c r="K1" s="77" t="s">
        <v>797</v>
      </c>
      <c r="L1" s="77" t="s">
        <v>798</v>
      </c>
      <c r="M1" s="77" t="s">
        <v>799</v>
      </c>
      <c r="N1" s="77" t="s">
        <v>800</v>
      </c>
      <c r="O1" s="77" t="s">
        <v>801</v>
      </c>
      <c r="P1" s="77" t="s">
        <v>802</v>
      </c>
      <c r="Q1" s="77" t="s">
        <v>803</v>
      </c>
      <c r="R1" s="77" t="s">
        <v>804</v>
      </c>
      <c r="S1" s="77" t="s">
        <v>805</v>
      </c>
      <c r="T1" s="77" t="s">
        <v>806</v>
      </c>
      <c r="U1" s="77" t="s">
        <v>807</v>
      </c>
      <c r="V1" s="77" t="s">
        <v>808</v>
      </c>
      <c r="W1" s="77" t="s">
        <v>809</v>
      </c>
      <c r="X1" s="77" t="s">
        <v>810</v>
      </c>
      <c r="Y1" s="77" t="s">
        <v>811</v>
      </c>
      <c r="Z1" s="77" t="s">
        <v>812</v>
      </c>
      <c r="AA1" s="77" t="s">
        <v>813</v>
      </c>
      <c r="AB1" s="77" t="s">
        <v>814</v>
      </c>
      <c r="AC1" s="77" t="s">
        <v>815</v>
      </c>
      <c r="AD1" s="77" t="s">
        <v>816</v>
      </c>
      <c r="AE1" s="77" t="s">
        <v>817</v>
      </c>
    </row>
    <row r="2" customFormat="false" ht="20.25" hidden="false" customHeight="true" outlineLevel="0" collapsed="false">
      <c r="A2" s="78" t="s">
        <v>818</v>
      </c>
      <c r="B2" s="78" t="s">
        <v>819</v>
      </c>
      <c r="C2" s="78" t="s">
        <v>820</v>
      </c>
      <c r="D2" s="78" t="s">
        <v>718</v>
      </c>
      <c r="E2" s="78" t="s">
        <v>821</v>
      </c>
      <c r="F2" s="78" t="s">
        <v>822</v>
      </c>
      <c r="G2" s="78" t="s">
        <v>823</v>
      </c>
      <c r="H2" s="78" t="s">
        <v>824</v>
      </c>
      <c r="I2" s="78" t="s">
        <v>825</v>
      </c>
      <c r="J2" s="78" t="s">
        <v>826</v>
      </c>
      <c r="K2" s="79" t="n">
        <v>6652.24</v>
      </c>
      <c r="L2" s="80" t="n">
        <v>46147</v>
      </c>
      <c r="M2" s="78" t="s">
        <v>827</v>
      </c>
      <c r="N2" s="78" t="s">
        <v>828</v>
      </c>
      <c r="O2" s="78" t="s">
        <v>829</v>
      </c>
      <c r="P2" s="78"/>
      <c r="Q2" s="78" t="s">
        <v>829</v>
      </c>
      <c r="R2" s="78"/>
      <c r="S2" s="78" t="s">
        <v>830</v>
      </c>
      <c r="T2" s="78" t="s">
        <v>640</v>
      </c>
      <c r="U2" s="78" t="s">
        <v>831</v>
      </c>
      <c r="V2" s="78"/>
      <c r="W2" s="78" t="s">
        <v>822</v>
      </c>
      <c r="X2" s="78" t="s">
        <v>832</v>
      </c>
      <c r="Y2" s="78" t="s">
        <v>833</v>
      </c>
      <c r="Z2" s="78" t="s">
        <v>834</v>
      </c>
      <c r="AA2" s="78"/>
      <c r="AB2" s="78" t="s">
        <v>835</v>
      </c>
      <c r="AC2" s="78" t="s">
        <v>747</v>
      </c>
      <c r="AD2" s="78"/>
      <c r="AE2" s="78" t="str">
        <f aca="false">IF($M2="DR", $O2, $X2)</f>
        <v>IBERIA LINEA0752114330312SAO PAULO    BR</v>
      </c>
    </row>
  </sheetData>
  <sheetProtection algorithmName="SHA-512" hashValue="ZkvCzOxk3pWYPhX7kGo0IHtihiXGYUUykJB8sWdcEhtlCsRJuvV+OzkZ0IFct/sRgI+vdsaD7y2DeNpS3pbVfg==" saltValue="A2SJ+JDaU6YKV6lF44MDsw==" spinCount="100000" sheet="true" objects="true" scenario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EEBF7"/>
    <pageSetUpPr fitToPage="false"/>
  </sheetPr>
  <dimension ref="A1:I179"/>
  <sheetViews>
    <sheetView showFormulas="false" showGridLines="true" showRowColHeaders="true" showZeros="true" rightToLeft="false" tabSelected="false" showOutlineSymbols="true" defaultGridColor="true" view="normal" topLeftCell="A170" colorId="64" zoomScale="115" zoomScaleNormal="115" zoomScalePageLayoutView="100" workbookViewId="0">
      <selection pane="topLeft" activeCell="I178" activeCellId="0" sqref="I178"/>
    </sheetView>
  </sheetViews>
  <sheetFormatPr defaultColWidth="8.6796875" defaultRowHeight="14.25" zeroHeight="false" outlineLevelRow="0" outlineLevelCol="0"/>
  <cols>
    <col collapsed="false" customWidth="true" hidden="false" outlineLevel="0" max="1" min="1" style="81" width="14.82"/>
    <col collapsed="false" customWidth="true" hidden="false" outlineLevel="0" max="2" min="2" style="81" width="9.18"/>
    <col collapsed="false" customWidth="true" hidden="false" outlineLevel="0" max="3" min="3" style="81" width="11.27"/>
    <col collapsed="false" customWidth="true" hidden="false" outlineLevel="0" max="4" min="4" style="81" width="11.54"/>
    <col collapsed="false" customWidth="true" hidden="false" outlineLevel="0" max="5" min="5" style="81" width="12.82"/>
    <col collapsed="false" customWidth="true" hidden="false" outlineLevel="0" max="6" min="6" style="81" width="25.18"/>
    <col collapsed="false" customWidth="true" hidden="false" outlineLevel="0" max="7" min="7" style="81" width="11.18"/>
    <col collapsed="false" customWidth="true" hidden="false" outlineLevel="0" max="8" min="8" style="81" width="14.27"/>
  </cols>
  <sheetData>
    <row r="1" customFormat="false" ht="14.25" hidden="false" customHeight="true" outlineLevel="0" collapsed="false">
      <c r="A1" s="81" t="s">
        <v>836</v>
      </c>
      <c r="B1" s="81" t="s">
        <v>837</v>
      </c>
      <c r="C1" s="81" t="s">
        <v>838</v>
      </c>
      <c r="D1" s="81" t="s">
        <v>839</v>
      </c>
      <c r="E1" s="81" t="s">
        <v>840</v>
      </c>
      <c r="F1" s="81" t="s">
        <v>841</v>
      </c>
      <c r="G1" s="81" t="s">
        <v>842</v>
      </c>
      <c r="H1" s="82" t="s">
        <v>843</v>
      </c>
      <c r="I1" s="82" t="s">
        <v>844</v>
      </c>
    </row>
    <row r="2" customFormat="false" ht="14.25" hidden="false" customHeight="true" outlineLevel="0" collapsed="false">
      <c r="A2" s="83" t="n">
        <v>46142.9303587963</v>
      </c>
      <c r="B2" s="81" t="s">
        <v>845</v>
      </c>
      <c r="C2" s="81" t="n">
        <v>12</v>
      </c>
      <c r="D2" s="81" t="n">
        <v>1</v>
      </c>
      <c r="E2" s="81" t="n">
        <v>5</v>
      </c>
      <c r="F2" s="81" t="s">
        <v>846</v>
      </c>
      <c r="G2" s="81" t="s">
        <v>847</v>
      </c>
    </row>
    <row r="3" customFormat="false" ht="14.25" hidden="false" customHeight="true" outlineLevel="0" collapsed="false">
      <c r="A3" s="83" t="n">
        <v>46142.9374768519</v>
      </c>
      <c r="B3" s="81" t="s">
        <v>845</v>
      </c>
      <c r="C3" s="81" t="n">
        <v>123</v>
      </c>
      <c r="D3" s="81" t="n">
        <v>1</v>
      </c>
      <c r="E3" s="81" t="n">
        <v>1</v>
      </c>
      <c r="F3" s="81" t="s">
        <v>848</v>
      </c>
      <c r="G3" s="81" t="s">
        <v>847</v>
      </c>
    </row>
    <row r="4" customFormat="false" ht="14.25" hidden="false" customHeight="true" outlineLevel="0" collapsed="false">
      <c r="A4" s="83" t="n">
        <v>46145.3708912037</v>
      </c>
      <c r="B4" s="81" t="s">
        <v>845</v>
      </c>
      <c r="C4" s="81" t="n">
        <v>123</v>
      </c>
      <c r="D4" s="81" t="n">
        <v>7</v>
      </c>
      <c r="E4" s="81" t="n">
        <v>0</v>
      </c>
      <c r="F4" s="81" t="s">
        <v>849</v>
      </c>
      <c r="G4" s="81" t="s">
        <v>850</v>
      </c>
    </row>
    <row r="5" customFormat="false" ht="14.25" hidden="false" customHeight="true" outlineLevel="0" collapsed="false">
      <c r="A5" s="83" t="n">
        <v>46145.384375</v>
      </c>
      <c r="B5" s="81" t="s">
        <v>845</v>
      </c>
      <c r="C5" s="81" t="n">
        <v>123</v>
      </c>
      <c r="D5" s="81" t="n">
        <v>7</v>
      </c>
      <c r="E5" s="81" t="n">
        <v>35</v>
      </c>
      <c r="F5" s="81" t="s">
        <v>851</v>
      </c>
      <c r="G5" s="81" t="s">
        <v>852</v>
      </c>
    </row>
    <row r="6" customFormat="false" ht="14.25" hidden="false" customHeight="true" outlineLevel="0" collapsed="false">
      <c r="A6" s="83" t="n">
        <v>46145.402349537</v>
      </c>
      <c r="B6" s="81" t="s">
        <v>845</v>
      </c>
      <c r="C6" s="81" t="n">
        <v>123</v>
      </c>
      <c r="D6" s="81" t="n">
        <v>7</v>
      </c>
      <c r="E6" s="81" t="n">
        <v>35</v>
      </c>
      <c r="F6" s="81" t="s">
        <v>853</v>
      </c>
      <c r="G6" s="81" t="s">
        <v>852</v>
      </c>
    </row>
    <row r="7" customFormat="false" ht="14.25" hidden="false" customHeight="true" outlineLevel="0" collapsed="false">
      <c r="A7" s="83" t="n">
        <v>46145.4669444444</v>
      </c>
      <c r="B7" s="81" t="s">
        <v>845</v>
      </c>
      <c r="C7" s="81" t="n">
        <v>123</v>
      </c>
      <c r="D7" s="81" t="n">
        <v>5</v>
      </c>
      <c r="E7" s="81" t="n">
        <v>23</v>
      </c>
      <c r="F7" s="81" t="s">
        <v>854</v>
      </c>
      <c r="G7" s="81" t="s">
        <v>852</v>
      </c>
    </row>
    <row r="8" customFormat="false" ht="14.25" hidden="false" customHeight="true" outlineLevel="0" collapsed="false">
      <c r="A8" s="83" t="n">
        <v>46145.4736226852</v>
      </c>
      <c r="B8" s="81" t="s">
        <v>845</v>
      </c>
      <c r="C8" s="81" t="n">
        <v>11111</v>
      </c>
      <c r="D8" s="81" t="n">
        <v>1</v>
      </c>
      <c r="E8" s="81" t="n">
        <v>5</v>
      </c>
      <c r="F8" s="81" t="s">
        <v>855</v>
      </c>
      <c r="G8" s="81" t="s">
        <v>852</v>
      </c>
    </row>
    <row r="9" customFormat="false" ht="14.25" hidden="false" customHeight="true" outlineLevel="0" collapsed="false">
      <c r="A9" s="83" t="n">
        <v>46145.474849537</v>
      </c>
      <c r="B9" s="81" t="s">
        <v>845</v>
      </c>
      <c r="C9" s="81" t="n">
        <v>1</v>
      </c>
      <c r="D9" s="81" t="n">
        <v>1</v>
      </c>
      <c r="E9" s="81" t="n">
        <v>5</v>
      </c>
      <c r="F9" s="81" t="s">
        <v>856</v>
      </c>
      <c r="G9" s="81" t="s">
        <v>852</v>
      </c>
    </row>
    <row r="10" customFormat="false" ht="14.25" hidden="false" customHeight="true" outlineLevel="0" collapsed="false">
      <c r="A10" s="83" t="n">
        <v>46145.594849537</v>
      </c>
      <c r="B10" s="81" t="s">
        <v>845</v>
      </c>
      <c r="C10" s="81" t="n">
        <v>123</v>
      </c>
      <c r="D10" s="81" t="n">
        <v>1</v>
      </c>
      <c r="E10" s="81" t="n">
        <v>5</v>
      </c>
      <c r="F10" s="81" t="s">
        <v>857</v>
      </c>
      <c r="G10" s="81" t="s">
        <v>852</v>
      </c>
    </row>
    <row r="11" customFormat="false" ht="14.25" hidden="false" customHeight="true" outlineLevel="0" collapsed="false">
      <c r="A11" s="83" t="n">
        <v>46145.9608680556</v>
      </c>
      <c r="B11" s="81" t="s">
        <v>845</v>
      </c>
      <c r="C11" s="81" t="n">
        <v>19793</v>
      </c>
      <c r="D11" s="81" t="n">
        <v>5</v>
      </c>
      <c r="E11" s="81" t="n">
        <v>23</v>
      </c>
      <c r="F11" s="81" t="s">
        <v>858</v>
      </c>
      <c r="G11" s="81" t="s">
        <v>859</v>
      </c>
    </row>
    <row r="12" customFormat="false" ht="14.25" hidden="false" customHeight="true" outlineLevel="0" collapsed="false">
      <c r="A12" s="83" t="n">
        <v>46145.9725347222</v>
      </c>
      <c r="B12" s="81" t="s">
        <v>845</v>
      </c>
      <c r="C12" s="81" t="n">
        <v>19793</v>
      </c>
      <c r="D12" s="81" t="n">
        <v>5</v>
      </c>
      <c r="E12" s="81" t="n">
        <v>23</v>
      </c>
      <c r="F12" s="81" t="s">
        <v>860</v>
      </c>
      <c r="G12" s="81" t="s">
        <v>859</v>
      </c>
    </row>
    <row r="13" customFormat="false" ht="14.25" hidden="false" customHeight="true" outlineLevel="0" collapsed="false">
      <c r="A13" s="83" t="n">
        <v>46145.9945833333</v>
      </c>
      <c r="B13" s="81" t="s">
        <v>845</v>
      </c>
      <c r="C13" s="81" t="n">
        <v>19793</v>
      </c>
      <c r="D13" s="81" t="n">
        <v>5</v>
      </c>
      <c r="E13" s="81" t="n">
        <v>23</v>
      </c>
      <c r="F13" s="81" t="s">
        <v>861</v>
      </c>
      <c r="G13" s="81" t="s">
        <v>862</v>
      </c>
    </row>
    <row r="14" customFormat="false" ht="14.25" hidden="false" customHeight="true" outlineLevel="0" collapsed="false">
      <c r="A14" s="83" t="n">
        <v>46146.0080671296</v>
      </c>
      <c r="B14" s="81" t="s">
        <v>845</v>
      </c>
      <c r="C14" s="81" t="n">
        <v>19793</v>
      </c>
      <c r="D14" s="81" t="n">
        <v>5</v>
      </c>
      <c r="E14" s="81" t="n">
        <v>23</v>
      </c>
      <c r="F14" s="81" t="s">
        <v>863</v>
      </c>
      <c r="G14" s="81" t="s">
        <v>864</v>
      </c>
    </row>
    <row r="15" customFormat="false" ht="14.25" hidden="false" customHeight="true" outlineLevel="0" collapsed="false">
      <c r="A15" s="83" t="n">
        <v>46146.0188541667</v>
      </c>
      <c r="B15" s="81" t="s">
        <v>845</v>
      </c>
      <c r="C15" s="81" t="n">
        <v>1</v>
      </c>
      <c r="D15" s="81" t="n">
        <v>5</v>
      </c>
      <c r="E15" s="81" t="n">
        <v>23</v>
      </c>
      <c r="F15" s="81" t="s">
        <v>865</v>
      </c>
      <c r="G15" s="81" t="s">
        <v>864</v>
      </c>
    </row>
    <row r="16" customFormat="false" ht="14.25" hidden="false" customHeight="true" outlineLevel="0" collapsed="false">
      <c r="A16" s="83" t="n">
        <v>46146.0290972222</v>
      </c>
      <c r="B16" s="81" t="s">
        <v>845</v>
      </c>
      <c r="C16" s="81" t="n">
        <v>1</v>
      </c>
      <c r="D16" s="81" t="n">
        <v>5</v>
      </c>
      <c r="E16" s="81" t="n">
        <v>23</v>
      </c>
      <c r="F16" s="81" t="s">
        <v>866</v>
      </c>
      <c r="G16" s="81" t="s">
        <v>867</v>
      </c>
    </row>
    <row r="17" customFormat="false" ht="14.25" hidden="false" customHeight="true" outlineLevel="0" collapsed="false">
      <c r="A17" s="83" t="n">
        <v>46146.0402893519</v>
      </c>
      <c r="B17" s="81" t="s">
        <v>845</v>
      </c>
      <c r="C17" s="81" t="n">
        <v>1</v>
      </c>
      <c r="D17" s="81" t="n">
        <v>5</v>
      </c>
      <c r="E17" s="81" t="n">
        <v>23</v>
      </c>
      <c r="F17" s="81" t="s">
        <v>868</v>
      </c>
      <c r="G17" s="81" t="s">
        <v>869</v>
      </c>
    </row>
    <row r="18" customFormat="false" ht="14.25" hidden="false" customHeight="true" outlineLevel="0" collapsed="false">
      <c r="A18" s="83" t="n">
        <v>46146.0638888889</v>
      </c>
      <c r="B18" s="81" t="s">
        <v>845</v>
      </c>
      <c r="C18" s="81" t="n">
        <v>1</v>
      </c>
      <c r="D18" s="81" t="n">
        <v>5</v>
      </c>
      <c r="E18" s="81" t="n">
        <v>23</v>
      </c>
      <c r="F18" s="81" t="s">
        <v>870</v>
      </c>
      <c r="G18" s="81" t="s">
        <v>871</v>
      </c>
    </row>
    <row r="19" customFormat="false" ht="14.25" hidden="false" customHeight="true" outlineLevel="0" collapsed="false">
      <c r="A19" s="83" t="n">
        <v>46146.0778935185</v>
      </c>
      <c r="B19" s="81" t="s">
        <v>845</v>
      </c>
      <c r="C19" s="81" t="n">
        <v>2</v>
      </c>
      <c r="D19" s="81" t="n">
        <v>5</v>
      </c>
      <c r="E19" s="81" t="n">
        <v>23</v>
      </c>
      <c r="F19" s="81" t="s">
        <v>872</v>
      </c>
      <c r="G19" s="81" t="s">
        <v>873</v>
      </c>
    </row>
    <row r="20" customFormat="false" ht="14.25" hidden="false" customHeight="true" outlineLevel="0" collapsed="false">
      <c r="A20" s="83" t="n">
        <v>46146.3166203704</v>
      </c>
      <c r="B20" s="81" t="s">
        <v>845</v>
      </c>
      <c r="C20" s="81" t="n">
        <v>2</v>
      </c>
      <c r="D20" s="81" t="n">
        <v>5</v>
      </c>
      <c r="E20" s="81" t="n">
        <v>23</v>
      </c>
      <c r="F20" s="81" t="s">
        <v>874</v>
      </c>
      <c r="G20" s="81" t="s">
        <v>873</v>
      </c>
    </row>
    <row r="21" customFormat="false" ht="14.25" hidden="false" customHeight="true" outlineLevel="0" collapsed="false">
      <c r="A21" s="83" t="n">
        <v>46146.3284375</v>
      </c>
      <c r="B21" s="81" t="s">
        <v>845</v>
      </c>
      <c r="C21" s="81" t="n">
        <v>3</v>
      </c>
      <c r="D21" s="81" t="n">
        <v>5</v>
      </c>
      <c r="E21" s="81" t="n">
        <v>23</v>
      </c>
      <c r="F21" s="81" t="s">
        <v>875</v>
      </c>
      <c r="G21" s="81" t="s">
        <v>876</v>
      </c>
    </row>
    <row r="22" customFormat="false" ht="14.25" hidden="false" customHeight="true" outlineLevel="0" collapsed="false">
      <c r="A22" s="83" t="n">
        <v>46146.3469560185</v>
      </c>
      <c r="B22" s="81" t="s">
        <v>845</v>
      </c>
      <c r="C22" s="81" t="n">
        <v>19797</v>
      </c>
      <c r="D22" s="81" t="n">
        <v>2</v>
      </c>
      <c r="E22" s="81" t="n">
        <v>11</v>
      </c>
      <c r="F22" s="81" t="s">
        <v>877</v>
      </c>
      <c r="G22" s="81" t="s">
        <v>878</v>
      </c>
    </row>
    <row r="23" customFormat="false" ht="14.25" hidden="false" customHeight="true" outlineLevel="0" collapsed="false">
      <c r="A23" s="83" t="n">
        <v>46146.371712963</v>
      </c>
      <c r="B23" s="81" t="s">
        <v>845</v>
      </c>
      <c r="C23" s="81" t="n">
        <v>94540</v>
      </c>
      <c r="D23" s="81" t="n">
        <v>5</v>
      </c>
      <c r="E23" s="81" t="n">
        <v>17</v>
      </c>
      <c r="F23" s="81" t="s">
        <v>879</v>
      </c>
      <c r="G23" s="81" t="s">
        <v>880</v>
      </c>
    </row>
    <row r="24" customFormat="false" ht="14.25" hidden="false" customHeight="true" outlineLevel="0" collapsed="false">
      <c r="A24" s="83" t="n">
        <v>46146.4778356482</v>
      </c>
      <c r="B24" s="81" t="s">
        <v>845</v>
      </c>
      <c r="C24" s="81" t="n">
        <v>123</v>
      </c>
      <c r="D24" s="81" t="n">
        <v>1</v>
      </c>
      <c r="E24" s="81" t="n">
        <v>5</v>
      </c>
      <c r="F24" s="81" t="s">
        <v>881</v>
      </c>
      <c r="G24" s="81" t="s">
        <v>880</v>
      </c>
    </row>
    <row r="25" customFormat="false" ht="14.25" hidden="false" customHeight="true" outlineLevel="0" collapsed="false">
      <c r="A25" s="83" t="n">
        <v>46146.5253240741</v>
      </c>
      <c r="B25" s="81" t="s">
        <v>845</v>
      </c>
      <c r="C25" s="81" t="n">
        <v>109720</v>
      </c>
      <c r="D25" s="81" t="n">
        <v>5</v>
      </c>
      <c r="E25" s="81" t="n">
        <v>27</v>
      </c>
      <c r="F25" s="81" t="s">
        <v>882</v>
      </c>
      <c r="G25" s="81" t="s">
        <v>880</v>
      </c>
    </row>
    <row r="26" customFormat="false" ht="14.25" hidden="false" customHeight="true" outlineLevel="0" collapsed="false">
      <c r="A26" s="83" t="n">
        <v>46147.4099305556</v>
      </c>
      <c r="B26" s="81" t="s">
        <v>845</v>
      </c>
      <c r="C26" s="81" t="n">
        <v>12345</v>
      </c>
      <c r="D26" s="81" t="n">
        <v>2</v>
      </c>
      <c r="E26" s="81" t="n">
        <v>10</v>
      </c>
      <c r="F26" s="81" t="s">
        <v>883</v>
      </c>
      <c r="G26" s="81" t="s">
        <v>880</v>
      </c>
    </row>
    <row r="27" customFormat="false" ht="14.25" hidden="false" customHeight="true" outlineLevel="0" collapsed="false">
      <c r="A27" s="83" t="n">
        <v>46147.4121296296</v>
      </c>
      <c r="B27" s="81" t="s">
        <v>845</v>
      </c>
      <c r="C27" s="81" t="n">
        <v>12345</v>
      </c>
      <c r="D27" s="81" t="n">
        <v>2</v>
      </c>
      <c r="E27" s="81" t="n">
        <v>10</v>
      </c>
      <c r="F27" s="81" t="s">
        <v>884</v>
      </c>
      <c r="G27" s="81" t="s">
        <v>880</v>
      </c>
    </row>
    <row r="28" customFormat="false" ht="14.25" hidden="false" customHeight="true" outlineLevel="0" collapsed="false">
      <c r="A28" s="83" t="n">
        <v>46147.5093055556</v>
      </c>
      <c r="B28" s="81" t="s">
        <v>845</v>
      </c>
      <c r="C28" s="81" t="n">
        <v>12345</v>
      </c>
      <c r="D28" s="81" t="n">
        <v>2</v>
      </c>
      <c r="E28" s="81" t="n">
        <v>10</v>
      </c>
      <c r="F28" s="81" t="s">
        <v>885</v>
      </c>
      <c r="G28" s="81" t="s">
        <v>880</v>
      </c>
    </row>
    <row r="29" customFormat="false" ht="14.25" hidden="false" customHeight="true" outlineLevel="0" collapsed="false">
      <c r="A29" s="83" t="n">
        <v>46147.5141898148</v>
      </c>
      <c r="B29" s="81" t="s">
        <v>845</v>
      </c>
      <c r="C29" s="81" t="n">
        <v>12345</v>
      </c>
      <c r="D29" s="81" t="n">
        <v>2</v>
      </c>
      <c r="E29" s="81" t="n">
        <v>10</v>
      </c>
      <c r="F29" s="81" t="s">
        <v>886</v>
      </c>
      <c r="G29" s="81" t="s">
        <v>880</v>
      </c>
    </row>
    <row r="30" customFormat="false" ht="14.25" hidden="false" customHeight="true" outlineLevel="0" collapsed="false">
      <c r="A30" s="83" t="n">
        <v>46147.6717476852</v>
      </c>
      <c r="B30" s="81" t="s">
        <v>845</v>
      </c>
      <c r="C30" s="81" t="n">
        <v>108077</v>
      </c>
      <c r="D30" s="81" t="n">
        <v>5</v>
      </c>
      <c r="E30" s="81" t="n">
        <v>15</v>
      </c>
      <c r="F30" s="81" t="s">
        <v>887</v>
      </c>
      <c r="G30" s="81" t="s">
        <v>880</v>
      </c>
    </row>
    <row r="31" customFormat="false" ht="14.25" hidden="false" customHeight="true" outlineLevel="0" collapsed="false">
      <c r="A31" s="83" t="n">
        <v>46147.7965046296</v>
      </c>
      <c r="B31" s="81" t="s">
        <v>845</v>
      </c>
      <c r="C31" s="81" t="n">
        <v>32617</v>
      </c>
      <c r="D31" s="81" t="n">
        <v>4</v>
      </c>
      <c r="E31" s="81" t="n">
        <v>24</v>
      </c>
      <c r="F31" s="81" t="s">
        <v>888</v>
      </c>
      <c r="G31" s="81" t="s">
        <v>880</v>
      </c>
    </row>
    <row r="32" customFormat="false" ht="14.25" hidden="false" customHeight="true" outlineLevel="0" collapsed="false">
      <c r="A32" s="83" t="n">
        <v>46147.95625</v>
      </c>
      <c r="B32" s="81" t="s">
        <v>845</v>
      </c>
      <c r="C32" s="81" t="n">
        <v>48570</v>
      </c>
      <c r="D32" s="81" t="n">
        <v>2</v>
      </c>
      <c r="E32" s="81" t="n">
        <v>8</v>
      </c>
      <c r="F32" s="81" t="s">
        <v>889</v>
      </c>
      <c r="G32" s="81" t="s">
        <v>880</v>
      </c>
    </row>
    <row r="33" customFormat="false" ht="14.25" hidden="false" customHeight="true" outlineLevel="0" collapsed="false">
      <c r="A33" s="83" t="n">
        <v>46147.9824652778</v>
      </c>
      <c r="B33" s="81" t="s">
        <v>845</v>
      </c>
      <c r="C33" s="81" t="n">
        <v>48570</v>
      </c>
      <c r="D33" s="81" t="n">
        <v>2</v>
      </c>
      <c r="E33" s="81" t="n">
        <v>9</v>
      </c>
      <c r="F33" s="81" t="s">
        <v>890</v>
      </c>
      <c r="G33" s="81" t="s">
        <v>880</v>
      </c>
    </row>
    <row r="34" customFormat="false" ht="14.25" hidden="false" customHeight="true" outlineLevel="0" collapsed="false">
      <c r="A34" s="83" t="n">
        <v>46148.0083101852</v>
      </c>
      <c r="B34" s="81" t="s">
        <v>845</v>
      </c>
      <c r="C34" s="81" t="n">
        <v>49215</v>
      </c>
      <c r="D34" s="81" t="n">
        <v>2</v>
      </c>
      <c r="E34" s="81" t="n">
        <v>6</v>
      </c>
      <c r="F34" s="81" t="s">
        <v>891</v>
      </c>
      <c r="G34" s="81" t="s">
        <v>880</v>
      </c>
    </row>
    <row r="35" customFormat="false" ht="14.25" hidden="false" customHeight="true" outlineLevel="0" collapsed="false">
      <c r="A35" s="83" t="n">
        <v>46148.3876388889</v>
      </c>
      <c r="B35" s="81" t="s">
        <v>845</v>
      </c>
      <c r="C35" s="81" t="n">
        <v>85844</v>
      </c>
      <c r="D35" s="81" t="n">
        <v>3</v>
      </c>
      <c r="E35" s="81" t="n">
        <v>9</v>
      </c>
      <c r="F35" s="81" t="s">
        <v>892</v>
      </c>
      <c r="G35" s="81" t="s">
        <v>880</v>
      </c>
    </row>
    <row r="36" customFormat="false" ht="14.25" hidden="false" customHeight="true" outlineLevel="0" collapsed="false">
      <c r="A36" s="83" t="n">
        <v>46148.4038078704</v>
      </c>
      <c r="B36" s="81" t="s">
        <v>845</v>
      </c>
      <c r="C36" s="81" t="n">
        <v>49228</v>
      </c>
      <c r="D36" s="81" t="n">
        <v>2</v>
      </c>
      <c r="E36" s="81" t="n">
        <v>6</v>
      </c>
      <c r="F36" s="81" t="s">
        <v>857</v>
      </c>
      <c r="G36" s="81" t="s">
        <v>880</v>
      </c>
    </row>
    <row r="37" customFormat="false" ht="14.25" hidden="false" customHeight="true" outlineLevel="0" collapsed="false">
      <c r="A37" s="83" t="n">
        <v>46148.4134490741</v>
      </c>
      <c r="B37" s="81" t="s">
        <v>845</v>
      </c>
      <c r="C37" s="81" t="n">
        <v>49246</v>
      </c>
      <c r="D37" s="81" t="n">
        <v>2</v>
      </c>
      <c r="E37" s="81" t="n">
        <v>6</v>
      </c>
      <c r="F37" s="81" t="s">
        <v>893</v>
      </c>
      <c r="G37" s="81" t="s">
        <v>880</v>
      </c>
    </row>
    <row r="38" customFormat="false" ht="14.25" hidden="false" customHeight="true" outlineLevel="0" collapsed="false">
      <c r="A38" s="83" t="n">
        <v>46148.6164699074</v>
      </c>
      <c r="B38" s="81" t="s">
        <v>845</v>
      </c>
      <c r="C38" s="81" t="n">
        <v>1</v>
      </c>
      <c r="D38" s="81" t="n">
        <v>2</v>
      </c>
      <c r="E38" s="81" t="n">
        <v>6</v>
      </c>
      <c r="F38" s="81" t="s">
        <v>894</v>
      </c>
      <c r="G38" s="81" t="s">
        <v>880</v>
      </c>
    </row>
    <row r="39" customFormat="false" ht="14.25" hidden="false" customHeight="true" outlineLevel="0" collapsed="false">
      <c r="A39" s="83" t="n">
        <v>46148.6947106482</v>
      </c>
      <c r="B39" s="81" t="s">
        <v>845</v>
      </c>
      <c r="C39" s="81" t="n">
        <v>107260</v>
      </c>
      <c r="D39" s="81" t="n">
        <v>2</v>
      </c>
      <c r="E39" s="81" t="n">
        <v>8</v>
      </c>
      <c r="F39" s="81" t="s">
        <v>895</v>
      </c>
      <c r="G39" s="81" t="s">
        <v>880</v>
      </c>
    </row>
    <row r="40" customFormat="false" ht="14.25" hidden="false" customHeight="true" outlineLevel="0" collapsed="false">
      <c r="A40" s="83" t="n">
        <v>46148.709212963</v>
      </c>
      <c r="B40" s="81" t="s">
        <v>845</v>
      </c>
      <c r="C40" s="81" t="n">
        <v>107260</v>
      </c>
      <c r="D40" s="81" t="n">
        <v>1</v>
      </c>
      <c r="E40" s="81" t="n">
        <v>5</v>
      </c>
      <c r="F40" s="81" t="s">
        <v>855</v>
      </c>
      <c r="G40" s="81" t="s">
        <v>880</v>
      </c>
    </row>
    <row r="41" customFormat="false" ht="14.25" hidden="false" customHeight="true" outlineLevel="0" collapsed="false">
      <c r="A41" s="83" t="n">
        <v>46149.5302893519</v>
      </c>
      <c r="B41" s="81" t="s">
        <v>845</v>
      </c>
      <c r="C41" s="81" t="n">
        <v>106412</v>
      </c>
      <c r="D41" s="81" t="n">
        <v>2</v>
      </c>
      <c r="E41" s="81" t="n">
        <v>11</v>
      </c>
      <c r="F41" s="81" t="s">
        <v>896</v>
      </c>
      <c r="G41" s="81" t="s">
        <v>880</v>
      </c>
    </row>
    <row r="42" customFormat="false" ht="14.25" hidden="false" customHeight="true" outlineLevel="0" collapsed="false">
      <c r="A42" s="83" t="n">
        <v>46149.6217592593</v>
      </c>
      <c r="B42" s="81" t="s">
        <v>845</v>
      </c>
      <c r="C42" s="81" t="n">
        <v>84448</v>
      </c>
      <c r="D42" s="81" t="n">
        <v>3</v>
      </c>
      <c r="E42" s="81" t="n">
        <v>9</v>
      </c>
      <c r="F42" s="81" t="s">
        <v>897</v>
      </c>
      <c r="G42" s="81" t="s">
        <v>880</v>
      </c>
    </row>
    <row r="43" customFormat="false" ht="14.25" hidden="false" customHeight="true" outlineLevel="0" collapsed="false">
      <c r="A43" s="83" t="n">
        <v>46149.8853472222</v>
      </c>
      <c r="B43" s="81" t="s">
        <v>845</v>
      </c>
      <c r="C43" s="81" t="n">
        <v>84351</v>
      </c>
      <c r="D43" s="81" t="n">
        <v>2</v>
      </c>
      <c r="E43" s="81" t="n">
        <v>12</v>
      </c>
      <c r="F43" s="81" t="s">
        <v>898</v>
      </c>
      <c r="G43" s="81" t="s">
        <v>880</v>
      </c>
    </row>
    <row r="44" customFormat="false" ht="14.25" hidden="false" customHeight="true" outlineLevel="0" collapsed="false">
      <c r="A44" s="83" t="n">
        <v>46149.9405671296</v>
      </c>
      <c r="B44" s="81" t="s">
        <v>845</v>
      </c>
      <c r="C44" s="81" t="n">
        <v>1</v>
      </c>
      <c r="D44" s="81" t="n">
        <v>2</v>
      </c>
      <c r="E44" s="81" t="n">
        <v>14</v>
      </c>
      <c r="F44" s="81" t="s">
        <v>899</v>
      </c>
      <c r="G44" s="81" t="s">
        <v>880</v>
      </c>
    </row>
    <row r="45" customFormat="false" ht="14.25" hidden="false" customHeight="true" outlineLevel="0" collapsed="false">
      <c r="A45" s="83" t="n">
        <v>46150.5959027778</v>
      </c>
      <c r="B45" s="81" t="s">
        <v>845</v>
      </c>
      <c r="C45" s="81" t="n">
        <v>105847</v>
      </c>
      <c r="D45" s="81" t="n">
        <v>5</v>
      </c>
      <c r="E45" s="81" t="n">
        <v>25</v>
      </c>
      <c r="F45" s="81" t="s">
        <v>900</v>
      </c>
      <c r="G45" s="81" t="s">
        <v>880</v>
      </c>
    </row>
    <row r="46" customFormat="false" ht="14.25" hidden="false" customHeight="true" outlineLevel="0" collapsed="false">
      <c r="A46" s="83" t="n">
        <v>46150.8027430556</v>
      </c>
      <c r="B46" s="81" t="s">
        <v>845</v>
      </c>
      <c r="C46" s="81" t="n">
        <v>82335</v>
      </c>
      <c r="D46" s="81" t="n">
        <v>5</v>
      </c>
      <c r="E46" s="81" t="n">
        <v>31</v>
      </c>
      <c r="F46" s="81" t="s">
        <v>901</v>
      </c>
      <c r="G46" s="81" t="s">
        <v>880</v>
      </c>
    </row>
    <row r="47" customFormat="false" ht="14.25" hidden="false" customHeight="true" outlineLevel="0" collapsed="false">
      <c r="A47" s="83" t="n">
        <v>46153.5935300926</v>
      </c>
      <c r="B47" s="81" t="s">
        <v>845</v>
      </c>
      <c r="C47" s="81" t="n">
        <v>81022</v>
      </c>
      <c r="D47" s="81" t="n">
        <v>1</v>
      </c>
      <c r="E47" s="81" t="n">
        <v>7</v>
      </c>
      <c r="F47" s="81" t="s">
        <v>902</v>
      </c>
      <c r="G47" s="81" t="s">
        <v>880</v>
      </c>
    </row>
    <row r="48" customFormat="false" ht="14.25" hidden="false" customHeight="true" outlineLevel="0" collapsed="false">
      <c r="A48" s="83" t="n">
        <v>46153.6393402778</v>
      </c>
      <c r="B48" s="81" t="s">
        <v>845</v>
      </c>
      <c r="C48" s="81" t="n">
        <v>93667</v>
      </c>
      <c r="D48" s="81" t="n">
        <v>5</v>
      </c>
      <c r="E48" s="81" t="n">
        <v>17</v>
      </c>
      <c r="F48" s="81" t="s">
        <v>903</v>
      </c>
      <c r="G48" s="81" t="s">
        <v>880</v>
      </c>
    </row>
    <row r="49" customFormat="false" ht="14.25" hidden="false" customHeight="true" outlineLevel="0" collapsed="false">
      <c r="A49" s="83" t="n">
        <v>46153.647662037</v>
      </c>
      <c r="B49" s="81" t="s">
        <v>845</v>
      </c>
      <c r="C49" s="81" t="n">
        <v>93667</v>
      </c>
      <c r="D49" s="81" t="n">
        <v>4</v>
      </c>
      <c r="E49" s="81" t="n">
        <v>20</v>
      </c>
      <c r="F49" s="81" t="s">
        <v>904</v>
      </c>
      <c r="G49" s="81" t="s">
        <v>880</v>
      </c>
    </row>
    <row r="50" customFormat="false" ht="14.25" hidden="false" customHeight="true" outlineLevel="0" collapsed="false">
      <c r="A50" s="83" t="n">
        <v>46153.7046412037</v>
      </c>
      <c r="B50" s="81" t="s">
        <v>845</v>
      </c>
      <c r="C50" s="81" t="n">
        <v>108993</v>
      </c>
      <c r="D50" s="81" t="n">
        <v>2</v>
      </c>
      <c r="E50" s="81" t="n">
        <v>6</v>
      </c>
      <c r="F50" s="81" t="s">
        <v>905</v>
      </c>
      <c r="G50" s="81" t="s">
        <v>880</v>
      </c>
    </row>
    <row r="51" customFormat="false" ht="14.25" hidden="false" customHeight="true" outlineLevel="0" collapsed="false">
      <c r="A51" s="83" t="n">
        <v>46154.4124305556</v>
      </c>
      <c r="B51" s="81" t="s">
        <v>845</v>
      </c>
      <c r="C51" s="81" t="n">
        <v>108594</v>
      </c>
      <c r="D51" s="81" t="n">
        <v>2</v>
      </c>
      <c r="E51" s="81" t="n">
        <v>8</v>
      </c>
      <c r="F51" s="81" t="s">
        <v>906</v>
      </c>
      <c r="G51" s="81" t="s">
        <v>880</v>
      </c>
    </row>
    <row r="52" customFormat="false" ht="14.25" hidden="false" customHeight="true" outlineLevel="0" collapsed="false">
      <c r="A52" s="83" t="n">
        <v>46154.4815740741</v>
      </c>
      <c r="B52" s="81" t="s">
        <v>845</v>
      </c>
      <c r="C52" s="81" t="n">
        <v>83931</v>
      </c>
      <c r="D52" s="81" t="n">
        <v>3</v>
      </c>
      <c r="E52" s="81" t="n">
        <v>19</v>
      </c>
      <c r="F52" s="81" t="s">
        <v>907</v>
      </c>
      <c r="G52" s="81" t="s">
        <v>880</v>
      </c>
    </row>
    <row r="53" customFormat="false" ht="14.25" hidden="false" customHeight="true" outlineLevel="0" collapsed="false">
      <c r="A53" s="83" t="n">
        <v>46154.516087963</v>
      </c>
      <c r="B53" s="81" t="s">
        <v>845</v>
      </c>
      <c r="C53" s="81" t="n">
        <v>71800</v>
      </c>
      <c r="D53" s="81" t="n">
        <v>2</v>
      </c>
      <c r="E53" s="81" t="n">
        <v>10</v>
      </c>
      <c r="F53" s="81" t="s">
        <v>908</v>
      </c>
      <c r="G53" s="81" t="s">
        <v>880</v>
      </c>
    </row>
    <row r="54" customFormat="false" ht="14.25" hidden="false" customHeight="true" outlineLevel="0" collapsed="false">
      <c r="A54" s="83" t="n">
        <v>46154.5462615741</v>
      </c>
      <c r="B54" s="81" t="s">
        <v>845</v>
      </c>
      <c r="C54" s="81" t="n">
        <v>82052</v>
      </c>
      <c r="D54" s="81" t="n">
        <v>4</v>
      </c>
      <c r="E54" s="81" t="n">
        <v>20</v>
      </c>
      <c r="F54" s="81" t="s">
        <v>909</v>
      </c>
      <c r="G54" s="81" t="s">
        <v>880</v>
      </c>
    </row>
    <row r="55" customFormat="false" ht="14.25" hidden="false" customHeight="true" outlineLevel="0" collapsed="false">
      <c r="A55" s="83" t="n">
        <v>46154.6748148148</v>
      </c>
      <c r="B55" s="81" t="s">
        <v>845</v>
      </c>
      <c r="C55" s="81" t="n">
        <v>71660</v>
      </c>
      <c r="D55" s="81" t="n">
        <v>4</v>
      </c>
      <c r="E55" s="81" t="n">
        <v>23</v>
      </c>
      <c r="F55" s="81" t="s">
        <v>910</v>
      </c>
      <c r="G55" s="81" t="s">
        <v>880</v>
      </c>
    </row>
    <row r="56" customFormat="false" ht="14.25" hidden="false" customHeight="true" outlineLevel="0" collapsed="false">
      <c r="A56" s="83" t="n">
        <v>46154.6750347222</v>
      </c>
      <c r="B56" s="81" t="s">
        <v>845</v>
      </c>
      <c r="C56" s="81" t="n">
        <v>71660</v>
      </c>
      <c r="D56" s="81" t="n">
        <v>4</v>
      </c>
      <c r="E56" s="81" t="n">
        <v>23</v>
      </c>
      <c r="F56" s="81" t="s">
        <v>911</v>
      </c>
      <c r="G56" s="81" t="s">
        <v>880</v>
      </c>
      <c r="H56" s="81" t="s">
        <v>912</v>
      </c>
    </row>
    <row r="57" customFormat="false" ht="14.25" hidden="false" customHeight="true" outlineLevel="0" collapsed="false">
      <c r="A57" s="83" t="n">
        <v>46155.6604282407</v>
      </c>
      <c r="B57" s="81" t="s">
        <v>845</v>
      </c>
      <c r="C57" s="81" t="n">
        <v>115007</v>
      </c>
      <c r="D57" s="81" t="n">
        <v>5</v>
      </c>
      <c r="E57" s="81" t="n">
        <v>31</v>
      </c>
      <c r="F57" s="81" t="s">
        <v>913</v>
      </c>
      <c r="G57" s="81" t="s">
        <v>880</v>
      </c>
    </row>
    <row r="58" customFormat="false" ht="14.25" hidden="false" customHeight="true" outlineLevel="0" collapsed="false">
      <c r="A58" s="83" t="n">
        <v>46155.7403356481</v>
      </c>
      <c r="B58" s="81" t="s">
        <v>845</v>
      </c>
      <c r="C58" s="81" t="n">
        <v>92755</v>
      </c>
      <c r="D58" s="81" t="n">
        <v>5</v>
      </c>
      <c r="E58" s="81" t="n">
        <v>26</v>
      </c>
      <c r="F58" s="81" t="s">
        <v>914</v>
      </c>
      <c r="G58" s="81" t="s">
        <v>880</v>
      </c>
    </row>
    <row r="59" customFormat="false" ht="14.25" hidden="false" customHeight="true" outlineLevel="0" collapsed="false">
      <c r="A59" s="83" t="n">
        <v>46155.810775463</v>
      </c>
      <c r="B59" s="81" t="s">
        <v>845</v>
      </c>
      <c r="C59" s="81" t="n">
        <v>113068</v>
      </c>
      <c r="D59" s="81" t="n">
        <v>5</v>
      </c>
      <c r="E59" s="81" t="n">
        <v>26</v>
      </c>
      <c r="F59" s="81" t="s">
        <v>849</v>
      </c>
      <c r="G59" s="81" t="s">
        <v>880</v>
      </c>
    </row>
    <row r="60" customFormat="false" ht="14.25" hidden="false" customHeight="true" outlineLevel="0" collapsed="false">
      <c r="A60" s="83" t="n">
        <v>46155.8628587963</v>
      </c>
      <c r="B60" s="81" t="s">
        <v>845</v>
      </c>
      <c r="C60" s="81" t="n">
        <v>113068</v>
      </c>
      <c r="D60" s="81" t="n">
        <v>1</v>
      </c>
      <c r="E60" s="81" t="n">
        <v>5</v>
      </c>
      <c r="F60" s="81" t="s">
        <v>915</v>
      </c>
      <c r="G60" s="81" t="s">
        <v>880</v>
      </c>
    </row>
    <row r="61" customFormat="false" ht="14.25" hidden="false" customHeight="true" outlineLevel="0" collapsed="false">
      <c r="A61" s="83" t="n">
        <v>46155.8920949074</v>
      </c>
      <c r="B61" s="81" t="s">
        <v>845</v>
      </c>
      <c r="C61" s="81" t="n">
        <v>113078</v>
      </c>
      <c r="D61" s="81" t="n">
        <v>5</v>
      </c>
      <c r="E61" s="81" t="n">
        <v>26</v>
      </c>
      <c r="F61" s="81" t="s">
        <v>866</v>
      </c>
      <c r="G61" s="81" t="s">
        <v>880</v>
      </c>
    </row>
    <row r="62" customFormat="false" ht="14.25" hidden="false" customHeight="true" outlineLevel="0" collapsed="false">
      <c r="A62" s="83" t="n">
        <v>46155.9405555556</v>
      </c>
      <c r="B62" s="81" t="s">
        <v>845</v>
      </c>
      <c r="C62" s="81" t="n">
        <v>73651</v>
      </c>
      <c r="D62" s="81" t="n">
        <v>2</v>
      </c>
      <c r="E62" s="81" t="n">
        <v>6</v>
      </c>
      <c r="F62" s="81" t="s">
        <v>885</v>
      </c>
      <c r="G62" s="81" t="s">
        <v>880</v>
      </c>
    </row>
    <row r="63" customFormat="false" ht="14.25" hidden="false" customHeight="true" outlineLevel="0" collapsed="false">
      <c r="A63" s="83" t="n">
        <v>46155.9627199074</v>
      </c>
      <c r="B63" s="81" t="s">
        <v>845</v>
      </c>
      <c r="C63" s="81" t="n">
        <v>70475</v>
      </c>
      <c r="D63" s="81" t="n">
        <v>2</v>
      </c>
      <c r="E63" s="81" t="n">
        <v>6</v>
      </c>
      <c r="F63" s="81" t="s">
        <v>916</v>
      </c>
      <c r="G63" s="81" t="s">
        <v>880</v>
      </c>
    </row>
    <row r="64" customFormat="false" ht="14.25" hidden="false" customHeight="true" outlineLevel="0" collapsed="false">
      <c r="A64" s="83" t="n">
        <v>46156.267974537</v>
      </c>
      <c r="B64" s="81" t="s">
        <v>845</v>
      </c>
      <c r="C64" s="81" t="n">
        <v>84566</v>
      </c>
      <c r="D64" s="81" t="n">
        <v>2</v>
      </c>
      <c r="E64" s="81" t="n">
        <v>6</v>
      </c>
      <c r="F64" s="81" t="s">
        <v>917</v>
      </c>
      <c r="G64" s="81" t="s">
        <v>880</v>
      </c>
    </row>
    <row r="65" customFormat="false" ht="14.25" hidden="false" customHeight="true" outlineLevel="0" collapsed="false">
      <c r="A65" s="83" t="n">
        <v>46161.3987615741</v>
      </c>
      <c r="B65" s="81" t="s">
        <v>845</v>
      </c>
      <c r="C65" s="81" t="n">
        <v>84576</v>
      </c>
      <c r="D65" s="81" t="n">
        <v>5</v>
      </c>
      <c r="E65" s="81" t="n">
        <v>13</v>
      </c>
      <c r="F65" s="81" t="s">
        <v>899</v>
      </c>
      <c r="G65" s="81" t="s">
        <v>880</v>
      </c>
    </row>
    <row r="66" customFormat="false" ht="14.25" hidden="false" customHeight="true" outlineLevel="0" collapsed="false">
      <c r="A66" s="83" t="n">
        <v>46161.4261342593</v>
      </c>
      <c r="B66" s="81" t="s">
        <v>845</v>
      </c>
      <c r="C66" s="81" t="n">
        <v>84601</v>
      </c>
      <c r="D66" s="81" t="n">
        <v>1</v>
      </c>
      <c r="E66" s="81" t="n">
        <v>7</v>
      </c>
      <c r="F66" s="81" t="s">
        <v>918</v>
      </c>
      <c r="G66" s="81" t="s">
        <v>880</v>
      </c>
    </row>
    <row r="67" customFormat="false" ht="14.25" hidden="false" customHeight="true" outlineLevel="0" collapsed="false">
      <c r="A67" s="83" t="n">
        <v>46161.5000810185</v>
      </c>
      <c r="B67" s="81" t="s">
        <v>845</v>
      </c>
      <c r="C67" s="81" t="n">
        <v>14566</v>
      </c>
      <c r="D67" s="81" t="n">
        <v>1</v>
      </c>
      <c r="E67" s="81" t="n">
        <v>7</v>
      </c>
      <c r="F67" s="81" t="s">
        <v>919</v>
      </c>
      <c r="G67" s="81" t="s">
        <v>880</v>
      </c>
    </row>
    <row r="68" customFormat="false" ht="14.25" hidden="false" customHeight="true" outlineLevel="0" collapsed="false">
      <c r="A68" s="83" t="n">
        <v>46161.6883333333</v>
      </c>
      <c r="B68" s="81" t="s">
        <v>845</v>
      </c>
      <c r="C68" s="81" t="n">
        <v>106793</v>
      </c>
      <c r="D68" s="81" t="n">
        <v>5</v>
      </c>
      <c r="E68" s="81" t="n">
        <v>25</v>
      </c>
      <c r="F68" s="81" t="s">
        <v>863</v>
      </c>
      <c r="G68" s="81" t="s">
        <v>880</v>
      </c>
    </row>
    <row r="69" customFormat="false" ht="14.25" hidden="false" customHeight="true" outlineLevel="0" collapsed="false">
      <c r="A69" s="83" t="n">
        <v>46162.3899421296</v>
      </c>
      <c r="B69" s="81" t="s">
        <v>845</v>
      </c>
      <c r="C69" s="81" t="n">
        <v>136</v>
      </c>
      <c r="D69" s="81" t="n">
        <v>4</v>
      </c>
      <c r="E69" s="81" t="n">
        <v>12</v>
      </c>
      <c r="F69" s="81" t="s">
        <v>920</v>
      </c>
      <c r="G69" s="81" t="s">
        <v>880</v>
      </c>
    </row>
    <row r="70" customFormat="false" ht="14.25" hidden="false" customHeight="true" outlineLevel="0" collapsed="false">
      <c r="A70" s="83" t="n">
        <v>46162.414849537</v>
      </c>
      <c r="B70" s="81" t="s">
        <v>845</v>
      </c>
      <c r="C70" s="81" t="n">
        <v>143</v>
      </c>
      <c r="D70" s="81" t="n">
        <v>2</v>
      </c>
      <c r="E70" s="81" t="n">
        <v>8</v>
      </c>
      <c r="F70" s="81" t="s">
        <v>921</v>
      </c>
      <c r="G70" s="81" t="s">
        <v>880</v>
      </c>
    </row>
    <row r="71" customFormat="false" ht="14.25" hidden="false" customHeight="true" outlineLevel="0" collapsed="false">
      <c r="A71" s="83" t="n">
        <v>46162.5170601852</v>
      </c>
      <c r="B71" s="81" t="s">
        <v>845</v>
      </c>
      <c r="C71" s="81" t="n">
        <v>164</v>
      </c>
      <c r="D71" s="81" t="n">
        <v>1</v>
      </c>
      <c r="E71" s="81" t="n">
        <v>7</v>
      </c>
      <c r="F71" s="81" t="s">
        <v>922</v>
      </c>
      <c r="G71" s="81" t="s">
        <v>880</v>
      </c>
    </row>
    <row r="72" customFormat="false" ht="14.25" hidden="false" customHeight="true" outlineLevel="0" collapsed="false">
      <c r="A72" s="83" t="n">
        <v>46162.6227083333</v>
      </c>
      <c r="B72" s="81" t="s">
        <v>845</v>
      </c>
      <c r="C72" s="81" t="n">
        <v>230</v>
      </c>
      <c r="D72" s="81" t="n">
        <v>1</v>
      </c>
      <c r="E72" s="81" t="n">
        <v>8</v>
      </c>
      <c r="F72" s="81" t="s">
        <v>923</v>
      </c>
      <c r="G72" s="81" t="s">
        <v>880</v>
      </c>
    </row>
    <row r="73" customFormat="false" ht="14.25" hidden="false" customHeight="true" outlineLevel="0" collapsed="false">
      <c r="A73" s="83" t="n">
        <v>46162.6643402778</v>
      </c>
      <c r="B73" s="81" t="s">
        <v>845</v>
      </c>
      <c r="C73" s="81" t="n">
        <v>232</v>
      </c>
      <c r="D73" s="81" t="n">
        <v>1</v>
      </c>
      <c r="E73" s="81" t="n">
        <v>5</v>
      </c>
      <c r="F73" s="81" t="s">
        <v>924</v>
      </c>
      <c r="G73" s="81" t="s">
        <v>880</v>
      </c>
    </row>
    <row r="74" customFormat="false" ht="14.25" hidden="false" customHeight="true" outlineLevel="0" collapsed="false">
      <c r="A74" s="83" t="n">
        <v>46162.7030787037</v>
      </c>
      <c r="B74" s="81" t="s">
        <v>845</v>
      </c>
      <c r="C74" s="81" t="n">
        <v>204</v>
      </c>
      <c r="D74" s="81" t="n">
        <v>1</v>
      </c>
      <c r="E74" s="81" t="n">
        <v>5</v>
      </c>
      <c r="F74" s="81" t="s">
        <v>925</v>
      </c>
      <c r="G74" s="81" t="s">
        <v>880</v>
      </c>
    </row>
    <row r="75" customFormat="false" ht="14.25" hidden="false" customHeight="true" outlineLevel="0" collapsed="false">
      <c r="A75" s="83" t="n">
        <v>46162.803125</v>
      </c>
      <c r="B75" s="81" t="s">
        <v>845</v>
      </c>
      <c r="C75" s="81" t="n">
        <v>239</v>
      </c>
      <c r="D75" s="81" t="n">
        <v>1</v>
      </c>
      <c r="E75" s="81" t="n">
        <v>5</v>
      </c>
      <c r="F75" s="81" t="s">
        <v>856</v>
      </c>
      <c r="G75" s="81" t="s">
        <v>880</v>
      </c>
    </row>
    <row r="76" customFormat="false" ht="14.25" hidden="false" customHeight="true" outlineLevel="0" collapsed="false">
      <c r="A76" s="83" t="n">
        <v>46163.4405787037</v>
      </c>
      <c r="B76" s="81" t="s">
        <v>845</v>
      </c>
      <c r="C76" s="81" t="n">
        <v>4102</v>
      </c>
      <c r="D76" s="81" t="n">
        <v>1</v>
      </c>
      <c r="E76" s="81" t="n">
        <v>5</v>
      </c>
      <c r="F76" s="81" t="s">
        <v>857</v>
      </c>
      <c r="G76" s="81" t="s">
        <v>880</v>
      </c>
    </row>
    <row r="77" customFormat="false" ht="14.25" hidden="false" customHeight="true" outlineLevel="0" collapsed="false">
      <c r="A77" s="83" t="n">
        <v>46163.4716550926</v>
      </c>
      <c r="B77" s="81" t="s">
        <v>845</v>
      </c>
      <c r="C77" s="81" t="n">
        <v>4103</v>
      </c>
      <c r="D77" s="81" t="n">
        <v>1</v>
      </c>
      <c r="E77" s="81" t="n">
        <v>5</v>
      </c>
      <c r="F77" s="81" t="s">
        <v>908</v>
      </c>
      <c r="G77" s="81" t="s">
        <v>880</v>
      </c>
    </row>
    <row r="78" customFormat="false" ht="14.25" hidden="false" customHeight="true" outlineLevel="0" collapsed="false">
      <c r="A78" s="83" t="n">
        <v>46163.4863310185</v>
      </c>
      <c r="B78" s="81" t="s">
        <v>845</v>
      </c>
      <c r="C78" s="81" t="n">
        <v>4106</v>
      </c>
      <c r="D78" s="81" t="n">
        <v>1</v>
      </c>
      <c r="E78" s="81" t="n">
        <v>7</v>
      </c>
      <c r="F78" s="81" t="s">
        <v>926</v>
      </c>
      <c r="G78" s="81" t="s">
        <v>880</v>
      </c>
    </row>
    <row r="79" customFormat="false" ht="14.25" hidden="false" customHeight="true" outlineLevel="0" collapsed="false">
      <c r="A79" s="83" t="n">
        <v>46163.5091666667</v>
      </c>
      <c r="B79" s="81" t="s">
        <v>845</v>
      </c>
      <c r="C79" s="81" t="n">
        <v>4109</v>
      </c>
      <c r="D79" s="81" t="n">
        <v>1</v>
      </c>
      <c r="E79" s="81" t="n">
        <v>5</v>
      </c>
      <c r="F79" s="81" t="s">
        <v>927</v>
      </c>
      <c r="G79" s="81" t="s">
        <v>880</v>
      </c>
    </row>
    <row r="80" customFormat="false" ht="14.25" hidden="false" customHeight="true" outlineLevel="0" collapsed="false">
      <c r="A80" s="83" t="n">
        <v>46163.5336689815</v>
      </c>
      <c r="B80" s="81" t="s">
        <v>845</v>
      </c>
      <c r="C80" s="81" t="n">
        <v>4114</v>
      </c>
      <c r="D80" s="81" t="n">
        <v>1</v>
      </c>
      <c r="E80" s="81" t="n">
        <v>7</v>
      </c>
      <c r="F80" s="81" t="s">
        <v>899</v>
      </c>
      <c r="G80" s="81" t="s">
        <v>880</v>
      </c>
    </row>
    <row r="81" customFormat="false" ht="14.25" hidden="false" customHeight="true" outlineLevel="0" collapsed="false">
      <c r="A81" s="83" t="n">
        <v>46163.5549884259</v>
      </c>
      <c r="B81" s="81" t="s">
        <v>845</v>
      </c>
      <c r="C81" s="81" t="n">
        <v>4115</v>
      </c>
      <c r="D81" s="81" t="n">
        <v>1</v>
      </c>
      <c r="E81" s="81" t="n">
        <v>7</v>
      </c>
      <c r="F81" s="81" t="s">
        <v>928</v>
      </c>
      <c r="G81" s="81" t="s">
        <v>880</v>
      </c>
    </row>
    <row r="82" customFormat="false" ht="14.25" hidden="false" customHeight="true" outlineLevel="0" collapsed="false">
      <c r="A82" s="83" t="n">
        <v>46163.5855439815</v>
      </c>
      <c r="B82" s="81" t="s">
        <v>845</v>
      </c>
      <c r="C82" s="81" t="n">
        <v>4118</v>
      </c>
      <c r="D82" s="81" t="n">
        <v>1</v>
      </c>
      <c r="E82" s="81" t="n">
        <v>7</v>
      </c>
      <c r="F82" s="81" t="s">
        <v>929</v>
      </c>
      <c r="G82" s="81" t="s">
        <v>880</v>
      </c>
    </row>
    <row r="83" customFormat="false" ht="14.25" hidden="false" customHeight="true" outlineLevel="0" collapsed="false">
      <c r="A83" s="83" t="n">
        <v>46164.3685185185</v>
      </c>
      <c r="B83" s="81" t="s">
        <v>845</v>
      </c>
      <c r="C83" s="81" t="n">
        <v>4119</v>
      </c>
      <c r="D83" s="81" t="n">
        <v>1</v>
      </c>
      <c r="E83" s="81" t="n">
        <v>7</v>
      </c>
      <c r="F83" s="81" t="s">
        <v>882</v>
      </c>
      <c r="G83" s="81" t="s">
        <v>880</v>
      </c>
    </row>
    <row r="84" customFormat="false" ht="14.25" hidden="false" customHeight="true" outlineLevel="0" collapsed="false">
      <c r="A84" s="83" t="n">
        <v>46164.3765393519</v>
      </c>
      <c r="B84" s="81" t="s">
        <v>845</v>
      </c>
      <c r="C84" s="81" t="n">
        <v>4120</v>
      </c>
      <c r="D84" s="81" t="n">
        <v>1</v>
      </c>
      <c r="E84" s="81" t="n">
        <v>7</v>
      </c>
      <c r="F84" s="81" t="s">
        <v>915</v>
      </c>
      <c r="G84" s="81" t="s">
        <v>880</v>
      </c>
    </row>
    <row r="85" customFormat="false" ht="14.25" hidden="false" customHeight="true" outlineLevel="0" collapsed="false">
      <c r="A85" s="83" t="n">
        <v>46164.3845601852</v>
      </c>
      <c r="B85" s="81" t="s">
        <v>845</v>
      </c>
      <c r="C85" s="81" t="n">
        <v>4121</v>
      </c>
      <c r="D85" s="81" t="n">
        <v>1</v>
      </c>
      <c r="E85" s="81" t="n">
        <v>7</v>
      </c>
      <c r="F85" s="81" t="s">
        <v>918</v>
      </c>
      <c r="G85" s="81" t="s">
        <v>880</v>
      </c>
    </row>
    <row r="86" customFormat="false" ht="14.25" hidden="false" customHeight="true" outlineLevel="0" collapsed="false">
      <c r="A86" s="83" t="n">
        <v>46164.3928587963</v>
      </c>
      <c r="B86" s="81" t="s">
        <v>845</v>
      </c>
      <c r="C86" s="81" t="n">
        <v>4122</v>
      </c>
      <c r="D86" s="81" t="n">
        <v>1</v>
      </c>
      <c r="E86" s="81" t="n">
        <v>7</v>
      </c>
      <c r="F86" s="81" t="s">
        <v>918</v>
      </c>
      <c r="G86" s="81" t="s">
        <v>880</v>
      </c>
    </row>
    <row r="87" customFormat="false" ht="14.25" hidden="false" customHeight="true" outlineLevel="0" collapsed="false">
      <c r="A87" s="83" t="n">
        <v>46164.3931018519</v>
      </c>
      <c r="B87" s="81" t="s">
        <v>845</v>
      </c>
      <c r="C87" s="81" t="n">
        <v>4122</v>
      </c>
      <c r="D87" s="81" t="n">
        <v>1</v>
      </c>
      <c r="E87" s="81" t="n">
        <v>7</v>
      </c>
      <c r="F87" s="81" t="s">
        <v>911</v>
      </c>
      <c r="G87" s="81" t="s">
        <v>880</v>
      </c>
      <c r="H87" s="81" t="s">
        <v>912</v>
      </c>
    </row>
    <row r="88" customFormat="false" ht="14.25" hidden="false" customHeight="true" outlineLevel="0" collapsed="false">
      <c r="A88" s="83" t="n">
        <v>46164.4087037037</v>
      </c>
      <c r="B88" s="81" t="s">
        <v>845</v>
      </c>
      <c r="C88" s="81" t="n">
        <v>4123</v>
      </c>
      <c r="D88" s="81" t="n">
        <v>1</v>
      </c>
      <c r="E88" s="81" t="n">
        <v>7</v>
      </c>
      <c r="F88" s="81" t="s">
        <v>930</v>
      </c>
      <c r="G88" s="81" t="s">
        <v>880</v>
      </c>
    </row>
    <row r="89" customFormat="false" ht="14.25" hidden="false" customHeight="true" outlineLevel="0" collapsed="false">
      <c r="A89" s="83" t="n">
        <v>46164.4166898148</v>
      </c>
      <c r="B89" s="81" t="s">
        <v>845</v>
      </c>
      <c r="C89" s="81" t="n">
        <v>4124</v>
      </c>
      <c r="D89" s="81" t="n">
        <v>1</v>
      </c>
      <c r="E89" s="81" t="n">
        <v>7</v>
      </c>
      <c r="F89" s="81" t="s">
        <v>898</v>
      </c>
      <c r="G89" s="81" t="s">
        <v>880</v>
      </c>
    </row>
    <row r="90" customFormat="false" ht="14.25" hidden="false" customHeight="true" outlineLevel="0" collapsed="false">
      <c r="A90" s="83" t="n">
        <v>46164.4297222222</v>
      </c>
      <c r="B90" s="81" t="s">
        <v>845</v>
      </c>
      <c r="C90" s="81" t="n">
        <v>4126</v>
      </c>
      <c r="D90" s="81" t="n">
        <v>1</v>
      </c>
      <c r="E90" s="81" t="n">
        <v>5</v>
      </c>
      <c r="F90" s="81" t="s">
        <v>931</v>
      </c>
      <c r="G90" s="81" t="s">
        <v>880</v>
      </c>
    </row>
    <row r="91" customFormat="false" ht="14.25" hidden="false" customHeight="true" outlineLevel="0" collapsed="false">
      <c r="A91" s="83" t="n">
        <v>46164.4395833333</v>
      </c>
      <c r="B91" s="81" t="s">
        <v>845</v>
      </c>
      <c r="C91" s="81" t="n">
        <v>4128</v>
      </c>
      <c r="D91" s="81" t="n">
        <v>1</v>
      </c>
      <c r="E91" s="81" t="n">
        <v>7</v>
      </c>
      <c r="F91" s="81" t="s">
        <v>922</v>
      </c>
      <c r="G91" s="81" t="s">
        <v>880</v>
      </c>
    </row>
    <row r="92" customFormat="false" ht="14.25" hidden="false" customHeight="true" outlineLevel="0" collapsed="false">
      <c r="A92" s="83" t="n">
        <v>46164.4398842593</v>
      </c>
      <c r="B92" s="81" t="s">
        <v>845</v>
      </c>
      <c r="C92" s="81" t="n">
        <v>4128</v>
      </c>
      <c r="D92" s="81" t="n">
        <v>1</v>
      </c>
      <c r="E92" s="81" t="n">
        <v>7</v>
      </c>
      <c r="F92" s="81" t="s">
        <v>911</v>
      </c>
      <c r="G92" s="81" t="s">
        <v>880</v>
      </c>
      <c r="H92" s="81" t="s">
        <v>932</v>
      </c>
    </row>
    <row r="93" customFormat="false" ht="14.25" hidden="false" customHeight="true" outlineLevel="0" collapsed="false">
      <c r="A93" s="83" t="n">
        <v>46167.5066319444</v>
      </c>
      <c r="B93" s="81" t="s">
        <v>845</v>
      </c>
      <c r="C93" s="81" t="n">
        <v>4129</v>
      </c>
      <c r="D93" s="81" t="n">
        <v>1</v>
      </c>
      <c r="E93" s="81" t="n">
        <v>7</v>
      </c>
      <c r="F93" s="81" t="s">
        <v>894</v>
      </c>
      <c r="G93" s="81" t="s">
        <v>880</v>
      </c>
    </row>
    <row r="94" customFormat="false" ht="14.25" hidden="false" customHeight="true" outlineLevel="0" collapsed="false">
      <c r="A94" s="83" t="n">
        <v>46167.5572569444</v>
      </c>
      <c r="B94" s="81" t="s">
        <v>845</v>
      </c>
      <c r="C94" s="81" t="n">
        <v>4130</v>
      </c>
      <c r="D94" s="81" t="n">
        <v>1</v>
      </c>
      <c r="E94" s="81" t="n">
        <v>7</v>
      </c>
      <c r="F94" s="81" t="s">
        <v>933</v>
      </c>
      <c r="G94" s="81" t="s">
        <v>880</v>
      </c>
    </row>
    <row r="95" customFormat="false" ht="14.25" hidden="false" customHeight="true" outlineLevel="0" collapsed="false">
      <c r="A95" s="83" t="n">
        <v>46168.3723726852</v>
      </c>
      <c r="B95" s="81" t="s">
        <v>845</v>
      </c>
      <c r="C95" s="81" t="n">
        <v>4131</v>
      </c>
      <c r="D95" s="81" t="n">
        <v>1</v>
      </c>
      <c r="E95" s="81" t="n">
        <v>7</v>
      </c>
      <c r="F95" s="81" t="s">
        <v>934</v>
      </c>
      <c r="G95" s="81" t="s">
        <v>880</v>
      </c>
    </row>
    <row r="96" customFormat="false" ht="14.25" hidden="false" customHeight="true" outlineLevel="0" collapsed="false">
      <c r="A96" s="83" t="n">
        <v>46168.4001967593</v>
      </c>
      <c r="B96" s="81" t="s">
        <v>845</v>
      </c>
      <c r="C96" s="81" t="n">
        <v>4132</v>
      </c>
      <c r="D96" s="81" t="n">
        <v>5</v>
      </c>
      <c r="E96" s="81" t="n">
        <v>17</v>
      </c>
      <c r="F96" s="81" t="s">
        <v>872</v>
      </c>
      <c r="G96" s="81" t="s">
        <v>880</v>
      </c>
    </row>
    <row r="97" customFormat="false" ht="14.25" hidden="false" customHeight="true" outlineLevel="0" collapsed="false">
      <c r="A97" s="83" t="n">
        <v>46169.3558796296</v>
      </c>
      <c r="B97" s="81" t="s">
        <v>845</v>
      </c>
      <c r="C97" s="81" t="n">
        <v>4137</v>
      </c>
      <c r="D97" s="81" t="n">
        <v>1</v>
      </c>
      <c r="E97" s="81" t="n">
        <v>5</v>
      </c>
      <c r="F97" s="81" t="s">
        <v>935</v>
      </c>
      <c r="G97" s="81" t="s">
        <v>880</v>
      </c>
    </row>
    <row r="98" customFormat="false" ht="14.25" hidden="false" customHeight="true" outlineLevel="0" collapsed="false">
      <c r="A98" s="83" t="n">
        <v>46169.3740740741</v>
      </c>
      <c r="B98" s="81" t="s">
        <v>845</v>
      </c>
      <c r="C98" s="81" t="n">
        <v>4139</v>
      </c>
      <c r="D98" s="81" t="n">
        <v>1</v>
      </c>
      <c r="E98" s="81" t="n">
        <v>7</v>
      </c>
      <c r="F98" s="81" t="s">
        <v>936</v>
      </c>
      <c r="G98" s="81" t="s">
        <v>880</v>
      </c>
    </row>
    <row r="99" customFormat="false" ht="14.25" hidden="false" customHeight="true" outlineLevel="0" collapsed="false">
      <c r="A99" s="83" t="n">
        <v>46169.3948726852</v>
      </c>
      <c r="B99" s="81" t="s">
        <v>845</v>
      </c>
      <c r="C99" s="81" t="n">
        <v>27689</v>
      </c>
      <c r="D99" s="81" t="n">
        <v>1</v>
      </c>
      <c r="E99" s="81" t="n">
        <v>7</v>
      </c>
      <c r="F99" s="81" t="s">
        <v>937</v>
      </c>
      <c r="G99" s="81" t="s">
        <v>880</v>
      </c>
    </row>
    <row r="100" customFormat="false" ht="14.25" hidden="false" customHeight="true" outlineLevel="0" collapsed="false">
      <c r="A100" s="83" t="n">
        <v>46169.4126157407</v>
      </c>
      <c r="B100" s="81" t="s">
        <v>845</v>
      </c>
      <c r="C100" s="81" t="n">
        <v>28253</v>
      </c>
      <c r="D100" s="81" t="n">
        <v>2</v>
      </c>
      <c r="E100" s="81" t="n">
        <v>8</v>
      </c>
      <c r="F100" s="81" t="s">
        <v>923</v>
      </c>
      <c r="G100" s="81" t="s">
        <v>880</v>
      </c>
    </row>
    <row r="101" customFormat="false" ht="14.25" hidden="false" customHeight="true" outlineLevel="0" collapsed="false">
      <c r="A101" s="83" t="n">
        <v>46169.4288194445</v>
      </c>
      <c r="B101" s="81" t="s">
        <v>845</v>
      </c>
      <c r="C101" s="81" t="n">
        <v>28329</v>
      </c>
      <c r="D101" s="81" t="n">
        <v>1</v>
      </c>
      <c r="E101" s="81" t="n">
        <v>5</v>
      </c>
      <c r="F101" s="81" t="s">
        <v>938</v>
      </c>
      <c r="G101" s="81" t="s">
        <v>880</v>
      </c>
    </row>
    <row r="102" customFormat="false" ht="14.25" hidden="false" customHeight="true" outlineLevel="0" collapsed="false">
      <c r="A102" s="83" t="n">
        <v>46171.7543634259</v>
      </c>
      <c r="B102" s="81" t="s">
        <v>845</v>
      </c>
      <c r="C102" s="81" t="n">
        <v>49249</v>
      </c>
      <c r="D102" s="81" t="n">
        <v>1</v>
      </c>
      <c r="E102" s="81" t="n">
        <v>5</v>
      </c>
      <c r="F102" s="81" t="s">
        <v>939</v>
      </c>
      <c r="G102" s="81" t="s">
        <v>880</v>
      </c>
    </row>
    <row r="103" customFormat="false" ht="14.25" hidden="false" customHeight="true" outlineLevel="0" collapsed="false">
      <c r="A103" s="83" t="n">
        <v>46174.6607638889</v>
      </c>
      <c r="B103" s="81" t="s">
        <v>845</v>
      </c>
      <c r="C103" s="81" t="n">
        <v>17458</v>
      </c>
      <c r="D103" s="81" t="n">
        <v>1</v>
      </c>
      <c r="E103" s="81" t="n">
        <v>7</v>
      </c>
      <c r="F103" s="81" t="s">
        <v>940</v>
      </c>
      <c r="G103" s="81" t="s">
        <v>880</v>
      </c>
    </row>
    <row r="104" customFormat="false" ht="14.25" hidden="false" customHeight="true" outlineLevel="0" collapsed="false">
      <c r="A104" s="83" t="n">
        <v>46174.7188657407</v>
      </c>
      <c r="B104" s="81" t="s">
        <v>845</v>
      </c>
      <c r="C104" s="81" t="n">
        <v>17457</v>
      </c>
      <c r="D104" s="81" t="n">
        <v>1</v>
      </c>
      <c r="E104" s="81" t="n">
        <v>7</v>
      </c>
      <c r="F104" s="81" t="s">
        <v>941</v>
      </c>
      <c r="G104" s="81" t="s">
        <v>880</v>
      </c>
    </row>
    <row r="105" customFormat="false" ht="14.25" hidden="false" customHeight="true" outlineLevel="0" collapsed="false">
      <c r="A105" s="83" t="n">
        <v>46174.7497453704</v>
      </c>
      <c r="B105" s="81" t="s">
        <v>845</v>
      </c>
      <c r="C105" s="81" t="n">
        <v>17456</v>
      </c>
      <c r="D105" s="81" t="n">
        <v>1</v>
      </c>
      <c r="E105" s="81" t="n">
        <v>7</v>
      </c>
      <c r="F105" s="81" t="s">
        <v>899</v>
      </c>
      <c r="G105" s="81" t="s">
        <v>880</v>
      </c>
    </row>
    <row r="106" customFormat="false" ht="14.25" hidden="false" customHeight="true" outlineLevel="0" collapsed="false">
      <c r="A106" s="83" t="n">
        <v>46174.8295023148</v>
      </c>
      <c r="B106" s="81" t="s">
        <v>845</v>
      </c>
      <c r="C106" s="81" t="n">
        <v>17455</v>
      </c>
      <c r="D106" s="81" t="n">
        <v>1</v>
      </c>
      <c r="E106" s="81" t="n">
        <v>7</v>
      </c>
      <c r="F106" s="81" t="s">
        <v>942</v>
      </c>
      <c r="G106" s="81" t="s">
        <v>880</v>
      </c>
    </row>
    <row r="107" customFormat="false" ht="14.25" hidden="false" customHeight="true" outlineLevel="0" collapsed="false">
      <c r="A107" s="83" t="n">
        <v>46174.8409490741</v>
      </c>
      <c r="B107" s="81" t="s">
        <v>845</v>
      </c>
      <c r="C107" s="81" t="n">
        <v>17454</v>
      </c>
      <c r="D107" s="81" t="n">
        <v>1</v>
      </c>
      <c r="E107" s="81" t="n">
        <v>7</v>
      </c>
      <c r="F107" s="81" t="s">
        <v>943</v>
      </c>
      <c r="G107" s="81" t="s">
        <v>880</v>
      </c>
    </row>
    <row r="108" customFormat="false" ht="14.25" hidden="false" customHeight="true" outlineLevel="0" collapsed="false">
      <c r="A108" s="83" t="n">
        <v>46174.8628819444</v>
      </c>
      <c r="B108" s="81" t="s">
        <v>845</v>
      </c>
      <c r="C108" s="81" t="n">
        <v>17452</v>
      </c>
      <c r="D108" s="81" t="n">
        <v>1</v>
      </c>
      <c r="E108" s="81" t="n">
        <v>7</v>
      </c>
      <c r="F108" s="81" t="s">
        <v>937</v>
      </c>
      <c r="G108" s="81" t="s">
        <v>880</v>
      </c>
    </row>
    <row r="109" customFormat="false" ht="14.25" hidden="false" customHeight="true" outlineLevel="0" collapsed="false">
      <c r="A109" s="83" t="n">
        <v>46174.8763541667</v>
      </c>
      <c r="B109" s="81" t="s">
        <v>845</v>
      </c>
      <c r="C109" s="81" t="n">
        <v>17449</v>
      </c>
      <c r="D109" s="81" t="n">
        <v>1</v>
      </c>
      <c r="E109" s="81" t="n">
        <v>7</v>
      </c>
      <c r="F109" s="81" t="s">
        <v>885</v>
      </c>
      <c r="G109" s="81" t="s">
        <v>880</v>
      </c>
    </row>
    <row r="110" customFormat="false" ht="14.25" hidden="false" customHeight="true" outlineLevel="0" collapsed="false">
      <c r="A110" s="83" t="n">
        <v>46174.8947222222</v>
      </c>
      <c r="B110" s="81" t="s">
        <v>845</v>
      </c>
      <c r="C110" s="81" t="n">
        <v>17447</v>
      </c>
      <c r="D110" s="81" t="n">
        <v>1</v>
      </c>
      <c r="E110" s="81" t="n">
        <v>7</v>
      </c>
      <c r="F110" s="81" t="s">
        <v>918</v>
      </c>
      <c r="G110" s="81" t="s">
        <v>880</v>
      </c>
    </row>
    <row r="111" customFormat="false" ht="14.25" hidden="false" customHeight="true" outlineLevel="0" collapsed="false">
      <c r="A111" s="83" t="n">
        <v>46191.7665856482</v>
      </c>
      <c r="B111" s="81" t="s">
        <v>845</v>
      </c>
      <c r="C111" s="81" t="s">
        <v>944</v>
      </c>
      <c r="D111" s="81" t="n">
        <v>1</v>
      </c>
      <c r="E111" s="81" t="n">
        <v>1</v>
      </c>
      <c r="F111" s="81" t="s">
        <v>945</v>
      </c>
      <c r="G111" s="81" t="s">
        <v>880</v>
      </c>
    </row>
    <row r="112" customFormat="false" ht="14.25" hidden="false" customHeight="true" outlineLevel="0" collapsed="false">
      <c r="A112" s="83" t="n">
        <v>46192.4213310185</v>
      </c>
      <c r="B112" s="81" t="s">
        <v>845</v>
      </c>
      <c r="C112" s="81" t="n">
        <v>84244</v>
      </c>
      <c r="D112" s="81" t="n">
        <v>4</v>
      </c>
      <c r="E112" s="81" t="n">
        <v>20</v>
      </c>
      <c r="F112" s="81" t="s">
        <v>946</v>
      </c>
      <c r="G112" s="81" t="s">
        <v>880</v>
      </c>
    </row>
    <row r="113" customFormat="false" ht="14.25" hidden="false" customHeight="true" outlineLevel="0" collapsed="false">
      <c r="A113" s="83" t="n">
        <v>46192.5425578704</v>
      </c>
      <c r="B113" s="81" t="s">
        <v>845</v>
      </c>
      <c r="C113" s="81" t="n">
        <v>108704</v>
      </c>
      <c r="D113" s="81" t="n">
        <v>3</v>
      </c>
      <c r="E113" s="81" t="n">
        <v>17</v>
      </c>
      <c r="F113" s="81" t="s">
        <v>947</v>
      </c>
      <c r="G113" s="81" t="s">
        <v>880</v>
      </c>
    </row>
    <row r="114" customFormat="false" ht="14.25" hidden="false" customHeight="true" outlineLevel="0" collapsed="false">
      <c r="A114" s="83" t="n">
        <v>46192.6337384259</v>
      </c>
      <c r="B114" s="81" t="s">
        <v>845</v>
      </c>
      <c r="C114" s="81" t="n">
        <v>113960</v>
      </c>
      <c r="D114" s="81" t="n">
        <v>4</v>
      </c>
      <c r="E114" s="81" t="n">
        <v>18</v>
      </c>
      <c r="F114" s="81" t="s">
        <v>866</v>
      </c>
      <c r="G114" s="81" t="s">
        <v>880</v>
      </c>
    </row>
    <row r="115" customFormat="false" ht="14.25" hidden="false" customHeight="true" outlineLevel="0" collapsed="false">
      <c r="A115" s="83" t="n">
        <v>46192.8099189815</v>
      </c>
      <c r="B115" s="81" t="s">
        <v>845</v>
      </c>
      <c r="C115" s="81" t="n">
        <v>125759</v>
      </c>
      <c r="D115" s="81" t="n">
        <v>4</v>
      </c>
      <c r="E115" s="81" t="n">
        <v>12</v>
      </c>
      <c r="F115" s="81" t="s">
        <v>948</v>
      </c>
      <c r="G115" s="81" t="s">
        <v>880</v>
      </c>
    </row>
    <row r="116" customFormat="false" ht="14.25" hidden="false" customHeight="true" outlineLevel="0" collapsed="false">
      <c r="A116" s="83" t="n">
        <v>46192.8617476852</v>
      </c>
      <c r="B116" s="81" t="s">
        <v>845</v>
      </c>
      <c r="C116" s="81" t="n">
        <v>124414</v>
      </c>
      <c r="D116" s="81" t="n">
        <v>4</v>
      </c>
      <c r="E116" s="81" t="n">
        <v>14</v>
      </c>
      <c r="F116" s="81" t="s">
        <v>949</v>
      </c>
      <c r="G116" s="81" t="s">
        <v>880</v>
      </c>
    </row>
    <row r="117" customFormat="false" ht="14.25" hidden="false" customHeight="true" outlineLevel="0" collapsed="false">
      <c r="A117" s="83" t="n">
        <v>46192.9286689815</v>
      </c>
      <c r="B117" s="81" t="s">
        <v>845</v>
      </c>
      <c r="C117" s="81" t="n">
        <v>125153</v>
      </c>
      <c r="D117" s="81" t="n">
        <v>4</v>
      </c>
      <c r="E117" s="81" t="n">
        <v>14</v>
      </c>
      <c r="F117" s="81" t="s">
        <v>950</v>
      </c>
      <c r="G117" s="81" t="s">
        <v>880</v>
      </c>
    </row>
    <row r="118" customFormat="false" ht="14.25" hidden="false" customHeight="true" outlineLevel="0" collapsed="false">
      <c r="A118" s="83" t="n">
        <v>46195.505775463</v>
      </c>
      <c r="B118" s="81" t="s">
        <v>845</v>
      </c>
      <c r="C118" s="81" t="n">
        <v>123034</v>
      </c>
      <c r="D118" s="81" t="n">
        <v>4</v>
      </c>
      <c r="E118" s="81" t="n">
        <v>8</v>
      </c>
      <c r="F118" s="81" t="s">
        <v>942</v>
      </c>
      <c r="G118" s="81" t="s">
        <v>880</v>
      </c>
    </row>
    <row r="119" customFormat="false" ht="14.25" hidden="false" customHeight="true" outlineLevel="0" collapsed="false">
      <c r="A119" s="83" t="n">
        <v>46195.5793518519</v>
      </c>
      <c r="B119" s="81" t="s">
        <v>845</v>
      </c>
      <c r="C119" s="81" t="n">
        <v>123034</v>
      </c>
      <c r="D119" s="81" t="n">
        <v>1</v>
      </c>
      <c r="E119" s="81" t="n">
        <v>8</v>
      </c>
      <c r="F119" s="81" t="s">
        <v>951</v>
      </c>
      <c r="G119" s="81" t="s">
        <v>880</v>
      </c>
    </row>
    <row r="120" customFormat="false" ht="14.25" hidden="false" customHeight="true" outlineLevel="0" collapsed="false">
      <c r="A120" s="83" t="n">
        <v>46195.966875</v>
      </c>
      <c r="B120" s="81" t="s">
        <v>845</v>
      </c>
      <c r="C120" s="81" t="n">
        <v>125435</v>
      </c>
      <c r="D120" s="81" t="n">
        <v>4</v>
      </c>
      <c r="E120" s="81" t="n">
        <v>8</v>
      </c>
      <c r="F120" s="81" t="s">
        <v>952</v>
      </c>
      <c r="G120" s="81" t="s">
        <v>880</v>
      </c>
    </row>
    <row r="121" customFormat="false" ht="14.25" hidden="false" customHeight="true" outlineLevel="0" collapsed="false">
      <c r="A121" s="83" t="n">
        <v>46196.5364814815</v>
      </c>
      <c r="B121" s="81" t="s">
        <v>845</v>
      </c>
      <c r="C121" s="81" t="n">
        <v>124896</v>
      </c>
      <c r="D121" s="81" t="n">
        <v>2</v>
      </c>
      <c r="E121" s="81" t="n">
        <v>6</v>
      </c>
      <c r="F121" s="81" t="s">
        <v>928</v>
      </c>
      <c r="G121" s="81" t="s">
        <v>880</v>
      </c>
    </row>
    <row r="122" customFormat="false" ht="14.25" hidden="false" customHeight="true" outlineLevel="0" collapsed="false">
      <c r="A122" s="83" t="n">
        <v>46196.7279861111</v>
      </c>
      <c r="B122" s="81" t="s">
        <v>845</v>
      </c>
      <c r="C122" s="81" t="n">
        <v>115987</v>
      </c>
      <c r="D122" s="81" t="n">
        <v>2</v>
      </c>
      <c r="E122" s="81" t="n">
        <v>10</v>
      </c>
      <c r="F122" s="81" t="s">
        <v>953</v>
      </c>
      <c r="G122" s="81" t="s">
        <v>880</v>
      </c>
    </row>
    <row r="123" customFormat="false" ht="14.25" hidden="false" customHeight="true" outlineLevel="0" collapsed="false">
      <c r="A123" s="83" t="n">
        <v>46196.9578819444</v>
      </c>
      <c r="B123" s="81" t="s">
        <v>845</v>
      </c>
      <c r="C123" s="81" t="n">
        <v>124677</v>
      </c>
      <c r="D123" s="81" t="n">
        <v>4</v>
      </c>
      <c r="E123" s="81" t="n">
        <v>12</v>
      </c>
      <c r="F123" s="81" t="s">
        <v>954</v>
      </c>
      <c r="G123" s="81" t="s">
        <v>880</v>
      </c>
    </row>
    <row r="124" customFormat="false" ht="14.25" hidden="false" customHeight="true" outlineLevel="0" collapsed="false">
      <c r="A124" s="83" t="n">
        <v>46197.0400115741</v>
      </c>
      <c r="B124" s="81" t="s">
        <v>845</v>
      </c>
      <c r="C124" s="81" t="n">
        <v>124379</v>
      </c>
      <c r="D124" s="81" t="n">
        <v>4</v>
      </c>
      <c r="E124" s="81" t="n">
        <v>14</v>
      </c>
      <c r="F124" s="81" t="s">
        <v>955</v>
      </c>
      <c r="G124" s="81" t="s">
        <v>880</v>
      </c>
    </row>
    <row r="125" customFormat="false" ht="14.25" hidden="false" customHeight="true" outlineLevel="0" collapsed="false">
      <c r="A125" s="83" t="n">
        <v>46198.5394791667</v>
      </c>
      <c r="B125" s="81" t="s">
        <v>845</v>
      </c>
      <c r="C125" s="81" t="n">
        <v>114067</v>
      </c>
      <c r="D125" s="81" t="n">
        <v>4</v>
      </c>
      <c r="E125" s="81" t="n">
        <v>20</v>
      </c>
      <c r="F125" s="81" t="s">
        <v>934</v>
      </c>
      <c r="G125" s="81" t="s">
        <v>880</v>
      </c>
    </row>
    <row r="126" customFormat="false" ht="14.25" hidden="false" customHeight="true" outlineLevel="0" collapsed="false">
      <c r="A126" s="83" t="n">
        <v>46198.6438773148</v>
      </c>
      <c r="B126" s="81" t="s">
        <v>845</v>
      </c>
      <c r="C126" s="81" t="n">
        <v>16978</v>
      </c>
      <c r="D126" s="81" t="n">
        <v>2</v>
      </c>
      <c r="E126" s="81" t="n">
        <v>10</v>
      </c>
      <c r="F126" s="81" t="s">
        <v>956</v>
      </c>
      <c r="G126" s="81" t="s">
        <v>880</v>
      </c>
    </row>
    <row r="127" customFormat="false" ht="14.25" hidden="false" customHeight="true" outlineLevel="0" collapsed="false">
      <c r="A127" s="83" t="n">
        <v>46198.7478587963</v>
      </c>
      <c r="B127" s="81" t="s">
        <v>845</v>
      </c>
      <c r="C127" s="81" t="n">
        <v>16882</v>
      </c>
      <c r="D127" s="81" t="n">
        <v>1</v>
      </c>
      <c r="E127" s="81" t="n">
        <v>5</v>
      </c>
      <c r="F127" s="81" t="s">
        <v>957</v>
      </c>
      <c r="G127" s="81" t="s">
        <v>880</v>
      </c>
    </row>
    <row r="128" customFormat="false" ht="14.25" hidden="false" customHeight="true" outlineLevel="0" collapsed="false">
      <c r="A128" s="83" t="n">
        <v>46198.853599537</v>
      </c>
      <c r="B128" s="81" t="s">
        <v>845</v>
      </c>
      <c r="C128" s="81" t="n">
        <v>16962</v>
      </c>
      <c r="D128" s="81" t="n">
        <v>1</v>
      </c>
      <c r="E128" s="81" t="n">
        <v>7</v>
      </c>
      <c r="F128" s="81" t="s">
        <v>877</v>
      </c>
      <c r="G128" s="81" t="s">
        <v>880</v>
      </c>
    </row>
    <row r="129" customFormat="false" ht="14.25" hidden="false" customHeight="true" outlineLevel="0" collapsed="false">
      <c r="A129" s="83" t="n">
        <v>46198.9290972222</v>
      </c>
      <c r="B129" s="81" t="s">
        <v>845</v>
      </c>
      <c r="C129" s="81" t="n">
        <v>16954</v>
      </c>
      <c r="D129" s="81" t="n">
        <v>1</v>
      </c>
      <c r="E129" s="81" t="n">
        <v>7</v>
      </c>
      <c r="F129" s="81" t="s">
        <v>958</v>
      </c>
      <c r="G129" s="81" t="s">
        <v>880</v>
      </c>
    </row>
    <row r="130" customFormat="false" ht="14.25" hidden="false" customHeight="true" outlineLevel="0" collapsed="false">
      <c r="A130" s="83" t="n">
        <v>46199.3694328704</v>
      </c>
      <c r="B130" s="81" t="s">
        <v>845</v>
      </c>
      <c r="C130" s="81" t="n">
        <v>16890</v>
      </c>
      <c r="D130" s="81" t="n">
        <v>3</v>
      </c>
      <c r="E130" s="81" t="n">
        <v>11</v>
      </c>
      <c r="F130" s="81" t="s">
        <v>959</v>
      </c>
      <c r="G130" s="81" t="s">
        <v>880</v>
      </c>
    </row>
    <row r="131" customFormat="false" ht="14.25" hidden="false" customHeight="true" outlineLevel="0" collapsed="false">
      <c r="A131" s="83" t="n">
        <v>46199.4233217593</v>
      </c>
      <c r="B131" s="81" t="s">
        <v>845</v>
      </c>
      <c r="C131" s="81" t="n">
        <v>6903</v>
      </c>
      <c r="D131" s="81" t="n">
        <v>4</v>
      </c>
      <c r="E131" s="81" t="n">
        <v>12</v>
      </c>
      <c r="F131" s="81" t="s">
        <v>960</v>
      </c>
      <c r="G131" s="81" t="s">
        <v>880</v>
      </c>
    </row>
    <row r="132" customFormat="false" ht="14.25" hidden="false" customHeight="true" outlineLevel="0" collapsed="false">
      <c r="A132" s="83" t="n">
        <v>46199.4628125</v>
      </c>
      <c r="B132" s="81" t="s">
        <v>845</v>
      </c>
      <c r="C132" s="81" t="n">
        <v>6904</v>
      </c>
      <c r="D132" s="81" t="n">
        <v>1</v>
      </c>
      <c r="E132" s="81" t="n">
        <v>7</v>
      </c>
      <c r="F132" s="81" t="s">
        <v>961</v>
      </c>
      <c r="G132" s="81" t="s">
        <v>880</v>
      </c>
    </row>
    <row r="133" customFormat="false" ht="14.25" hidden="false" customHeight="true" outlineLevel="0" collapsed="false">
      <c r="A133" s="83" t="n">
        <v>46199.5000115741</v>
      </c>
      <c r="B133" s="81" t="s">
        <v>845</v>
      </c>
      <c r="C133" s="81" t="n">
        <v>6905</v>
      </c>
      <c r="D133" s="81" t="n">
        <v>1</v>
      </c>
      <c r="E133" s="81" t="n">
        <v>5</v>
      </c>
      <c r="F133" s="81" t="s">
        <v>884</v>
      </c>
      <c r="G133" s="81" t="s">
        <v>880</v>
      </c>
    </row>
    <row r="134" customFormat="false" ht="14.25" hidden="false" customHeight="true" outlineLevel="0" collapsed="false">
      <c r="A134" s="83" t="n">
        <v>46202.5</v>
      </c>
      <c r="B134" s="81" t="s">
        <v>845</v>
      </c>
      <c r="C134" s="81" t="n">
        <v>123186</v>
      </c>
      <c r="D134" s="81" t="n">
        <v>2</v>
      </c>
      <c r="E134" s="81" t="n">
        <v>6</v>
      </c>
      <c r="F134" s="81" t="s">
        <v>962</v>
      </c>
      <c r="G134" s="81" t="s">
        <v>880</v>
      </c>
    </row>
    <row r="135" customFormat="false" ht="14.25" hidden="false" customHeight="true" outlineLevel="0" collapsed="false">
      <c r="A135" s="83" t="n">
        <v>46202.5805555556</v>
      </c>
      <c r="B135" s="81" t="s">
        <v>845</v>
      </c>
      <c r="C135" s="81" t="n">
        <v>123208</v>
      </c>
      <c r="D135" s="81" t="n">
        <v>2</v>
      </c>
      <c r="E135" s="81" t="n">
        <v>6</v>
      </c>
      <c r="F135" s="81" t="s">
        <v>963</v>
      </c>
      <c r="G135" s="81" t="s">
        <v>880</v>
      </c>
    </row>
    <row r="136" customFormat="false" ht="14.25" hidden="false" customHeight="true" outlineLevel="0" collapsed="false">
      <c r="A136" s="83" t="n">
        <v>46202.6297569444</v>
      </c>
      <c r="B136" s="81" t="s">
        <v>845</v>
      </c>
      <c r="C136" s="81" t="n">
        <v>125721</v>
      </c>
      <c r="D136" s="81" t="n">
        <v>2</v>
      </c>
      <c r="E136" s="81" t="n">
        <v>8</v>
      </c>
      <c r="F136" s="81" t="s">
        <v>964</v>
      </c>
      <c r="G136" s="81" t="s">
        <v>880</v>
      </c>
    </row>
    <row r="137" customFormat="false" ht="14.25" hidden="false" customHeight="true" outlineLevel="0" collapsed="false">
      <c r="A137" s="83" t="n">
        <v>46202.9249189815</v>
      </c>
      <c r="B137" s="81" t="s">
        <v>845</v>
      </c>
      <c r="C137" s="81" t="n">
        <v>124644</v>
      </c>
      <c r="D137" s="81" t="n">
        <v>2</v>
      </c>
      <c r="E137" s="81" t="n">
        <v>7</v>
      </c>
      <c r="F137" s="81" t="s">
        <v>918</v>
      </c>
      <c r="G137" s="81" t="s">
        <v>880</v>
      </c>
    </row>
    <row r="138" customFormat="false" ht="14.25" hidden="false" customHeight="true" outlineLevel="0" collapsed="false">
      <c r="A138" s="83" t="n">
        <v>46203.6258564815</v>
      </c>
      <c r="B138" s="81" t="s">
        <v>845</v>
      </c>
      <c r="C138" s="81" t="n">
        <v>122584</v>
      </c>
      <c r="D138" s="81" t="n">
        <v>1</v>
      </c>
      <c r="E138" s="81" t="n">
        <v>3</v>
      </c>
      <c r="F138" s="81" t="s">
        <v>965</v>
      </c>
      <c r="G138" s="81" t="s">
        <v>880</v>
      </c>
    </row>
    <row r="139" customFormat="false" ht="14.25" hidden="false" customHeight="true" outlineLevel="0" collapsed="false">
      <c r="A139" s="83" t="n">
        <v>46203.6393287037</v>
      </c>
      <c r="B139" s="81" t="s">
        <v>845</v>
      </c>
      <c r="C139" s="81" t="n">
        <v>123852</v>
      </c>
      <c r="D139" s="81" t="n">
        <v>1</v>
      </c>
      <c r="E139" s="81" t="n">
        <v>3</v>
      </c>
      <c r="F139" s="81" t="s">
        <v>966</v>
      </c>
      <c r="G139" s="81" t="s">
        <v>880</v>
      </c>
    </row>
    <row r="140" customFormat="false" ht="14.25" hidden="false" customHeight="true" outlineLevel="0" collapsed="false">
      <c r="A140" s="83" t="n">
        <v>46204.5821643519</v>
      </c>
      <c r="B140" s="81" t="s">
        <v>845</v>
      </c>
      <c r="C140" s="81" t="n">
        <v>131901</v>
      </c>
      <c r="D140" s="81" t="n">
        <v>2</v>
      </c>
      <c r="E140" s="81" t="n">
        <v>6</v>
      </c>
      <c r="F140" s="81" t="s">
        <v>885</v>
      </c>
      <c r="G140" s="81" t="s">
        <v>880</v>
      </c>
    </row>
    <row r="141" customFormat="false" ht="14.25" hidden="false" customHeight="true" outlineLevel="0" collapsed="false">
      <c r="A141" s="83" t="n">
        <v>46204.6296990741</v>
      </c>
      <c r="B141" s="81" t="s">
        <v>845</v>
      </c>
      <c r="C141" s="81" t="n">
        <v>128317</v>
      </c>
      <c r="D141" s="81" t="n">
        <v>4</v>
      </c>
      <c r="E141" s="81" t="n">
        <v>14</v>
      </c>
      <c r="F141" s="81" t="s">
        <v>967</v>
      </c>
      <c r="G141" s="81" t="s">
        <v>880</v>
      </c>
    </row>
    <row r="142" customFormat="false" ht="14.25" hidden="false" customHeight="true" outlineLevel="0" collapsed="false">
      <c r="A142" s="83" t="n">
        <v>46205.3846527778</v>
      </c>
      <c r="B142" s="81" t="s">
        <v>845</v>
      </c>
      <c r="C142" s="81" t="n">
        <v>129949</v>
      </c>
      <c r="D142" s="81" t="n">
        <v>2</v>
      </c>
      <c r="E142" s="81" t="n">
        <v>8</v>
      </c>
      <c r="F142" s="81" t="s">
        <v>968</v>
      </c>
      <c r="G142" s="81" t="s">
        <v>880</v>
      </c>
    </row>
    <row r="143" customFormat="false" ht="14.25" hidden="false" customHeight="true" outlineLevel="0" collapsed="false">
      <c r="A143" s="83" t="n">
        <v>46205.4341782407</v>
      </c>
      <c r="B143" s="81" t="s">
        <v>845</v>
      </c>
      <c r="C143" s="81" t="n">
        <v>130837</v>
      </c>
      <c r="D143" s="81" t="n">
        <v>2</v>
      </c>
      <c r="E143" s="81" t="n">
        <v>8</v>
      </c>
      <c r="F143" s="81" t="s">
        <v>969</v>
      </c>
      <c r="G143" s="81" t="s">
        <v>880</v>
      </c>
    </row>
    <row r="144" customFormat="false" ht="14.25" hidden="false" customHeight="true" outlineLevel="0" collapsed="false">
      <c r="A144" s="83" t="n">
        <v>46205.536087963</v>
      </c>
      <c r="B144" s="81" t="s">
        <v>845</v>
      </c>
      <c r="C144" s="81" t="n">
        <v>130321</v>
      </c>
      <c r="D144" s="81" t="n">
        <v>4</v>
      </c>
      <c r="E144" s="81" t="n">
        <v>16</v>
      </c>
      <c r="F144" s="81" t="s">
        <v>970</v>
      </c>
      <c r="G144" s="81" t="s">
        <v>880</v>
      </c>
    </row>
    <row r="145" customFormat="false" ht="14.25" hidden="false" customHeight="true" outlineLevel="0" collapsed="false">
      <c r="A145" s="83" t="n">
        <v>46205.6671064815</v>
      </c>
      <c r="B145" s="81" t="s">
        <v>845</v>
      </c>
      <c r="C145" s="81" t="n">
        <v>132813</v>
      </c>
      <c r="D145" s="81" t="n">
        <v>4</v>
      </c>
      <c r="E145" s="81" t="n">
        <v>14</v>
      </c>
      <c r="F145" s="81" t="s">
        <v>934</v>
      </c>
      <c r="G145" s="81" t="s">
        <v>880</v>
      </c>
    </row>
    <row r="146" customFormat="false" ht="14.25" hidden="false" customHeight="true" outlineLevel="0" collapsed="false">
      <c r="A146" s="83" t="n">
        <v>46205.7378009259</v>
      </c>
      <c r="B146" s="81" t="s">
        <v>845</v>
      </c>
      <c r="C146" s="81" t="n">
        <v>131194</v>
      </c>
      <c r="D146" s="81" t="n">
        <v>1</v>
      </c>
      <c r="E146" s="81" t="n">
        <v>7</v>
      </c>
      <c r="F146" s="81" t="s">
        <v>971</v>
      </c>
      <c r="G146" s="81" t="s">
        <v>880</v>
      </c>
    </row>
    <row r="147" customFormat="false" ht="14.25" hidden="false" customHeight="true" outlineLevel="0" collapsed="false">
      <c r="A147" s="83" t="n">
        <v>46205.8002893519</v>
      </c>
      <c r="B147" s="81" t="s">
        <v>845</v>
      </c>
      <c r="C147" s="81" t="n">
        <v>132618</v>
      </c>
      <c r="D147" s="81" t="n">
        <v>4</v>
      </c>
      <c r="E147" s="81" t="n">
        <v>20</v>
      </c>
      <c r="F147" s="81" t="s">
        <v>972</v>
      </c>
      <c r="G147" s="81" t="s">
        <v>880</v>
      </c>
    </row>
    <row r="148" customFormat="false" ht="14.25" hidden="false" customHeight="true" outlineLevel="0" collapsed="false">
      <c r="A148" s="83" t="n">
        <v>46206.3484259259</v>
      </c>
      <c r="B148" s="81" t="s">
        <v>845</v>
      </c>
      <c r="C148" s="81" t="n">
        <v>132002</v>
      </c>
      <c r="D148" s="81" t="n">
        <v>4</v>
      </c>
      <c r="E148" s="81" t="n">
        <v>24</v>
      </c>
      <c r="F148" s="81" t="s">
        <v>973</v>
      </c>
      <c r="G148" s="81" t="s">
        <v>880</v>
      </c>
    </row>
    <row r="149" customFormat="false" ht="14.25" hidden="false" customHeight="true" outlineLevel="0" collapsed="false">
      <c r="A149" s="83" t="n">
        <v>46206.3989583333</v>
      </c>
      <c r="B149" s="81" t="s">
        <v>845</v>
      </c>
      <c r="C149" s="81" t="n">
        <v>128498</v>
      </c>
      <c r="D149" s="81" t="n">
        <v>3</v>
      </c>
      <c r="E149" s="81" t="n">
        <v>11</v>
      </c>
      <c r="F149" s="81" t="s">
        <v>974</v>
      </c>
      <c r="G149" s="81" t="s">
        <v>880</v>
      </c>
    </row>
    <row r="150" customFormat="false" ht="14.25" hidden="false" customHeight="true" outlineLevel="0" collapsed="false">
      <c r="A150" s="83" t="n">
        <v>46206.4943171296</v>
      </c>
      <c r="B150" s="81" t="s">
        <v>845</v>
      </c>
      <c r="C150" s="81" t="n">
        <v>128201</v>
      </c>
      <c r="D150" s="81" t="n">
        <v>4</v>
      </c>
      <c r="E150" s="81" t="n">
        <v>24</v>
      </c>
      <c r="F150" s="81" t="s">
        <v>975</v>
      </c>
      <c r="G150" s="81" t="s">
        <v>880</v>
      </c>
    </row>
    <row r="151" customFormat="false" ht="14.25" hidden="false" customHeight="true" outlineLevel="0" collapsed="false">
      <c r="A151" s="83" t="n">
        <v>46206.5597685185</v>
      </c>
      <c r="B151" s="81" t="s">
        <v>845</v>
      </c>
      <c r="C151" s="81" t="n">
        <v>129218</v>
      </c>
      <c r="D151" s="81" t="n">
        <v>4</v>
      </c>
      <c r="E151" s="81" t="n">
        <v>14</v>
      </c>
      <c r="F151" s="81" t="s">
        <v>976</v>
      </c>
      <c r="G151" s="81" t="s">
        <v>880</v>
      </c>
    </row>
    <row r="152" customFormat="false" ht="14.25" hidden="false" customHeight="true" outlineLevel="0" collapsed="false">
      <c r="A152" s="83" t="n">
        <v>46206.6146990741</v>
      </c>
      <c r="B152" s="81" t="s">
        <v>845</v>
      </c>
      <c r="C152" s="81" t="n">
        <v>130394</v>
      </c>
      <c r="D152" s="81" t="n">
        <v>2</v>
      </c>
      <c r="E152" s="81" t="n">
        <v>6</v>
      </c>
      <c r="F152" s="81" t="s">
        <v>977</v>
      </c>
      <c r="G152" s="81" t="s">
        <v>880</v>
      </c>
    </row>
    <row r="153" customFormat="false" ht="14.25" hidden="false" customHeight="true" outlineLevel="0" collapsed="false">
      <c r="A153" s="83" t="n">
        <v>46206.7863888889</v>
      </c>
      <c r="B153" s="81" t="s">
        <v>845</v>
      </c>
      <c r="C153" s="81" t="n">
        <v>131670</v>
      </c>
      <c r="D153" s="81" t="n">
        <v>4</v>
      </c>
      <c r="E153" s="81" t="n">
        <v>20</v>
      </c>
      <c r="F153" s="81" t="s">
        <v>978</v>
      </c>
      <c r="G153" s="81" t="s">
        <v>880</v>
      </c>
    </row>
    <row r="154" customFormat="false" ht="14.25" hidden="false" customHeight="true" outlineLevel="0" collapsed="false">
      <c r="A154" s="83" t="n">
        <v>46206.7923842593</v>
      </c>
      <c r="B154" s="81" t="s">
        <v>845</v>
      </c>
      <c r="C154" s="81" t="n">
        <v>131670</v>
      </c>
      <c r="D154" s="81" t="n">
        <v>4</v>
      </c>
      <c r="E154" s="81" t="n">
        <v>20</v>
      </c>
      <c r="F154" s="81" t="s">
        <v>979</v>
      </c>
      <c r="G154" s="81" t="s">
        <v>880</v>
      </c>
    </row>
    <row r="155" customFormat="false" ht="14.25" hidden="false" customHeight="true" outlineLevel="0" collapsed="false">
      <c r="A155" s="83" t="n">
        <v>46209.5140972222</v>
      </c>
      <c r="B155" s="81" t="s">
        <v>845</v>
      </c>
      <c r="C155" s="81" t="n">
        <v>132983</v>
      </c>
      <c r="D155" s="81" t="n">
        <v>3</v>
      </c>
      <c r="E155" s="81" t="n">
        <v>15</v>
      </c>
      <c r="F155" s="81" t="s">
        <v>980</v>
      </c>
      <c r="G155" s="81" t="s">
        <v>880</v>
      </c>
    </row>
    <row r="156" customFormat="false" ht="14.25" hidden="false" customHeight="true" outlineLevel="0" collapsed="false">
      <c r="A156" s="83" t="n">
        <v>46209.5950115741</v>
      </c>
      <c r="B156" s="81" t="s">
        <v>845</v>
      </c>
      <c r="C156" s="81" t="n">
        <v>122828</v>
      </c>
      <c r="D156" s="81" t="n">
        <v>2</v>
      </c>
      <c r="E156" s="81" t="n">
        <v>10</v>
      </c>
      <c r="F156" s="81" t="s">
        <v>879</v>
      </c>
      <c r="G156" s="81" t="s">
        <v>880</v>
      </c>
    </row>
    <row r="157" customFormat="false" ht="14.25" hidden="false" customHeight="true" outlineLevel="0" collapsed="false">
      <c r="A157" s="83" t="n">
        <v>46209.6378703704</v>
      </c>
      <c r="B157" s="81" t="s">
        <v>845</v>
      </c>
      <c r="C157" s="81" t="n">
        <v>132004</v>
      </c>
      <c r="D157" s="81" t="n">
        <v>2</v>
      </c>
      <c r="E157" s="81" t="n">
        <v>8</v>
      </c>
      <c r="F157" s="81" t="s">
        <v>981</v>
      </c>
      <c r="G157" s="81" t="s">
        <v>880</v>
      </c>
    </row>
    <row r="158" customFormat="false" ht="14.25" hidden="false" customHeight="true" outlineLevel="0" collapsed="false">
      <c r="A158" s="83" t="n">
        <v>46209.7211574074</v>
      </c>
      <c r="B158" s="81" t="s">
        <v>845</v>
      </c>
      <c r="C158" s="81" t="n">
        <v>131903</v>
      </c>
      <c r="D158" s="81" t="n">
        <v>2</v>
      </c>
      <c r="E158" s="81" t="n">
        <v>10</v>
      </c>
      <c r="F158" s="81" t="s">
        <v>982</v>
      </c>
      <c r="G158" s="81" t="s">
        <v>880</v>
      </c>
    </row>
    <row r="159" customFormat="false" ht="14.25" hidden="false" customHeight="true" outlineLevel="0" collapsed="false">
      <c r="A159" s="83" t="n">
        <v>46209.7613657407</v>
      </c>
      <c r="B159" s="81" t="s">
        <v>845</v>
      </c>
      <c r="C159" s="81" t="n">
        <v>131328</v>
      </c>
      <c r="D159" s="81" t="n">
        <v>2</v>
      </c>
      <c r="E159" s="81" t="n">
        <v>8</v>
      </c>
      <c r="F159" s="81" t="s">
        <v>954</v>
      </c>
      <c r="G159" s="81" t="s">
        <v>880</v>
      </c>
    </row>
    <row r="160" customFormat="false" ht="14.25" hidden="false" customHeight="true" outlineLevel="0" collapsed="false">
      <c r="A160" s="83" t="n">
        <v>46210.4086342593</v>
      </c>
      <c r="B160" s="81" t="s">
        <v>845</v>
      </c>
      <c r="C160" s="81" t="n">
        <v>129778</v>
      </c>
      <c r="D160" s="81" t="n">
        <v>2</v>
      </c>
      <c r="E160" s="81" t="n">
        <v>8</v>
      </c>
      <c r="F160" s="81" t="s">
        <v>983</v>
      </c>
      <c r="G160" s="81" t="s">
        <v>880</v>
      </c>
    </row>
    <row r="161" customFormat="false" ht="14.25" hidden="false" customHeight="true" outlineLevel="0" collapsed="false">
      <c r="A161" s="83" t="n">
        <v>46210.4636805556</v>
      </c>
      <c r="B161" s="81" t="s">
        <v>845</v>
      </c>
      <c r="C161" s="81" t="n">
        <v>130679</v>
      </c>
      <c r="D161" s="81" t="n">
        <v>4</v>
      </c>
      <c r="E161" s="81" t="n">
        <v>14</v>
      </c>
      <c r="F161" s="81" t="s">
        <v>984</v>
      </c>
      <c r="G161" s="81" t="s">
        <v>880</v>
      </c>
    </row>
    <row r="162" customFormat="false" ht="14.25" hidden="false" customHeight="true" outlineLevel="0" collapsed="false">
      <c r="A162" s="83" t="n">
        <v>46210.5194328704</v>
      </c>
      <c r="B162" s="81" t="s">
        <v>845</v>
      </c>
      <c r="C162" s="81" t="n">
        <v>129548</v>
      </c>
      <c r="D162" s="81" t="n">
        <v>2</v>
      </c>
      <c r="E162" s="81" t="n">
        <v>8</v>
      </c>
      <c r="F162" s="81" t="s">
        <v>985</v>
      </c>
      <c r="G162" s="81" t="s">
        <v>880</v>
      </c>
    </row>
    <row r="163" customFormat="false" ht="14.25" hidden="false" customHeight="true" outlineLevel="0" collapsed="false">
      <c r="A163" s="83" t="n">
        <v>46210.7007523148</v>
      </c>
      <c r="B163" s="81" t="s">
        <v>845</v>
      </c>
      <c r="C163" s="81" t="n">
        <v>128372</v>
      </c>
      <c r="D163" s="81" t="n">
        <v>2</v>
      </c>
      <c r="E163" s="81" t="n">
        <v>8</v>
      </c>
      <c r="F163" s="81" t="s">
        <v>930</v>
      </c>
      <c r="G163" s="81" t="s">
        <v>880</v>
      </c>
    </row>
    <row r="164" customFormat="false" ht="14.25" hidden="false" customHeight="true" outlineLevel="0" collapsed="false">
      <c r="A164" s="83" t="n">
        <v>46210.7526157407</v>
      </c>
      <c r="B164" s="81" t="s">
        <v>845</v>
      </c>
      <c r="C164" s="81" t="n">
        <v>128415</v>
      </c>
      <c r="D164" s="81" t="n">
        <v>4</v>
      </c>
      <c r="E164" s="81" t="n">
        <v>22</v>
      </c>
      <c r="F164" s="81" t="s">
        <v>872</v>
      </c>
      <c r="G164" s="81" t="s">
        <v>880</v>
      </c>
    </row>
    <row r="165" customFormat="false" ht="14.25" hidden="false" customHeight="true" outlineLevel="0" collapsed="false">
      <c r="A165" s="83" t="n">
        <v>46210.7953240741</v>
      </c>
      <c r="B165" s="81" t="s">
        <v>845</v>
      </c>
      <c r="C165" s="81" t="n">
        <v>129188</v>
      </c>
      <c r="D165" s="81" t="n">
        <v>4</v>
      </c>
      <c r="E165" s="81" t="n">
        <v>20</v>
      </c>
      <c r="F165" s="81" t="s">
        <v>986</v>
      </c>
      <c r="G165" s="81" t="s">
        <v>880</v>
      </c>
    </row>
    <row r="166" customFormat="false" ht="14.25" hidden="false" customHeight="true" outlineLevel="0" collapsed="false">
      <c r="A166" s="83" t="n">
        <v>46211.5648611111</v>
      </c>
      <c r="B166" s="81" t="s">
        <v>845</v>
      </c>
      <c r="C166" s="81" t="n">
        <v>132428</v>
      </c>
      <c r="D166" s="81" t="n">
        <v>2</v>
      </c>
      <c r="E166" s="81" t="n">
        <v>6</v>
      </c>
      <c r="F166" s="81" t="s">
        <v>987</v>
      </c>
      <c r="G166" s="81" t="s">
        <v>880</v>
      </c>
    </row>
    <row r="167" customFormat="false" ht="14.25" hidden="false" customHeight="true" outlineLevel="0" collapsed="false">
      <c r="A167" s="83" t="n">
        <v>46211.583125</v>
      </c>
      <c r="B167" s="81" t="s">
        <v>845</v>
      </c>
      <c r="C167" s="81" t="n">
        <v>132276</v>
      </c>
      <c r="D167" s="81" t="n">
        <v>2</v>
      </c>
      <c r="E167" s="81" t="n">
        <v>6</v>
      </c>
      <c r="F167" s="81" t="s">
        <v>988</v>
      </c>
      <c r="G167" s="81" t="s">
        <v>880</v>
      </c>
    </row>
    <row r="168" customFormat="false" ht="14.25" hidden="false" customHeight="true" outlineLevel="0" collapsed="false">
      <c r="A168" s="83" t="n">
        <v>46211.6022106482</v>
      </c>
      <c r="B168" s="81" t="s">
        <v>845</v>
      </c>
      <c r="C168" s="81" t="n">
        <v>130184</v>
      </c>
      <c r="D168" s="81" t="n">
        <v>2</v>
      </c>
      <c r="E168" s="81" t="n">
        <v>6</v>
      </c>
      <c r="F168" s="81" t="s">
        <v>989</v>
      </c>
      <c r="G168" s="81" t="s">
        <v>880</v>
      </c>
    </row>
    <row r="169" customFormat="false" ht="14.25" hidden="false" customHeight="true" outlineLevel="0" collapsed="false">
      <c r="A169" s="83" t="n">
        <v>46211.6256365741</v>
      </c>
      <c r="B169" s="81" t="s">
        <v>845</v>
      </c>
      <c r="C169" s="81" t="n">
        <v>131052</v>
      </c>
      <c r="D169" s="81" t="n">
        <v>2</v>
      </c>
      <c r="E169" s="81" t="n">
        <v>8</v>
      </c>
      <c r="F169" s="81" t="s">
        <v>955</v>
      </c>
      <c r="G169" s="81" t="s">
        <v>880</v>
      </c>
    </row>
    <row r="170" customFormat="false" ht="14.25" hidden="false" customHeight="true" outlineLevel="0" collapsed="false">
      <c r="A170" s="83" t="n">
        <v>46211.7441203704</v>
      </c>
      <c r="B170" s="81" t="s">
        <v>845</v>
      </c>
      <c r="C170" s="81" t="n">
        <v>130756</v>
      </c>
      <c r="D170" s="81" t="n">
        <v>2</v>
      </c>
      <c r="E170" s="81" t="n">
        <v>8</v>
      </c>
      <c r="F170" s="81" t="s">
        <v>971</v>
      </c>
      <c r="G170" s="81" t="s">
        <v>880</v>
      </c>
    </row>
    <row r="171" customFormat="false" ht="14.25" hidden="false" customHeight="true" outlineLevel="0" collapsed="false">
      <c r="A171" s="83" t="n">
        <v>46212.4417013889</v>
      </c>
      <c r="B171" s="81" t="s">
        <v>845</v>
      </c>
      <c r="C171" s="81" t="n">
        <v>132500</v>
      </c>
      <c r="D171" s="81" t="n">
        <v>1</v>
      </c>
      <c r="E171" s="81" t="n">
        <v>7</v>
      </c>
      <c r="F171" s="81" t="s">
        <v>990</v>
      </c>
      <c r="G171" s="81" t="s">
        <v>880</v>
      </c>
    </row>
    <row r="172" customFormat="false" ht="14.25" hidden="false" customHeight="true" outlineLevel="0" collapsed="false">
      <c r="A172" s="83" t="n">
        <v>46212.4419328704</v>
      </c>
    </row>
    <row r="173" customFormat="false" ht="14.25" hidden="false" customHeight="true" outlineLevel="0" collapsed="false">
      <c r="A173" s="83" t="n">
        <v>46212.6750925926</v>
      </c>
      <c r="B173" s="81" t="s">
        <v>845</v>
      </c>
      <c r="C173" s="81" t="n">
        <v>130406</v>
      </c>
      <c r="D173" s="81" t="n">
        <v>5</v>
      </c>
      <c r="E173" s="81" t="n">
        <v>20</v>
      </c>
      <c r="F173" s="81" t="s">
        <v>991</v>
      </c>
      <c r="G173" s="81" t="s">
        <v>880</v>
      </c>
    </row>
    <row r="174" customFormat="false" ht="14.25" hidden="false" customHeight="true" outlineLevel="0" collapsed="false">
      <c r="A174" s="83" t="n">
        <v>46212.7287615741</v>
      </c>
      <c r="B174" s="81" t="s">
        <v>845</v>
      </c>
      <c r="C174" s="81" t="n">
        <v>131012</v>
      </c>
      <c r="D174" s="81" t="n">
        <v>2</v>
      </c>
      <c r="E174" s="81" t="n">
        <v>10</v>
      </c>
      <c r="F174" s="81" t="s">
        <v>971</v>
      </c>
      <c r="G174" s="81" t="s">
        <v>880</v>
      </c>
    </row>
    <row r="175" customFormat="false" ht="14.25" hidden="false" customHeight="true" outlineLevel="0" collapsed="false">
      <c r="A175" s="83" t="n">
        <v>46212.8214814815</v>
      </c>
      <c r="B175" s="81" t="s">
        <v>845</v>
      </c>
      <c r="C175" s="81" t="n">
        <v>128411</v>
      </c>
      <c r="D175" s="81" t="n">
        <v>4</v>
      </c>
      <c r="E175" s="81" t="n">
        <v>22</v>
      </c>
      <c r="F175" s="81" t="s">
        <v>915</v>
      </c>
      <c r="G175" s="81" t="s">
        <v>880</v>
      </c>
    </row>
    <row r="176" customFormat="false" ht="14.25" hidden="false" customHeight="true" outlineLevel="0" collapsed="false">
      <c r="A176" s="83" t="n">
        <v>46213.0491898148</v>
      </c>
      <c r="B176" s="81" t="s">
        <v>845</v>
      </c>
      <c r="C176" s="81" t="n">
        <v>132371</v>
      </c>
      <c r="D176" s="81" t="n">
        <v>4</v>
      </c>
      <c r="E176" s="81" t="n">
        <v>14</v>
      </c>
      <c r="F176" s="81" t="s">
        <v>957</v>
      </c>
      <c r="G176" s="81" t="s">
        <v>880</v>
      </c>
    </row>
    <row r="177" customFormat="false" ht="14.25" hidden="false" customHeight="true" outlineLevel="0" collapsed="false">
      <c r="A177" s="83" t="n">
        <v>46213.073125</v>
      </c>
      <c r="B177" s="81" t="s">
        <v>845</v>
      </c>
      <c r="C177" s="81" t="n">
        <v>130587</v>
      </c>
      <c r="D177" s="81" t="n">
        <v>2</v>
      </c>
      <c r="E177" s="81" t="n">
        <v>6</v>
      </c>
      <c r="F177" s="81" t="s">
        <v>992</v>
      </c>
      <c r="G177" s="81" t="s">
        <v>880</v>
      </c>
    </row>
    <row r="178" customFormat="false" ht="14.25" hidden="false" customHeight="true" outlineLevel="0" collapsed="false">
      <c r="A178" s="83" t="n">
        <v>46230.3771296296</v>
      </c>
      <c r="B178" s="81" t="s">
        <v>845</v>
      </c>
      <c r="C178" s="81" t="s">
        <v>944</v>
      </c>
      <c r="D178" s="81" t="n">
        <v>1</v>
      </c>
      <c r="E178" s="81" t="n">
        <v>3</v>
      </c>
      <c r="F178" s="81" t="s">
        <v>990</v>
      </c>
      <c r="G178" s="81" t="s">
        <v>993</v>
      </c>
      <c r="I178" s="81" t="n">
        <v>0</v>
      </c>
    </row>
    <row r="179" customFormat="false" ht="14.25" hidden="false" customHeight="true" outlineLevel="0" collapsed="false">
      <c r="A179" s="83" t="n">
        <v>46230.4097916667</v>
      </c>
      <c r="B179" s="81" t="s">
        <v>845</v>
      </c>
      <c r="C179" s="81" t="s">
        <v>944</v>
      </c>
      <c r="D179" s="81" t="n">
        <v>2</v>
      </c>
      <c r="E179" s="81" t="n">
        <v>8</v>
      </c>
      <c r="F179" s="81" t="s">
        <v>994</v>
      </c>
      <c r="G179" s="81" t="s">
        <v>993</v>
      </c>
      <c r="I179" s="81" t="n">
        <v>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29"/>
  <sheetViews>
    <sheetView showFormulas="false" showGridLines="true" showRowColHeaders="true" showZeros="true" rightToLeft="false" tabSelected="false" showOutlineSymbols="true" defaultGridColor="true" view="normal" topLeftCell="H1" colorId="64" zoomScale="100" zoomScaleNormal="100" zoomScalePageLayoutView="100" workbookViewId="0">
      <selection pane="topLeft" activeCell="K16" activeCellId="0" sqref="K16"/>
    </sheetView>
  </sheetViews>
  <sheetFormatPr defaultColWidth="8.73046875" defaultRowHeight="14.25" zeroHeight="false" outlineLevelRow="0" outlineLevelCol="0"/>
  <cols>
    <col collapsed="false" customWidth="true" hidden="false" outlineLevel="0" max="1" min="1" style="68" width="13.45"/>
    <col collapsed="false" customWidth="true" hidden="false" outlineLevel="0" max="2" min="2" style="68" width="13.18"/>
    <col collapsed="false" customWidth="true" hidden="false" outlineLevel="0" max="3" min="3" style="68" width="20"/>
    <col collapsed="false" customWidth="true" hidden="false" outlineLevel="0" max="4" min="4" style="68" width="13.18"/>
    <col collapsed="false" customWidth="true" hidden="false" outlineLevel="0" max="5" min="5" style="68" width="18.82"/>
    <col collapsed="false" customWidth="false" hidden="false" outlineLevel="0" max="9" min="6" style="68" width="8.73"/>
    <col collapsed="false" customWidth="true" hidden="false" outlineLevel="0" max="10" min="10" style="81" width="19.18"/>
    <col collapsed="false" customWidth="true" hidden="false" outlineLevel="0" max="11" min="11" style="81" width="255.54"/>
    <col collapsed="false" customWidth="false" hidden="false" outlineLevel="0" max="16384" min="12" style="68" width="8.73"/>
  </cols>
  <sheetData>
    <row r="1" customFormat="false" ht="14.25" hidden="false" customHeight="true" outlineLevel="0" collapsed="false">
      <c r="A1" s="84" t="s">
        <v>2</v>
      </c>
      <c r="B1" s="85" t="s">
        <v>995</v>
      </c>
      <c r="C1" s="85" t="s">
        <v>996</v>
      </c>
      <c r="D1" s="85" t="s">
        <v>3</v>
      </c>
      <c r="E1" s="86" t="s">
        <v>997</v>
      </c>
      <c r="J1" s="81" t="s">
        <v>998</v>
      </c>
      <c r="K1" s="87" t="s">
        <v>999</v>
      </c>
    </row>
    <row r="2" customFormat="false" ht="14.25" hidden="false" customHeight="true" outlineLevel="0" collapsed="false">
      <c r="A2" s="88" t="s">
        <v>1000</v>
      </c>
      <c r="B2" s="89" t="s">
        <v>1001</v>
      </c>
      <c r="C2" s="89" t="s">
        <v>1002</v>
      </c>
      <c r="D2" s="89" t="s">
        <v>1001</v>
      </c>
      <c r="E2" s="90" t="s">
        <v>1003</v>
      </c>
      <c r="J2" s="81" t="s">
        <v>1004</v>
      </c>
      <c r="K2" s="81" t="str">
        <f aca="false">IF(Sheet1!$J$7="Wise",IFERROR(VLOOKUP(Sheet1!$J$9, Template_DB!A:B, 2, FALSE()), "Please Select an Escalation Scenario"),"" )</f>
        <v/>
      </c>
    </row>
    <row r="3" customFormat="false" ht="14.25" hidden="false" customHeight="true" outlineLevel="0" collapsed="false">
      <c r="A3" s="88" t="s">
        <v>1000</v>
      </c>
      <c r="B3" s="89" t="s">
        <v>1005</v>
      </c>
      <c r="C3" s="89" t="s">
        <v>1006</v>
      </c>
      <c r="D3" s="89" t="s">
        <v>1005</v>
      </c>
      <c r="E3" s="90" t="s">
        <v>1007</v>
      </c>
      <c r="J3" s="81" t="s">
        <v>1008</v>
      </c>
      <c r="K3" s="87" t="str">
        <f aca="false" t="array" ref="K3:K3">_xlfn.IFS(AND(Sheet1!$J$6="Escalation", Sheet1!$J$7="Wise"), Template_DB!$B$2, AND(Sheet1!$J$6="Escalation", Sheet1!$J$7="Fluz"), Template_DB!$B$3, AND(Sheet1!$J$6="Non-Escalation", Sheet1!$J$7="Wise"), Template_DB!$B$4, AND(Sheet1!$J$6="Non-Escalation", Sheet1!$J$7="Fluz"), Template_DB!$B$4, AND(Sheet1!$J$6="Escalation", Sheet1!$J$7="Crypto"), Template_DB!$B$5, AND(Sheet1!$J$6="Non-Escalation", Sheet1!$J$7="Crypto"), Template_DB!$B$6, AND(Sheet1!$J$6="RFI", Sheet1!$J$7="Wise"), Template_DB!$B$7, AND(Sheet1!$J$6="RFI", Sheet1!$J$7="Airwallex"), Template_DB!$B$8, AND(Sheet1!$J$6="RFI", Sheet1!$J$7="Common"), Template_DB!$B$9, TRUE(), "Select Template")</f>
        <v>Select Template</v>
      </c>
    </row>
    <row r="4" customFormat="false" ht="14.25" hidden="false" customHeight="true" outlineLevel="0" collapsed="false">
      <c r="A4" s="88" t="s">
        <v>1000</v>
      </c>
      <c r="B4" s="89" t="s">
        <v>1009</v>
      </c>
      <c r="C4" s="89" t="s">
        <v>1010</v>
      </c>
      <c r="D4" s="89" t="s">
        <v>1009</v>
      </c>
      <c r="E4" s="90" t="s">
        <v>1007</v>
      </c>
      <c r="J4" s="81" t="s">
        <v>1011</v>
      </c>
      <c r="K4" s="87" t="n">
        <f aca="false">Sheet1!J14</f>
        <v>0</v>
      </c>
    </row>
    <row r="5" customFormat="false" ht="14.25" hidden="false" customHeight="true" outlineLevel="0" collapsed="false">
      <c r="A5" s="88" t="s">
        <v>1012</v>
      </c>
      <c r="B5" s="89" t="s">
        <v>1013</v>
      </c>
      <c r="C5" s="89" t="s">
        <v>1014</v>
      </c>
      <c r="D5" s="89" t="s">
        <v>1013</v>
      </c>
      <c r="E5" s="90" t="s">
        <v>1007</v>
      </c>
      <c r="J5" s="81" t="s">
        <v>1015</v>
      </c>
      <c r="K5" s="87" t="n">
        <f aca="false">Sheet1!J10</f>
        <v>0</v>
      </c>
    </row>
    <row r="6" customFormat="false" ht="15" hidden="false" customHeight="true" outlineLevel="0" collapsed="false">
      <c r="A6" s="88" t="s">
        <v>1012</v>
      </c>
      <c r="B6" s="91" t="s">
        <v>1009</v>
      </c>
      <c r="C6" s="91" t="s">
        <v>1016</v>
      </c>
      <c r="D6" s="91" t="s">
        <v>1009</v>
      </c>
      <c r="E6" s="90" t="s">
        <v>1007</v>
      </c>
      <c r="J6" s="81" t="s">
        <v>1017</v>
      </c>
      <c r="K6" s="87" t="n">
        <f aca="false">Sheet1!J11</f>
        <v>0</v>
      </c>
    </row>
    <row r="7" customFormat="false" ht="14.25" hidden="false" customHeight="true" outlineLevel="0" collapsed="false">
      <c r="J7" s="81" t="s">
        <v>1018</v>
      </c>
      <c r="K7" s="87" t="n">
        <f aca="false">Sheet1!J15</f>
        <v>0</v>
      </c>
    </row>
    <row r="8" customFormat="false" ht="14.25" hidden="false" customHeight="true" outlineLevel="0" collapsed="false">
      <c r="A8" s="68" t="s">
        <v>1019</v>
      </c>
      <c r="D8" s="68" t="s">
        <v>1001</v>
      </c>
      <c r="E8" s="68" t="s">
        <v>1001</v>
      </c>
      <c r="J8" s="81" t="s">
        <v>1020</v>
      </c>
      <c r="K8" s="87" t="str">
        <f aca="false">IF(COUNTA(Sheet1!J19:J24)&gt;1,SUBSTITUTE(_xlfn.TEXTJOIN(", ", TRUE(), Sheet1!J19:J24), ", "," and ", COUNTA(Sheet1!J19:J24)-1), _xlfn.TEXTJOIN(", ", TRUE(), Sheet1!J19:J24))</f>
        <v/>
      </c>
    </row>
    <row r="9" customFormat="false" ht="14.25" hidden="false" customHeight="true" outlineLevel="0" collapsed="false">
      <c r="A9" s="68" t="s">
        <v>1021</v>
      </c>
      <c r="D9" s="68" t="s">
        <v>1005</v>
      </c>
      <c r="E9" s="68" t="s">
        <v>1022</v>
      </c>
      <c r="J9" s="81" t="s">
        <v>1023</v>
      </c>
      <c r="K9" s="87" t="str">
        <f aca="false">TEXT(K11/K10, "#,##0.00")</f>
        <v>6,652.24</v>
      </c>
    </row>
    <row r="10" customFormat="false" ht="14.25" hidden="false" customHeight="true" outlineLevel="0" collapsed="false">
      <c r="D10" s="68" t="s">
        <v>1009</v>
      </c>
      <c r="E10" s="68" t="s">
        <v>1024</v>
      </c>
      <c r="J10" s="81" t="s">
        <v>1025</v>
      </c>
      <c r="K10" s="87" t="n">
        <f aca="true">COUNT(INDIRECT("ConsolidatedData!K:K"))</f>
        <v>1</v>
      </c>
    </row>
    <row r="11" customFormat="false" ht="14.25" hidden="false" customHeight="true" outlineLevel="0" collapsed="false">
      <c r="J11" s="81" t="s">
        <v>1026</v>
      </c>
      <c r="K11" s="87" t="str">
        <f aca="true">TEXT(SUM(INDIRECT("ConsolidatedData!K:K")), "#,##0.00")</f>
        <v>6,652.24</v>
      </c>
    </row>
    <row r="12" customFormat="false" ht="14.25" hidden="false" customHeight="true" outlineLevel="0" collapsed="false">
      <c r="J12" s="81" t="s">
        <v>1027</v>
      </c>
      <c r="K12" s="87" t="str">
        <f aca="true">TEXT(MIN(INDIRECT("ConsolidatedData!L:L")),"mm/dd/yyyy")</f>
        <v>05/05/2026</v>
      </c>
    </row>
    <row r="13" customFormat="false" ht="14.25" hidden="false" customHeight="true" outlineLevel="0" collapsed="false">
      <c r="J13" s="81" t="s">
        <v>1028</v>
      </c>
      <c r="K13" s="87" t="str">
        <f aca="true">TEXT(MAX(INDIRECT("ConsolidatedData!L:L")),"mm/dd/yyyy")</f>
        <v>05/05/2026</v>
      </c>
    </row>
    <row r="14" customFormat="false" ht="14.25" hidden="false" customHeight="true" outlineLevel="0" collapsed="false">
      <c r="J14" s="81" t="s">
        <v>1029</v>
      </c>
      <c r="K14" s="87" t="e">
        <f aca="false" t="array" ref="K14:K14">_xlfn.TEXTJOIN(",",TRUE(),_xlfn.unique(_xlfn._xlws.filter(INDIRECT("ConsolidatedData!F2:F10000"),INDIRECT("ConsolidatedData!F2:F10000")&lt;&gt;"")))</f>
        <v>#NAME?</v>
      </c>
    </row>
    <row r="15" customFormat="false" ht="14.25" hidden="false" customHeight="true" outlineLevel="0" collapsed="false">
      <c r="J15" s="81" t="s">
        <v>1030</v>
      </c>
      <c r="K15" s="81" t="str">
        <f aca="false">IFERROR(VLOOKUP(Sheet1!J8, Program_Library!A:B, 2, FALSE()), "Select a Program")</f>
        <v>Select a Program</v>
      </c>
    </row>
    <row r="16" customFormat="false" ht="14.25" hidden="false" customHeight="true" outlineLevel="0" collapsed="false">
      <c r="J16" s="81" t="s">
        <v>1031</v>
      </c>
      <c r="K16" s="81" t="str">
        <f aca="false">Sheet1!J8&amp;""</f>
        <v/>
      </c>
    </row>
    <row r="17" customFormat="false" ht="14.25" hidden="false" customHeight="true" outlineLevel="0" collapsed="false">
      <c r="J17" s="81" t="s">
        <v>1032</v>
      </c>
      <c r="K17" s="81" t="str">
        <f aca="false">Sheet1!J19&amp;""</f>
        <v/>
      </c>
    </row>
    <row r="18" customFormat="false" ht="14.25" hidden="false" customHeight="true" outlineLevel="0" collapsed="false">
      <c r="J18" s="81" t="s">
        <v>1033</v>
      </c>
      <c r="K18" s="81" t="str">
        <f aca="false">Sheet1!J20&amp;""</f>
        <v/>
      </c>
    </row>
    <row r="19" customFormat="false" ht="14.25" hidden="false" customHeight="true" outlineLevel="0" collapsed="false">
      <c r="J19" s="81" t="s">
        <v>1034</v>
      </c>
      <c r="K19" s="81" t="str">
        <f aca="false">Sheet1!J21&amp;""</f>
        <v/>
      </c>
    </row>
    <row r="20" customFormat="false" ht="14.25" hidden="false" customHeight="true" outlineLevel="0" collapsed="false">
      <c r="J20" s="81" t="s">
        <v>1035</v>
      </c>
      <c r="K20" s="81" t="str">
        <f aca="false">Sheet1!J22&amp;""</f>
        <v/>
      </c>
    </row>
    <row r="21" customFormat="false" ht="14.25" hidden="false" customHeight="true" outlineLevel="0" collapsed="false">
      <c r="J21" s="81" t="s">
        <v>1036</v>
      </c>
      <c r="K21" s="81" t="str">
        <f aca="false">Sheet1!J23&amp;""</f>
        <v/>
      </c>
    </row>
    <row r="22" customFormat="false" ht="14.25" hidden="false" customHeight="true" outlineLevel="0" collapsed="false">
      <c r="J22" s="81" t="s">
        <v>1037</v>
      </c>
      <c r="K22" s="81" t="str">
        <f aca="false">Sheet1!J24&amp;""</f>
        <v/>
      </c>
    </row>
    <row r="23" customFormat="false" ht="14.25" hidden="false" customHeight="true" outlineLevel="0" collapsed="false">
      <c r="J23" s="81" t="s">
        <v>1038</v>
      </c>
      <c r="K23" s="81" t="e">
        <f aca="false" t="array" ref="K23: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#NAME?</v>
      </c>
    </row>
    <row r="24" customFormat="false" ht="14.25" hidden="false" customHeight="true" outlineLevel="0" collapsed="false">
      <c r="J24" s="81" t="s">
        <v>1039</v>
      </c>
      <c r="K24" s="87" t="str">
        <f aca="false">TEXT(_xlfn.MINIFS(ConsolidatedData!K:K, ConsolidatedData!K:K, "&gt;0"), "$#,##0.00")</f>
        <v>$6,652.24</v>
      </c>
    </row>
    <row r="25" customFormat="false" ht="14.25" hidden="false" customHeight="true" outlineLevel="0" collapsed="false">
      <c r="J25" s="81" t="s">
        <v>1040</v>
      </c>
      <c r="K25" s="87" t="str">
        <f aca="false">TEXT(_xlfn.MAXIFS(ConsolidatedData!K:K, ConsolidatedData!K:K, "&gt;0"), "$#,##0.00")</f>
        <v>$6,652.24</v>
      </c>
    </row>
    <row r="26" customFormat="false" ht="14.25" hidden="false" customHeight="true" outlineLevel="0" collapsed="false">
      <c r="J26" s="81" t="s">
        <v>1041</v>
      </c>
      <c r="K26" s="87" t="str">
        <f aca="false" t="array" ref="K26:K26">TEXT(SUMPRODUCT((ConsolidatedData!M:M="CR")*IFERROR(VALUE(SUBSTITUTE(ConsolidatedData!K:K, "$", "")), 0)), "#,##0.00")</f>
        <v>0.00</v>
      </c>
    </row>
    <row r="27" customFormat="false" ht="14.25" hidden="false" customHeight="true" outlineLevel="0" collapsed="false">
      <c r="J27" s="81" t="s">
        <v>1042</v>
      </c>
      <c r="K27" s="87" t="str">
        <f aca="false" t="array" ref="K27:K27">TEXT(SUMPRODUCT((ConsolidatedData!M:M="DR")*IFERROR(VALUE(SUBSTITUTE(ConsolidatedData!K:K, "$", "")), 0)), "#,##0.00")</f>
        <v>6,652.24</v>
      </c>
    </row>
    <row r="28" customFormat="false" ht="14.25" hidden="false" customHeight="true" outlineLevel="0" collapsed="false">
      <c r="J28" s="81" t="s">
        <v>1043</v>
      </c>
      <c r="K28" s="87" t="n">
        <f aca="false">COUNTIF(ConsolidatedData!M:M, "CR")</f>
        <v>0</v>
      </c>
    </row>
    <row r="29" customFormat="false" ht="14.25" hidden="false" customHeight="true" outlineLevel="0" collapsed="false">
      <c r="J29" s="81" t="s">
        <v>1044</v>
      </c>
      <c r="K29" s="87" t="n">
        <f aca="false">COUNTIF(ConsolidatedData!M:M, "DR")</f>
        <v>1</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50"/>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27" activeCellId="0" sqref="A27"/>
    </sheetView>
  </sheetViews>
  <sheetFormatPr defaultColWidth="8.6796875" defaultRowHeight="14.25" zeroHeight="false" outlineLevelRow="0" outlineLevelCol="0"/>
  <cols>
    <col collapsed="false" customWidth="true" hidden="false" outlineLevel="0" max="1" min="1" style="81" width="94"/>
    <col collapsed="false" customWidth="true" hidden="false" outlineLevel="0" max="2" min="2" style="81" width="9.18"/>
    <col collapsed="false" customWidth="true" hidden="false" outlineLevel="0" max="3" min="3" style="81" width="75.18"/>
  </cols>
  <sheetData>
    <row r="1" customFormat="false" ht="15.75" hidden="false" customHeight="true" outlineLevel="0" collapsed="false">
      <c r="A1" s="92" t="s">
        <v>1045</v>
      </c>
      <c r="B1" s="81" t="s">
        <v>1046</v>
      </c>
      <c r="C1" s="81" t="s">
        <v>1047</v>
      </c>
    </row>
    <row r="2" customFormat="false" ht="15.75" hidden="false" customHeight="true" outlineLevel="0" collapsed="false">
      <c r="A2" s="92" t="s">
        <v>1048</v>
      </c>
      <c r="B2" s="81" t="str">
        <f aca="false">LEFT(A2, FIND(" ", A2) -1)</f>
        <v>RULE02</v>
      </c>
      <c r="C2" s="81" t="str">
        <f aca="false">MID(A2, FIND( " ", A2) + 1, LEN(A2))</f>
        <v>Large value card transactions for purchase</v>
      </c>
    </row>
    <row r="3" customFormat="false" ht="15.75" hidden="false" customHeight="true" outlineLevel="0" collapsed="false">
      <c r="A3" s="92" t="s">
        <v>1049</v>
      </c>
      <c r="B3" s="81" t="str">
        <f aca="false">LEFT(A3, FIND(" ", A3) -1)</f>
        <v>RULE03</v>
      </c>
      <c r="C3" s="81" t="str">
        <f aca="false">MID(A3, FIND( " ", A3) + 1, LEN(A3))</f>
        <v>Large value cash withdrawals against card - Weekly</v>
      </c>
    </row>
    <row r="4" customFormat="false" ht="15.75" hidden="false" customHeight="true" outlineLevel="0" collapsed="false">
      <c r="A4" s="92" t="s">
        <v>1050</v>
      </c>
      <c r="B4" s="81" t="str">
        <f aca="false">LEFT(A4, FIND(" ", A4) -1)</f>
        <v>RULE03A</v>
      </c>
      <c r="C4" s="81" t="str">
        <f aca="false">MID(A4, FIND( " ", A4) + 1, LEN(A4))</f>
        <v>Large value cash withdrawals against card - Monthly</v>
      </c>
    </row>
    <row r="5" customFormat="false" ht="15.75" hidden="false" customHeight="true" outlineLevel="0" collapsed="false">
      <c r="A5" s="92" t="s">
        <v>1051</v>
      </c>
      <c r="B5" s="81" t="str">
        <f aca="false">LEFT(A5, FIND(" ", A5) -1)</f>
        <v>RULE04</v>
      </c>
      <c r="C5" s="81" t="str">
        <f aca="false">MID(A5, FIND( " ", A5) + 1, LEN(A5))</f>
        <v>Repeated small value cash withdrawals against card</v>
      </c>
    </row>
    <row r="6" customFormat="false" ht="15.75" hidden="false" customHeight="true" outlineLevel="0" collapsed="false">
      <c r="A6" s="92" t="s">
        <v>1052</v>
      </c>
      <c r="B6" s="81" t="str">
        <f aca="false">LEFT(A6, FIND(" ", A6) -1)</f>
        <v>RULE05</v>
      </c>
      <c r="C6" s="81" t="str">
        <f aca="false">MID(A6, FIND( " ", A6) + 1, LEN(A6))</f>
        <v>Large repetitive card usage at the same merchant</v>
      </c>
    </row>
    <row r="7" customFormat="false" ht="15.75" hidden="false" customHeight="true" outlineLevel="0" collapsed="false">
      <c r="A7" s="92" t="s">
        <v>1053</v>
      </c>
      <c r="B7" s="81" t="str">
        <f aca="false">LEFT(A7, FIND(" ", A7) -1)</f>
        <v>RULE06</v>
      </c>
      <c r="C7" s="81" t="str">
        <f aca="false">MID(A7, FIND( " ", A7) + 1, LEN(A7))</f>
        <v>High value cash deposits in a month</v>
      </c>
    </row>
    <row r="8" customFormat="false" ht="15.75" hidden="false" customHeight="true" outlineLevel="0" collapsed="false">
      <c r="A8" s="92" t="s">
        <v>1054</v>
      </c>
      <c r="B8" s="81" t="str">
        <f aca="false">LEFT(A8, FIND(" ", A8) -1)</f>
        <v>RULE07</v>
      </c>
      <c r="C8" s="81" t="str">
        <f aca="false">MID(A8, FIND( " ", A8) + 1, LEN(A8))</f>
        <v>High value cash withdrawals in a month</v>
      </c>
    </row>
    <row r="9" customFormat="false" ht="15.75" hidden="false" customHeight="true" outlineLevel="0" collapsed="false">
      <c r="A9" s="92" t="s">
        <v>1055</v>
      </c>
      <c r="B9" s="81" t="str">
        <f aca="false">LEFT(A9, FIND(" ", A9) -1)</f>
        <v>RULE10</v>
      </c>
      <c r="C9" s="81" t="str">
        <f aca="false">MID(A9, FIND( " ", A9) + 1, LEN(A9))</f>
        <v>Sudden high value transaction for the client</v>
      </c>
    </row>
    <row r="10" customFormat="false" ht="15.75" hidden="false" customHeight="true" outlineLevel="0" collapsed="false">
      <c r="A10" s="92" t="s">
        <v>1056</v>
      </c>
      <c r="B10" s="81" t="str">
        <f aca="false">LEFT(A10, FIND(" ", A10) -1)</f>
        <v>RULE11</v>
      </c>
      <c r="C10" s="81" t="str">
        <f aca="false">MID(A10, FIND( " ", A10) + 1, LEN(A10))</f>
        <v>Structuring: Splitting of cash withdrawal just below $10,000 in multiple accounts in a day</v>
      </c>
    </row>
    <row r="11" customFormat="false" ht="15.75" hidden="false" customHeight="true" outlineLevel="0" collapsed="false">
      <c r="A11" s="92" t="s">
        <v>1057</v>
      </c>
      <c r="B11" s="81" t="str">
        <f aca="false">LEFT(A11, FIND(" ", A11) -1)</f>
        <v>RULE12</v>
      </c>
      <c r="C11" s="81" t="str">
        <f aca="false">MID(A11, FIND( " ", A11) + 1, LEN(A11))</f>
        <v>Structuring: Splitting cash deposits just below $10,000 in multiple accounts in a day</v>
      </c>
    </row>
    <row r="12" customFormat="false" ht="15.75" hidden="false" customHeight="true" outlineLevel="0" collapsed="false">
      <c r="A12" s="92" t="s">
        <v>1058</v>
      </c>
      <c r="B12" s="81" t="str">
        <f aca="false">LEFT(A12, FIND(" ", A12) -1)</f>
        <v>RULE14</v>
      </c>
      <c r="C12" s="81" t="str">
        <f aca="false">MID(A12, FIND( " ", A12) + 1, LEN(A12))</f>
        <v>Frequent low cash deposits</v>
      </c>
    </row>
    <row r="13" customFormat="false" ht="15.75" hidden="false" customHeight="true" outlineLevel="0" collapsed="false">
      <c r="A13" s="92" t="s">
        <v>1059</v>
      </c>
      <c r="B13" s="81" t="str">
        <f aca="false">LEFT(A13, FIND(" ", A13) -1)</f>
        <v>RULE15</v>
      </c>
      <c r="C13" s="81" t="str">
        <f aca="false">MID(A13, FIND( " ", A13) + 1, LEN(A13))</f>
        <v>Frequent low cash withdrawals</v>
      </c>
    </row>
    <row r="14" customFormat="false" ht="15.75" hidden="false" customHeight="true" outlineLevel="0" collapsed="false">
      <c r="A14" s="92" t="s">
        <v>1060</v>
      </c>
      <c r="B14" s="81" t="str">
        <f aca="false">LEFT(A14, FIND(" ", A14) -1)</f>
        <v>RULE20</v>
      </c>
      <c r="C14" s="81" t="str">
        <f aca="false">MID(A14, FIND( " ", A14) + 1, LEN(A14))</f>
        <v>Early withdrawal of CD's</v>
      </c>
    </row>
    <row r="15" customFormat="false" ht="15.75" hidden="false" customHeight="true" outlineLevel="0" collapsed="false">
      <c r="A15" s="92" t="s">
        <v>1061</v>
      </c>
      <c r="B15" s="81" t="str">
        <f aca="false">LEFT(A15, FIND(" ", A15) -1)</f>
        <v>RULE21</v>
      </c>
      <c r="C15" s="81" t="str">
        <f aca="false">MID(A15, FIND( " ", A15) + 1, LEN(A15))</f>
        <v>High value inward remittance</v>
      </c>
    </row>
    <row r="16" customFormat="false" ht="15.75" hidden="false" customHeight="true" outlineLevel="0" collapsed="false">
      <c r="A16" s="92" t="s">
        <v>1062</v>
      </c>
      <c r="B16" s="81" t="str">
        <f aca="false">LEFT(A16, FIND(" ", A16) -1)</f>
        <v>RULE24</v>
      </c>
      <c r="C16" s="81" t="str">
        <f aca="false">MID(A16, FIND( " ", A16) + 1, LEN(A16))</f>
        <v>Alerts on Foreign Inward remittance of beyond a threshold limit</v>
      </c>
    </row>
    <row r="17" customFormat="false" ht="15.75" hidden="false" customHeight="true" outlineLevel="0" collapsed="false">
      <c r="A17" s="92" t="s">
        <v>1063</v>
      </c>
      <c r="B17" s="81" t="str">
        <f aca="false">LEFT(A17, FIND(" ", A17) -1)</f>
        <v>RULE27A</v>
      </c>
      <c r="C17" s="81" t="str">
        <f aca="false">MID(A17, FIND( " ", A17) + 1, LEN(A17))</f>
        <v>Many to One ACH</v>
      </c>
    </row>
    <row r="18" customFormat="false" ht="15.75" hidden="false" customHeight="true" outlineLevel="0" collapsed="false">
      <c r="A18" s="92" t="s">
        <v>1064</v>
      </c>
      <c r="B18" s="81" t="str">
        <f aca="false">LEFT(A18, FIND(" ", A18) -1)</f>
        <v>RULE27A1</v>
      </c>
      <c r="C18" s="81" t="str">
        <f aca="false">MID(A18, FIND( " ", A18) + 1, LEN(A18))</f>
        <v>Many to One RDFI ACH</v>
      </c>
    </row>
    <row r="19" customFormat="false" ht="15.75" hidden="false" customHeight="true" outlineLevel="0" collapsed="false">
      <c r="A19" s="92" t="s">
        <v>1065</v>
      </c>
      <c r="B19" s="81" t="str">
        <f aca="false">LEFT(A19, FIND(" ", A19) -1)</f>
        <v>RULE27A2</v>
      </c>
      <c r="C19" s="81" t="str">
        <f aca="false">MID(A19, FIND( " ", A19) + 1, LEN(A19))</f>
        <v>Many to One High Volume ACH</v>
      </c>
    </row>
    <row r="20" customFormat="false" ht="15.75" hidden="false" customHeight="true" outlineLevel="0" collapsed="false">
      <c r="A20" s="92" t="s">
        <v>1066</v>
      </c>
      <c r="B20" s="81" t="str">
        <f aca="false">LEFT(A20, FIND(" ", A20) -1)</f>
        <v>RULE27B</v>
      </c>
      <c r="C20" s="81" t="str">
        <f aca="false">MID(A20, FIND( " ", A20) + 1, LEN(A20))</f>
        <v>Many to one fund transfer - Wires</v>
      </c>
    </row>
    <row r="21" customFormat="false" ht="15.75" hidden="false" customHeight="true" outlineLevel="0" collapsed="false">
      <c r="A21" s="92" t="s">
        <v>1067</v>
      </c>
      <c r="B21" s="81" t="str">
        <f aca="false">LEFT(A21, FIND(" ", A21) -1)</f>
        <v>RULE27C</v>
      </c>
      <c r="C21" s="81" t="str">
        <f aca="false">MID(A21, FIND( " ", A21) + 1, LEN(A21))</f>
        <v>Many to one fund transfer - ACH E-Corp</v>
      </c>
    </row>
    <row r="22" customFormat="false" ht="15.75" hidden="false" customHeight="true" outlineLevel="0" collapsed="false">
      <c r="A22" s="92" t="s">
        <v>1068</v>
      </c>
      <c r="B22" s="81" t="str">
        <f aca="false">LEFT(A22, FIND(" ", A22) -1)</f>
        <v>RULE27D</v>
      </c>
      <c r="C22" s="81" t="str">
        <f aca="false">MID(A22, FIND( " ", A22) + 1, LEN(A22))</f>
        <v>Pseudo Debit Many to One</v>
      </c>
    </row>
    <row r="23" customFormat="false" ht="15.75" hidden="false" customHeight="true" outlineLevel="0" collapsed="false">
      <c r="A23" s="92" t="s">
        <v>1069</v>
      </c>
      <c r="B23" s="81" t="str">
        <f aca="false">LEFT(A23, FIND(" ", A23) -1)</f>
        <v>RULE28A</v>
      </c>
      <c r="C23" s="81" t="str">
        <f aca="false">MID(A23, FIND( " ", A23) + 1, LEN(A23))</f>
        <v>One to many fund transfer - ACH</v>
      </c>
    </row>
    <row r="24" customFormat="false" ht="15.75" hidden="false" customHeight="true" outlineLevel="0" collapsed="false">
      <c r="A24" s="92" t="s">
        <v>1070</v>
      </c>
      <c r="B24" s="81" t="str">
        <f aca="false">LEFT(A24, FIND(" ", A24) -1)</f>
        <v>RULE28B</v>
      </c>
      <c r="C24" s="81" t="str">
        <f aca="false">MID(A24, FIND( " ", A24) + 1, LEN(A24))</f>
        <v>One to many fund transfer - Wires</v>
      </c>
    </row>
    <row r="25" customFormat="false" ht="15.75" hidden="false" customHeight="true" outlineLevel="0" collapsed="false">
      <c r="A25" s="92" t="s">
        <v>1071</v>
      </c>
      <c r="B25" s="81" t="str">
        <f aca="false">LEFT(A25, FIND(" ", A25) -1)</f>
        <v>RULE28C</v>
      </c>
      <c r="C25" s="81" t="str">
        <f aca="false">MID(A25, FIND( " ", A25) + 1, LEN(A25))</f>
        <v>One to many fund transfer - ACH E-Corp</v>
      </c>
    </row>
    <row r="26" customFormat="false" ht="15.75" hidden="false" customHeight="true" outlineLevel="0" collapsed="false">
      <c r="A26" s="92" t="s">
        <v>1072</v>
      </c>
      <c r="B26" s="81" t="str">
        <f aca="false">LEFT(A26, FIND(" ", A26) -1)</f>
        <v>RULE28D</v>
      </c>
      <c r="C26" s="81" t="str">
        <f aca="false">MID(A26, FIND( " ", A26) + 1, LEN(A26))</f>
        <v>Pseudo Debit One to Many</v>
      </c>
    </row>
    <row r="27" customFormat="false" ht="15.75" hidden="false" customHeight="true" outlineLevel="0" collapsed="false">
      <c r="A27" s="92" t="s">
        <v>1073</v>
      </c>
      <c r="B27" s="81" t="str">
        <f aca="false">LEFT(A27, FIND(" ", A27) -1)</f>
        <v>RULE30</v>
      </c>
      <c r="C27" s="81" t="str">
        <f aca="false">MID(A27, FIND( " ", A27) + 1, LEN(A27))</f>
        <v>High value transactions with a country with high ML risk</v>
      </c>
    </row>
    <row r="28" customFormat="false" ht="15.75" hidden="false" customHeight="true" outlineLevel="0" collapsed="false">
      <c r="A28" s="92" t="s">
        <v>1074</v>
      </c>
      <c r="B28" s="81" t="str">
        <f aca="false">LEFT(A28, FIND(" ", A28) -1)</f>
        <v>RULE31</v>
      </c>
      <c r="C28" s="81" t="str">
        <f aca="false">MID(A28, FIND( " ", A28) + 1, LEN(A28))</f>
        <v>Inward and outward ACH of same amount on same day</v>
      </c>
    </row>
    <row r="29" customFormat="false" ht="15.75" hidden="false" customHeight="true" outlineLevel="0" collapsed="false">
      <c r="A29" s="92" t="s">
        <v>1075</v>
      </c>
      <c r="B29" s="81" t="str">
        <f aca="false">LEFT(A29, FIND(" ", A29) -1)</f>
        <v>RULE37</v>
      </c>
      <c r="C29" s="81" t="str">
        <f aca="false">MID(A29, FIND( " ", A29) + 1, LEN(A29))</f>
        <v>Opening and closing of loan accounts within short period</v>
      </c>
    </row>
    <row r="30" customFormat="false" ht="15.75" hidden="false" customHeight="true" outlineLevel="0" collapsed="false">
      <c r="A30" s="92" t="s">
        <v>1076</v>
      </c>
      <c r="B30" s="81" t="str">
        <f aca="false">LEFT(A30, FIND(" ", A30) -1)</f>
        <v>RULE43</v>
      </c>
      <c r="C30" s="81" t="str">
        <f aca="false">MID(A30, FIND( " ", A30) + 1, LEN(A30))</f>
        <v>High value cash transactions inconsistent with profile</v>
      </c>
    </row>
    <row r="31" customFormat="false" ht="15.75" hidden="false" customHeight="true" outlineLevel="0" collapsed="false">
      <c r="A31" s="92" t="s">
        <v>1077</v>
      </c>
      <c r="B31" s="81" t="str">
        <f aca="false">LEFT(A31, FIND(" ", A31) -1)</f>
        <v>RULE45</v>
      </c>
      <c r="C31" s="81" t="str">
        <f aca="false">MID(A31, FIND( " ", A31) + 1, LEN(A31))</f>
        <v>High value transactions by high-risk customers compared to profile.</v>
      </c>
    </row>
    <row r="32" customFormat="false" ht="15.75" hidden="false" customHeight="true" outlineLevel="0" collapsed="false">
      <c r="A32" s="92" t="s">
        <v>1078</v>
      </c>
      <c r="B32" s="81" t="str">
        <f aca="false">LEFT(A32, FIND(" ", A32) -1)</f>
        <v>RULE50</v>
      </c>
      <c r="C32" s="81" t="str">
        <f aca="false">MID(A32, FIND( " ", A32) + 1, LEN(A32))</f>
        <v>Cash Deposit of total $10,000 or above in a day</v>
      </c>
    </row>
    <row r="33" customFormat="false" ht="15.75" hidden="false" customHeight="true" outlineLevel="0" collapsed="false">
      <c r="A33" s="92" t="s">
        <v>1079</v>
      </c>
      <c r="B33" s="81" t="str">
        <f aca="false">LEFT(A33, FIND(" ", A33) -1)</f>
        <v>RULE51</v>
      </c>
      <c r="C33" s="81" t="str">
        <f aca="false">MID(A33, FIND( " ", A33) + 1, LEN(A33))</f>
        <v>Cash withdrawal of total $10,000 or above in a day</v>
      </c>
    </row>
    <row r="34" customFormat="false" ht="15.75" hidden="false" customHeight="true" outlineLevel="0" collapsed="false">
      <c r="A34" s="92" t="s">
        <v>1080</v>
      </c>
      <c r="B34" s="81" t="str">
        <f aca="false">LEFT(A34, FIND(" ", A34) -1)</f>
        <v>RULE54</v>
      </c>
      <c r="C34" s="81" t="str">
        <f aca="false">MID(A34, FIND( " ", A34) + 1, LEN(A34))</f>
        <v>Deviation from historical behaviors-All</v>
      </c>
    </row>
    <row r="35" customFormat="false" ht="15.75" hidden="false" customHeight="true" outlineLevel="0" collapsed="false">
      <c r="A35" s="92" t="s">
        <v>1045</v>
      </c>
      <c r="B35" s="81" t="str">
        <f aca="false">LEFT(A35, FIND(" ", A35) -1)</f>
        <v>Rule</v>
      </c>
      <c r="C35" s="81" t="str">
        <f aca="false">MID(A35, FIND( " ", A35) + 1, LEN(A35))</f>
        <v>Code Rule Name</v>
      </c>
    </row>
    <row r="36" customFormat="false" ht="15.75" hidden="false" customHeight="true" outlineLevel="0" collapsed="false">
      <c r="A36" s="92" t="s">
        <v>1081</v>
      </c>
      <c r="B36" s="81" t="str">
        <f aca="false">LEFT(A36, FIND(" ", A36) -1)</f>
        <v>RULE54A1</v>
      </c>
      <c r="C36" s="81" t="str">
        <f aca="false">MID(A36, FIND( " ", A36) + 1, LEN(A36))</f>
        <v>Deviation from historical behaviors-Prepaid Consumer</v>
      </c>
    </row>
    <row r="37" customFormat="false" ht="15.75" hidden="false" customHeight="true" outlineLevel="0" collapsed="false">
      <c r="A37" s="92" t="s">
        <v>1082</v>
      </c>
      <c r="B37" s="81" t="str">
        <f aca="false">LEFT(A37, FIND(" ", A37) -1)</f>
        <v>RULE54A2</v>
      </c>
      <c r="C37" s="81" t="str">
        <f aca="false">MID(A37, FIND( " ", A37) + 1, LEN(A37))</f>
        <v>Deviation from historical behaviors-Prepaid Corporate</v>
      </c>
    </row>
    <row r="38" customFormat="false" ht="15.75" hidden="false" customHeight="true" outlineLevel="0" collapsed="false">
      <c r="A38" s="92" t="s">
        <v>1083</v>
      </c>
      <c r="B38" s="81" t="str">
        <f aca="false">LEFT(A38, FIND(" ", A38) -1)</f>
        <v>RULE56</v>
      </c>
      <c r="C38" s="81" t="str">
        <f aca="false">MID(A38, FIND( " ", A38) + 1, LEN(A38))</f>
        <v>Pattern of "funding" in pre-pay card and rapid "spending" - min pre-load "spend"</v>
      </c>
    </row>
    <row r="39" customFormat="false" ht="15.75" hidden="false" customHeight="true" outlineLevel="0" collapsed="false">
      <c r="A39" s="92" t="s">
        <v>1084</v>
      </c>
      <c r="B39" s="81" t="str">
        <f aca="false">LEFT(A39, FIND(" ", A39) -1)</f>
        <v>RULE76</v>
      </c>
      <c r="C39" s="81" t="str">
        <f aca="false">MID(A39, FIND( " ", A39) + 1, LEN(A39))</f>
        <v>Structuring patterns for IN wires between certain amounts.</v>
      </c>
    </row>
    <row r="40" customFormat="false" ht="15.75" hidden="false" customHeight="true" outlineLevel="0" collapsed="false">
      <c r="A40" s="92" t="s">
        <v>1085</v>
      </c>
      <c r="B40" s="81" t="str">
        <f aca="false">LEFT(A40, FIND(" ", A40) -1)</f>
        <v>RULE79</v>
      </c>
      <c r="C40" s="81" t="str">
        <f aca="false">MID(A40, FIND( " ", A40) + 1, LEN(A40))</f>
        <v>Incoming Activity from High Risk Jurisdiction</v>
      </c>
    </row>
    <row r="41" customFormat="false" ht="15.75" hidden="false" customHeight="true" outlineLevel="0" collapsed="false">
      <c r="A41" s="92" t="s">
        <v>1086</v>
      </c>
      <c r="B41" s="81" t="str">
        <f aca="false">LEFT(A41, FIND(" ", A41) -1)</f>
        <v>RULE79A</v>
      </c>
      <c r="C41" s="81" t="str">
        <f aca="false">MID(A41, FIND( " ", A41) + 1, LEN(A41))</f>
        <v>Incoming HR Jurisdiction High Volume Program</v>
      </c>
    </row>
    <row r="42" customFormat="false" ht="15.75" hidden="false" customHeight="true" outlineLevel="0" collapsed="false">
      <c r="A42" s="92" t="s">
        <v>1087</v>
      </c>
      <c r="B42" s="81" t="str">
        <f aca="false">LEFT(A42, FIND(" ", A42) -1)</f>
        <v>RULE79B</v>
      </c>
      <c r="C42" s="81" t="str">
        <f aca="false">MID(A42, FIND( " ", A42) + 1, LEN(A42))</f>
        <v>Incoming Activity from Prohibited Jurisdiction</v>
      </c>
    </row>
    <row r="43" customFormat="false" ht="15.75" hidden="false" customHeight="true" outlineLevel="0" collapsed="false">
      <c r="A43" s="92" t="s">
        <v>1088</v>
      </c>
      <c r="B43" s="81" t="str">
        <f aca="false">LEFT(A43, FIND(" ", A43) -1)</f>
        <v>RULE80</v>
      </c>
      <c r="C43" s="81" t="str">
        <f aca="false">MID(A43, FIND( " ", A43) + 1, LEN(A43))</f>
        <v>Outgoing Activity to High-Risk Jurisdiction</v>
      </c>
    </row>
    <row r="44" customFormat="false" ht="15.75" hidden="false" customHeight="true" outlineLevel="0" collapsed="false">
      <c r="A44" s="92" t="s">
        <v>1089</v>
      </c>
      <c r="B44" s="81" t="str">
        <f aca="false">LEFT(A44, FIND(" ", A44) -1)</f>
        <v>RULE80A</v>
      </c>
      <c r="C44" s="81" t="str">
        <f aca="false">MID(A44, FIND( " ", A44) + 1, LEN(A44))</f>
        <v>Outgoing Activity to High-Risk Jurisdiction-TransferWise</v>
      </c>
    </row>
    <row r="45" customFormat="false" ht="15.75" hidden="false" customHeight="true" outlineLevel="0" collapsed="false">
      <c r="A45" s="92" t="s">
        <v>1090</v>
      </c>
      <c r="B45" s="81" t="str">
        <f aca="false">LEFT(A45, FIND(" ", A45) -1)</f>
        <v>RULE80B</v>
      </c>
      <c r="C45" s="81" t="str">
        <f aca="false">MID(A45, FIND( " ", A45) + 1, LEN(A45))</f>
        <v>Outgoing Activity to Prohibited Jurisdiction</v>
      </c>
    </row>
    <row r="46" customFormat="false" ht="15.75" hidden="false" customHeight="true" outlineLevel="0" collapsed="false">
      <c r="A46" s="92" t="s">
        <v>1091</v>
      </c>
      <c r="B46" s="81" t="str">
        <f aca="false">LEFT(A46, FIND(" ", A46) -1)</f>
        <v>RULE85</v>
      </c>
      <c r="C46" s="81" t="str">
        <f aca="false">MID(A46, FIND( " ", A46) + 1, LEN(A46))</f>
        <v>Transactions Involving Restricted or Prohibited Industries</v>
      </c>
    </row>
    <row r="47" customFormat="false" ht="15.75" hidden="false" customHeight="true" outlineLevel="0" collapsed="false">
      <c r="A47" s="92" t="s">
        <v>1092</v>
      </c>
      <c r="B47" s="81" t="str">
        <f aca="false">LEFT(A47, FIND(" ", A47) -1)</f>
        <v>RULE86</v>
      </c>
      <c r="C47" s="81" t="str">
        <f aca="false">MID(A47, FIND( " ", A47) + 1, LEN(A47))</f>
        <v>Incoming wires from High-Risk Business</v>
      </c>
    </row>
    <row r="48" customFormat="false" ht="15.75" hidden="false" customHeight="true" outlineLevel="0" collapsed="false">
      <c r="A48" s="92" t="s">
        <v>1093</v>
      </c>
      <c r="B48" s="81" t="str">
        <f aca="false">LEFT(A48, FIND(" ", A48) -1)</f>
        <v>RULE87</v>
      </c>
      <c r="C48" s="81" t="str">
        <f aca="false">MID(A48, FIND( " ", A48) + 1, LEN(A48))</f>
        <v>Outgoing Wires from High-Risk Business</v>
      </c>
    </row>
    <row r="49" customFormat="false" ht="15.75" hidden="false" customHeight="true" outlineLevel="0" collapsed="false">
      <c r="A49" s="92" t="s">
        <v>1094</v>
      </c>
      <c r="B49" s="81" t="str">
        <f aca="false">LEFT(A49, FIND(" ", A49) -1)</f>
        <v>RULE88</v>
      </c>
      <c r="C49" s="81" t="str">
        <f aca="false">MID(A49, FIND( " ", A49) + 1, LEN(A49))</f>
        <v>Frequent low cash deposits</v>
      </c>
    </row>
    <row r="50" customFormat="false" ht="15.75" hidden="false" customHeight="true" outlineLevel="0" collapsed="false">
      <c r="A50" s="9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84"/>
  <sheetViews>
    <sheetView showFormulas="false" showGridLines="true" showRowColHeaders="true" showZeros="true" rightToLeft="false" tabSelected="false" showOutlineSymbols="true" defaultGridColor="true" view="normal" topLeftCell="B1" colorId="64" zoomScale="70" zoomScaleNormal="70" zoomScalePageLayoutView="100" workbookViewId="0">
      <selection pane="topLeft" activeCell="B7" activeCellId="0" sqref="B7"/>
    </sheetView>
  </sheetViews>
  <sheetFormatPr defaultColWidth="8.6796875" defaultRowHeight="14.25" zeroHeight="false" outlineLevelRow="0" outlineLevelCol="0"/>
  <cols>
    <col collapsed="false" customWidth="true" hidden="false" outlineLevel="0" max="1" min="1" style="81" width="46.82"/>
    <col collapsed="false" customWidth="true" hidden="false" outlineLevel="0" max="2" min="2" style="81" width="255.54"/>
  </cols>
  <sheetData>
    <row r="1" customFormat="false" ht="15.75" hidden="false" customHeight="true" outlineLevel="0" collapsed="false">
      <c r="A1" s="93" t="s">
        <v>1022</v>
      </c>
      <c r="B1" s="94" t="s">
        <v>1095</v>
      </c>
    </row>
    <row r="2" customFormat="false" ht="15.75" hidden="false" customHeight="true" outlineLevel="0" collapsed="false">
      <c r="A2" s="95" t="s">
        <v>1096</v>
      </c>
      <c r="B2" s="96" t="s">
        <v>1097</v>
      </c>
    </row>
    <row r="3" customFormat="false" ht="15.75" hidden="false" customHeight="true" outlineLevel="0" collapsed="false">
      <c r="A3" s="97" t="s">
        <v>1098</v>
      </c>
      <c r="B3" s="96" t="s">
        <v>1099</v>
      </c>
    </row>
    <row r="4" customFormat="false" ht="15.75" hidden="false" customHeight="true" outlineLevel="0" collapsed="false">
      <c r="A4" s="97" t="s">
        <v>1100</v>
      </c>
      <c r="B4" s="96" t="s">
        <v>1101</v>
      </c>
    </row>
    <row r="5" customFormat="false" ht="15.75" hidden="false" customHeight="true" outlineLevel="0" collapsed="false">
      <c r="A5" s="97" t="s">
        <v>1102</v>
      </c>
      <c r="B5" s="96" t="s">
        <v>1103</v>
      </c>
    </row>
    <row r="6" customFormat="false" ht="15.75" hidden="false" customHeight="true" outlineLevel="0" collapsed="false">
      <c r="A6" s="97" t="s">
        <v>1104</v>
      </c>
      <c r="B6" s="96" t="s">
        <v>1105</v>
      </c>
    </row>
    <row r="7" customFormat="false" ht="15.75" hidden="false" customHeight="true" outlineLevel="0" collapsed="false">
      <c r="A7" s="97" t="s">
        <v>1106</v>
      </c>
      <c r="B7" s="96" t="s">
        <v>1107</v>
      </c>
    </row>
    <row r="8" customFormat="false" ht="15.75" hidden="false" customHeight="true" outlineLevel="0" collapsed="false">
      <c r="A8" s="97" t="s">
        <v>1108</v>
      </c>
      <c r="B8" s="96" t="s">
        <v>1109</v>
      </c>
    </row>
    <row r="9" customFormat="false" ht="15.75" hidden="false" customHeight="true" outlineLevel="0" collapsed="false">
      <c r="A9" s="97" t="s">
        <v>1110</v>
      </c>
      <c r="B9" s="96" t="s">
        <v>1111</v>
      </c>
    </row>
    <row r="10" customFormat="false" ht="15.75" hidden="false" customHeight="true" outlineLevel="0" collapsed="false">
      <c r="A10" s="97" t="s">
        <v>1112</v>
      </c>
      <c r="B10" s="96" t="s">
        <v>1113</v>
      </c>
    </row>
    <row r="11" customFormat="false" ht="61.5" hidden="false" customHeight="true" outlineLevel="0" collapsed="false">
      <c r="A11" s="98" t="s">
        <v>1114</v>
      </c>
      <c r="B11" s="99" t="s">
        <v>1115</v>
      </c>
    </row>
    <row r="12" customFormat="false" ht="15.75" hidden="false" customHeight="true" outlineLevel="0" collapsed="false">
      <c r="A12" s="97" t="s">
        <v>1116</v>
      </c>
      <c r="B12" s="96" t="s">
        <v>1117</v>
      </c>
    </row>
    <row r="13" customFormat="false" ht="93" hidden="false" customHeight="true" outlineLevel="0" collapsed="false">
      <c r="A13" s="98" t="s">
        <v>1118</v>
      </c>
      <c r="B13" s="99" t="s">
        <v>1119</v>
      </c>
    </row>
    <row r="14" customFormat="false" ht="15.75" hidden="false" customHeight="true" outlineLevel="0" collapsed="false">
      <c r="A14" s="97" t="s">
        <v>1120</v>
      </c>
      <c r="B14" s="96" t="s">
        <v>1121</v>
      </c>
    </row>
    <row r="15" customFormat="false" ht="15.75" hidden="false" customHeight="true" outlineLevel="0" collapsed="false">
      <c r="A15" s="97" t="s">
        <v>1122</v>
      </c>
      <c r="B15" s="96" t="s">
        <v>1123</v>
      </c>
    </row>
    <row r="16" customFormat="false" ht="61.5" hidden="false" customHeight="true" outlineLevel="0" collapsed="false">
      <c r="A16" s="98" t="s">
        <v>1124</v>
      </c>
      <c r="B16" s="100" t="s">
        <v>1125</v>
      </c>
    </row>
    <row r="17" customFormat="false" ht="15.75" hidden="false" customHeight="true" outlineLevel="0" collapsed="false">
      <c r="A17" s="97" t="s">
        <v>1126</v>
      </c>
      <c r="B17" s="96" t="s">
        <v>1127</v>
      </c>
    </row>
    <row r="18" customFormat="false" ht="15.75" hidden="false" customHeight="true" outlineLevel="0" collapsed="false">
      <c r="A18" s="97" t="s">
        <v>1128</v>
      </c>
      <c r="B18" s="96" t="s">
        <v>1129</v>
      </c>
    </row>
    <row r="19" customFormat="false" ht="15.75" hidden="false" customHeight="true" outlineLevel="0" collapsed="false">
      <c r="A19" s="97" t="s">
        <v>1130</v>
      </c>
      <c r="B19" s="96" t="s">
        <v>1131</v>
      </c>
    </row>
    <row r="20" customFormat="false" ht="15.75" hidden="false" customHeight="true" outlineLevel="0" collapsed="false">
      <c r="A20" s="97" t="s">
        <v>1132</v>
      </c>
      <c r="B20" s="101" t="s">
        <v>1133</v>
      </c>
    </row>
    <row r="21" customFormat="false" ht="15.75" hidden="false" customHeight="true" outlineLevel="0" collapsed="false">
      <c r="A21" s="97" t="s">
        <v>1134</v>
      </c>
      <c r="B21" s="96" t="s">
        <v>1135</v>
      </c>
    </row>
    <row r="22" customFormat="false" ht="15.75" hidden="false" customHeight="true" outlineLevel="0" collapsed="false">
      <c r="A22" s="97" t="s">
        <v>1136</v>
      </c>
      <c r="B22" s="96" t="s">
        <v>1137</v>
      </c>
    </row>
    <row r="23" customFormat="false" ht="15.75" hidden="false" customHeight="true" outlineLevel="0" collapsed="false">
      <c r="A23" s="97" t="s">
        <v>1138</v>
      </c>
      <c r="B23" s="96" t="s">
        <v>1139</v>
      </c>
    </row>
    <row r="24" customFormat="false" ht="15.75" hidden="false" customHeight="true" outlineLevel="0" collapsed="false">
      <c r="A24" s="97" t="s">
        <v>1140</v>
      </c>
      <c r="B24" s="96" t="s">
        <v>1141</v>
      </c>
    </row>
    <row r="25" customFormat="false" ht="15.75" hidden="false" customHeight="true" outlineLevel="0" collapsed="false">
      <c r="A25" s="97" t="s">
        <v>1142</v>
      </c>
      <c r="B25" s="102" t="s">
        <v>1143</v>
      </c>
    </row>
    <row r="26" customFormat="false" ht="15.75" hidden="false" customHeight="true" outlineLevel="0" collapsed="false">
      <c r="A26" s="97" t="s">
        <v>1144</v>
      </c>
      <c r="B26" s="96" t="s">
        <v>1145</v>
      </c>
    </row>
    <row r="27" customFormat="false" ht="15.75" hidden="false" customHeight="true" outlineLevel="0" collapsed="false">
      <c r="A27" s="97" t="s">
        <v>1146</v>
      </c>
      <c r="B27" s="96" t="s">
        <v>1147</v>
      </c>
    </row>
    <row r="28" customFormat="false" ht="15.75" hidden="false" customHeight="true" outlineLevel="0" collapsed="false">
      <c r="A28" s="97" t="s">
        <v>1148</v>
      </c>
      <c r="B28" s="96" t="s">
        <v>1149</v>
      </c>
    </row>
    <row r="29" customFormat="false" ht="15.75" hidden="false" customHeight="true" outlineLevel="0" collapsed="false">
      <c r="A29" s="97" t="s">
        <v>1150</v>
      </c>
      <c r="B29" s="96" t="s">
        <v>1151</v>
      </c>
    </row>
    <row r="30" customFormat="false" ht="15.75" hidden="false" customHeight="true" outlineLevel="0" collapsed="false">
      <c r="A30" s="97" t="s">
        <v>1152</v>
      </c>
      <c r="B30" s="96" t="s">
        <v>1153</v>
      </c>
    </row>
    <row r="31" customFormat="false" ht="15.75" hidden="false" customHeight="true" outlineLevel="0" collapsed="false">
      <c r="A31" s="97" t="s">
        <v>1154</v>
      </c>
      <c r="B31" s="96" t="s">
        <v>1155</v>
      </c>
    </row>
    <row r="32" customFormat="false" ht="15.75" hidden="false" customHeight="true" outlineLevel="0" collapsed="false">
      <c r="A32" s="97" t="s">
        <v>1156</v>
      </c>
      <c r="B32" s="96" t="s">
        <v>1157</v>
      </c>
    </row>
    <row r="33" customFormat="false" ht="15.75" hidden="false" customHeight="true" outlineLevel="0" collapsed="false">
      <c r="A33" s="97" t="s">
        <v>1158</v>
      </c>
      <c r="B33" s="96" t="s">
        <v>1159</v>
      </c>
    </row>
    <row r="34" customFormat="false" ht="15.75" hidden="false" customHeight="true" outlineLevel="0" collapsed="false">
      <c r="A34" s="97" t="s">
        <v>1160</v>
      </c>
      <c r="B34" s="96" t="s">
        <v>1161</v>
      </c>
    </row>
    <row r="35" customFormat="false" ht="15.75" hidden="false" customHeight="true" outlineLevel="0" collapsed="false">
      <c r="A35" s="97" t="s">
        <v>1162</v>
      </c>
      <c r="B35" s="96" t="s">
        <v>1163</v>
      </c>
    </row>
    <row r="36" customFormat="false" ht="15.75" hidden="false" customHeight="true" outlineLevel="0" collapsed="false">
      <c r="A36" s="97" t="s">
        <v>1164</v>
      </c>
      <c r="B36" s="96" t="s">
        <v>1165</v>
      </c>
    </row>
    <row r="37" customFormat="false" ht="15.75" hidden="false" customHeight="true" outlineLevel="0" collapsed="false">
      <c r="A37" s="97" t="s">
        <v>1166</v>
      </c>
      <c r="B37" s="96" t="s">
        <v>1167</v>
      </c>
    </row>
    <row r="38" customFormat="false" ht="15.75" hidden="false" customHeight="true" outlineLevel="0" collapsed="false">
      <c r="A38" s="97" t="s">
        <v>1168</v>
      </c>
      <c r="B38" s="96" t="s">
        <v>1169</v>
      </c>
    </row>
    <row r="39" customFormat="false" ht="15.75" hidden="false" customHeight="true" outlineLevel="0" collapsed="false">
      <c r="A39" s="97" t="s">
        <v>1170</v>
      </c>
      <c r="B39" s="96" t="s">
        <v>1171</v>
      </c>
    </row>
    <row r="40" customFormat="false" ht="15.75" hidden="false" customHeight="true" outlineLevel="0" collapsed="false">
      <c r="A40" s="97" t="s">
        <v>1172</v>
      </c>
      <c r="B40" s="96" t="s">
        <v>1173</v>
      </c>
    </row>
    <row r="41" customFormat="false" ht="15.75" hidden="false" customHeight="true" outlineLevel="0" collapsed="false">
      <c r="A41" s="97" t="s">
        <v>1174</v>
      </c>
      <c r="B41" s="96" t="s">
        <v>1175</v>
      </c>
    </row>
    <row r="42" customFormat="false" ht="15.75" hidden="false" customHeight="true" outlineLevel="0" collapsed="false">
      <c r="A42" s="97" t="s">
        <v>1176</v>
      </c>
      <c r="B42" s="102" t="s">
        <v>1177</v>
      </c>
    </row>
    <row r="43" customFormat="false" ht="15.75" hidden="false" customHeight="true" outlineLevel="0" collapsed="false">
      <c r="A43" s="97" t="s">
        <v>1178</v>
      </c>
      <c r="B43" s="96" t="s">
        <v>1179</v>
      </c>
    </row>
    <row r="44" customFormat="false" ht="15.75" hidden="false" customHeight="true" outlineLevel="0" collapsed="false">
      <c r="A44" s="97" t="s">
        <v>1180</v>
      </c>
      <c r="B44" s="96" t="s">
        <v>1181</v>
      </c>
    </row>
    <row r="45" customFormat="false" ht="15.75" hidden="false" customHeight="true" outlineLevel="0" collapsed="false">
      <c r="A45" s="97" t="s">
        <v>1182</v>
      </c>
      <c r="B45" s="96" t="s">
        <v>1183</v>
      </c>
    </row>
    <row r="46" customFormat="false" ht="15.75" hidden="false" customHeight="true" outlineLevel="0" collapsed="false">
      <c r="A46" s="97" t="s">
        <v>1184</v>
      </c>
      <c r="B46" s="102" t="s">
        <v>1185</v>
      </c>
    </row>
    <row r="47" customFormat="false" ht="15.75" hidden="false" customHeight="true" outlineLevel="0" collapsed="false">
      <c r="A47" s="97" t="s">
        <v>1186</v>
      </c>
      <c r="B47" s="96" t="s">
        <v>1187</v>
      </c>
    </row>
    <row r="48" customFormat="false" ht="15.75" hidden="false" customHeight="true" outlineLevel="0" collapsed="false">
      <c r="A48" s="97" t="s">
        <v>1188</v>
      </c>
      <c r="B48" s="96" t="s">
        <v>1189</v>
      </c>
    </row>
    <row r="49" customFormat="false" ht="15.75" hidden="false" customHeight="true" outlineLevel="0" collapsed="false">
      <c r="A49" s="97" t="s">
        <v>1190</v>
      </c>
      <c r="B49" s="96" t="s">
        <v>1191</v>
      </c>
    </row>
    <row r="50" customFormat="false" ht="15.75" hidden="false" customHeight="true" outlineLevel="0" collapsed="false">
      <c r="A50" s="103" t="s">
        <v>1192</v>
      </c>
      <c r="B50" s="96" t="s">
        <v>1193</v>
      </c>
    </row>
    <row r="51" customFormat="false" ht="15.75" hidden="false" customHeight="true" outlineLevel="0" collapsed="false">
      <c r="A51" s="97" t="s">
        <v>1194</v>
      </c>
      <c r="B51" s="96" t="s">
        <v>1195</v>
      </c>
    </row>
    <row r="52" customFormat="false" ht="15.75" hidden="false" customHeight="true" outlineLevel="0" collapsed="false">
      <c r="A52" s="97" t="s">
        <v>1196</v>
      </c>
      <c r="B52" s="96" t="s">
        <v>1197</v>
      </c>
    </row>
    <row r="53" customFormat="false" ht="15.75" hidden="false" customHeight="true" outlineLevel="0" collapsed="false">
      <c r="A53" s="97" t="s">
        <v>1198</v>
      </c>
      <c r="B53" s="96" t="s">
        <v>1199</v>
      </c>
    </row>
    <row r="54" customFormat="false" ht="15.75" hidden="false" customHeight="true" outlineLevel="0" collapsed="false">
      <c r="A54" s="97" t="s">
        <v>1200</v>
      </c>
      <c r="B54" s="96" t="s">
        <v>1201</v>
      </c>
    </row>
    <row r="55" customFormat="false" ht="15.75" hidden="false" customHeight="true" outlineLevel="0" collapsed="false">
      <c r="A55" s="97" t="s">
        <v>1202</v>
      </c>
      <c r="B55" s="96" t="s">
        <v>1203</v>
      </c>
    </row>
    <row r="56" customFormat="false" ht="15.75" hidden="false" customHeight="true" outlineLevel="0" collapsed="false">
      <c r="A56" s="97" t="s">
        <v>1204</v>
      </c>
      <c r="B56" s="96" t="s">
        <v>1205</v>
      </c>
    </row>
    <row r="57" customFormat="false" ht="15.75" hidden="false" customHeight="true" outlineLevel="0" collapsed="false">
      <c r="A57" s="97" t="s">
        <v>1206</v>
      </c>
      <c r="B57" s="96" t="s">
        <v>1207</v>
      </c>
    </row>
    <row r="58" customFormat="false" ht="15.75" hidden="false" customHeight="true" outlineLevel="0" collapsed="false">
      <c r="A58" s="97" t="s">
        <v>1208</v>
      </c>
      <c r="B58" s="102" t="s">
        <v>1209</v>
      </c>
    </row>
    <row r="59" customFormat="false" ht="15.75" hidden="false" customHeight="true" outlineLevel="0" collapsed="false">
      <c r="A59" s="97" t="s">
        <v>1210</v>
      </c>
      <c r="B59" s="96" t="s">
        <v>1211</v>
      </c>
    </row>
    <row r="60" customFormat="false" ht="18" hidden="false" customHeight="true" outlineLevel="0" collapsed="false">
      <c r="A60" s="97" t="s">
        <v>1212</v>
      </c>
      <c r="B60" s="96" t="s">
        <v>1213</v>
      </c>
    </row>
    <row r="61" customFormat="false" ht="15.75" hidden="false" customHeight="true" outlineLevel="0" collapsed="false">
      <c r="A61" s="97" t="s">
        <v>1214</v>
      </c>
      <c r="B61" s="96" t="s">
        <v>1215</v>
      </c>
    </row>
    <row r="62" customFormat="false" ht="15.75" hidden="false" customHeight="true" outlineLevel="0" collapsed="false">
      <c r="A62" s="97" t="s">
        <v>1216</v>
      </c>
      <c r="B62" s="96" t="s">
        <v>1217</v>
      </c>
    </row>
    <row r="63" customFormat="false" ht="15.75" hidden="false" customHeight="true" outlineLevel="0" collapsed="false">
      <c r="A63" s="97" t="s">
        <v>1218</v>
      </c>
      <c r="B63" s="96" t="s">
        <v>1219</v>
      </c>
    </row>
    <row r="64" customFormat="false" ht="15.75" hidden="false" customHeight="true" outlineLevel="0" collapsed="false">
      <c r="A64" s="97" t="s">
        <v>1220</v>
      </c>
      <c r="B64" s="96" t="s">
        <v>1221</v>
      </c>
    </row>
    <row r="65" customFormat="false" ht="15.75" hidden="false" customHeight="true" outlineLevel="0" collapsed="false">
      <c r="A65" s="97" t="s">
        <v>1222</v>
      </c>
      <c r="B65" s="96" t="s">
        <v>1223</v>
      </c>
    </row>
    <row r="66" customFormat="false" ht="15.75" hidden="false" customHeight="true" outlineLevel="0" collapsed="false">
      <c r="A66" s="97" t="s">
        <v>1224</v>
      </c>
      <c r="B66" s="96" t="s">
        <v>1225</v>
      </c>
    </row>
    <row r="67" customFormat="false" ht="15.75" hidden="false" customHeight="true" outlineLevel="0" collapsed="false">
      <c r="A67" s="97" t="s">
        <v>1226</v>
      </c>
      <c r="B67" s="96" t="s">
        <v>1227</v>
      </c>
    </row>
    <row r="68" customFormat="false" ht="15.75" hidden="false" customHeight="true" outlineLevel="0" collapsed="false">
      <c r="A68" s="97" t="s">
        <v>1228</v>
      </c>
      <c r="B68" s="96" t="s">
        <v>1229</v>
      </c>
    </row>
    <row r="69" customFormat="false" ht="15.75" hidden="false" customHeight="true" outlineLevel="0" collapsed="false">
      <c r="A69" s="97" t="s">
        <v>1230</v>
      </c>
      <c r="B69" s="96" t="s">
        <v>1231</v>
      </c>
    </row>
    <row r="70" customFormat="false" ht="15.75" hidden="false" customHeight="true" outlineLevel="0" collapsed="false">
      <c r="A70" s="97" t="s">
        <v>1232</v>
      </c>
      <c r="B70" s="96" t="s">
        <v>1233</v>
      </c>
    </row>
    <row r="71" customFormat="false" ht="15.75" hidden="false" customHeight="true" outlineLevel="0" collapsed="false">
      <c r="A71" s="97" t="s">
        <v>1234</v>
      </c>
      <c r="B71" s="102" t="s">
        <v>1235</v>
      </c>
    </row>
    <row r="72" customFormat="false" ht="15.75" hidden="false" customHeight="true" outlineLevel="0" collapsed="false">
      <c r="A72" s="97" t="s">
        <v>1236</v>
      </c>
      <c r="B72" s="96" t="s">
        <v>1237</v>
      </c>
    </row>
    <row r="73" customFormat="false" ht="15.75" hidden="false" customHeight="true" outlineLevel="0" collapsed="false">
      <c r="A73" s="97" t="s">
        <v>1238</v>
      </c>
      <c r="B73" s="96" t="s">
        <v>1239</v>
      </c>
    </row>
    <row r="74" customFormat="false" ht="15.75" hidden="false" customHeight="true" outlineLevel="0" collapsed="false">
      <c r="A74" s="97" t="s">
        <v>1240</v>
      </c>
      <c r="B74" s="96" t="s">
        <v>1241</v>
      </c>
    </row>
    <row r="75" customFormat="false" ht="15.75" hidden="false" customHeight="true" outlineLevel="0" collapsed="false">
      <c r="A75" s="97" t="s">
        <v>1242</v>
      </c>
      <c r="B75" s="96" t="s">
        <v>1243</v>
      </c>
    </row>
    <row r="76" customFormat="false" ht="15.75" hidden="false" customHeight="true" outlineLevel="0" collapsed="false">
      <c r="A76" s="97" t="s">
        <v>1244</v>
      </c>
      <c r="B76" s="96" t="s">
        <v>1245</v>
      </c>
    </row>
    <row r="77" customFormat="false" ht="15.75" hidden="false" customHeight="true" outlineLevel="0" collapsed="false">
      <c r="A77" s="97" t="s">
        <v>1246</v>
      </c>
      <c r="B77" s="96" t="s">
        <v>1247</v>
      </c>
    </row>
    <row r="78" customFormat="false" ht="15.75" hidden="false" customHeight="true" outlineLevel="0" collapsed="false">
      <c r="A78" s="97" t="s">
        <v>1248</v>
      </c>
      <c r="B78" s="96" t="s">
        <v>1249</v>
      </c>
    </row>
    <row r="79" customFormat="false" ht="15.75" hidden="false" customHeight="true" outlineLevel="0" collapsed="false">
      <c r="A79" s="97" t="s">
        <v>1250</v>
      </c>
      <c r="B79" s="96" t="s">
        <v>1251</v>
      </c>
    </row>
    <row r="80" customFormat="false" ht="15.75" hidden="false" customHeight="true" outlineLevel="0" collapsed="false">
      <c r="A80" s="97" t="s">
        <v>1252</v>
      </c>
      <c r="B80" s="96" t="s">
        <v>1253</v>
      </c>
    </row>
    <row r="81" customFormat="false" ht="15.75" hidden="false" customHeight="true" outlineLevel="0" collapsed="false">
      <c r="A81" s="97" t="s">
        <v>1254</v>
      </c>
      <c r="B81" s="96" t="s">
        <v>1255</v>
      </c>
    </row>
    <row r="82" customFormat="false" ht="15.75" hidden="false" customHeight="true" outlineLevel="0" collapsed="false">
      <c r="A82" s="97" t="s">
        <v>1256</v>
      </c>
      <c r="B82" s="96" t="s">
        <v>1257</v>
      </c>
    </row>
    <row r="83" customFormat="false" ht="15.75" hidden="false" customHeight="true" outlineLevel="0" collapsed="false">
      <c r="A83" s="97" t="s">
        <v>1258</v>
      </c>
      <c r="B83" s="96" t="s">
        <v>1259</v>
      </c>
    </row>
    <row r="84" customFormat="false" ht="15" hidden="false" customHeight="true" outlineLevel="0" collapsed="false">
      <c r="A84" s="104"/>
    </row>
  </sheetData>
  <hyperlinks>
    <hyperlink ref="B25" r:id="rId1" display="EUROEXCHANGE SECURITIES UK LTD is a licensed E-money institution based in the UK, offering services such as international payment processing and multi-currency accounts (https://euroexchange.uk/). CFSB offers settlement services for EUROEXCHANGE SECURITIES UK LTD. "/>
    <hyperlink ref="B42" r:id="rId2" display="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
    <hyperlink ref="B46" r:id="rId3" display="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
    <hyperlink ref="B58" r:id="rId4" display="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
    <hyperlink ref="B71" r:id="rId5" display="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8"/>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selection pane="topLeft" activeCell="J4" activeCellId="0" sqref="J4"/>
    </sheetView>
  </sheetViews>
  <sheetFormatPr defaultColWidth="8.6796875" defaultRowHeight="14.25" zeroHeight="false" outlineLevelRow="0" outlineLevelCol="0"/>
  <cols>
    <col collapsed="false" customWidth="true" hidden="false" outlineLevel="0" max="1" min="1" style="105" width="34"/>
    <col collapsed="false" customWidth="true" hidden="false" outlineLevel="0" max="2" min="2" style="106" width="95"/>
  </cols>
  <sheetData>
    <row r="1" customFormat="false" ht="19.5" hidden="false" customHeight="true" outlineLevel="0" collapsed="false">
      <c r="A1" s="107" t="s">
        <v>1260</v>
      </c>
      <c r="B1" s="107" t="s">
        <v>1261</v>
      </c>
    </row>
    <row r="2" customFormat="false" ht="109.5" hidden="false" customHeight="true" outlineLevel="0" collapsed="false">
      <c r="A2" s="108" t="s">
        <v>1002</v>
      </c>
      <c r="B2" s="109" t="s">
        <v>1262</v>
      </c>
    </row>
    <row r="3" customFormat="false" ht="109.5" hidden="false" customHeight="true" outlineLevel="0" collapsed="false">
      <c r="A3" s="108" t="s">
        <v>1006</v>
      </c>
      <c r="B3" s="109" t="s">
        <v>1263</v>
      </c>
    </row>
    <row r="4" customFormat="false" ht="109.5" hidden="false" customHeight="true" outlineLevel="0" collapsed="false">
      <c r="A4" s="108" t="s">
        <v>1014</v>
      </c>
      <c r="B4" s="109" t="s">
        <v>1264</v>
      </c>
    </row>
    <row r="5" customFormat="false" ht="109.5" hidden="false" customHeight="true" outlineLevel="0" collapsed="false">
      <c r="A5" s="108" t="s">
        <v>1265</v>
      </c>
      <c r="B5" s="109" t="s">
        <v>1266</v>
      </c>
    </row>
    <row r="6" customFormat="false" ht="109.5" hidden="false" customHeight="true" outlineLevel="0" collapsed="false">
      <c r="A6" s="108" t="s">
        <v>1267</v>
      </c>
      <c r="B6" s="109" t="s">
        <v>1268</v>
      </c>
    </row>
    <row r="7" customFormat="false" ht="109.5" hidden="false" customHeight="true" outlineLevel="0" collapsed="false">
      <c r="A7" s="108" t="s">
        <v>1269</v>
      </c>
      <c r="B7" s="109" t="s">
        <v>1270</v>
      </c>
    </row>
    <row r="8" customFormat="false" ht="109.5" hidden="false" customHeight="true" outlineLevel="0" collapsed="false">
      <c r="A8" s="108" t="s">
        <v>1271</v>
      </c>
      <c r="B8" s="109" t="s">
        <v>1272</v>
      </c>
    </row>
    <row r="9" customFormat="false" ht="109.5" hidden="false" customHeight="true" outlineLevel="0" collapsed="false">
      <c r="A9" s="108" t="s">
        <v>1273</v>
      </c>
      <c r="B9" s="109" t="s">
        <v>1274</v>
      </c>
    </row>
    <row r="10" customFormat="false" ht="109.5" hidden="false" customHeight="true" outlineLevel="0" collapsed="false">
      <c r="A10" s="108"/>
      <c r="B10" s="109"/>
    </row>
    <row r="11" customFormat="false" ht="109.5" hidden="false" customHeight="true" outlineLevel="0" collapsed="false">
      <c r="A11" s="108"/>
      <c r="B11" s="109"/>
    </row>
    <row r="12" customFormat="false" ht="109.5" hidden="false" customHeight="true" outlineLevel="0" collapsed="false">
      <c r="A12" s="108"/>
      <c r="B12" s="109"/>
    </row>
    <row r="13" customFormat="false" ht="109.5" hidden="false" customHeight="true" outlineLevel="0" collapsed="false">
      <c r="A13" s="108"/>
      <c r="B13" s="109"/>
    </row>
    <row r="14" customFormat="false" ht="109.5" hidden="false" customHeight="true" outlineLevel="0" collapsed="false">
      <c r="A14" s="108"/>
      <c r="B14" s="109"/>
    </row>
    <row r="15" customFormat="false" ht="109.5" hidden="false" customHeight="true" outlineLevel="0" collapsed="false">
      <c r="A15" s="108"/>
      <c r="B15" s="109"/>
    </row>
    <row r="16" customFormat="false" ht="199.5" hidden="false" customHeight="true" outlineLevel="0" collapsed="false">
      <c r="A16" s="108"/>
      <c r="B16" s="109"/>
    </row>
    <row r="17" customFormat="false" ht="199.5" hidden="false" customHeight="true" outlineLevel="0" collapsed="false">
      <c r="A17" s="108"/>
      <c r="B17" s="109"/>
    </row>
    <row r="18" customFormat="false" ht="199.5" hidden="false" customHeight="true" outlineLevel="0" collapsed="false">
      <c r="A18" s="108"/>
      <c r="B18" s="10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2"/>
  <sheetViews>
    <sheetView showFormulas="false" showGridLines="true" showRowColHeaders="true" showZeros="true" rightToLeft="false" tabSelected="false" showOutlineSymbols="true" defaultGridColor="true" view="normal" topLeftCell="A8" colorId="64" zoomScale="50" zoomScaleNormal="50" zoomScalePageLayoutView="100" workbookViewId="0">
      <selection pane="topLeft" activeCell="B10" activeCellId="0" sqref="B10"/>
    </sheetView>
  </sheetViews>
  <sheetFormatPr defaultColWidth="8.6796875" defaultRowHeight="14.25" zeroHeight="false" outlineLevelRow="0" outlineLevelCol="0"/>
  <cols>
    <col collapsed="false" customWidth="true" hidden="false" outlineLevel="0" max="1" min="1" style="105" width="26.82"/>
    <col collapsed="false" customWidth="true" hidden="false" outlineLevel="0" max="2" min="2" style="106" width="83.45"/>
  </cols>
  <sheetData>
    <row r="1" customFormat="false" ht="15" hidden="false" customHeight="true" outlineLevel="0" collapsed="false">
      <c r="A1" s="107" t="s">
        <v>1275</v>
      </c>
      <c r="B1" s="110" t="s">
        <v>1276</v>
      </c>
    </row>
    <row r="2" customFormat="false" ht="56.25" hidden="false" customHeight="true" outlineLevel="0" collapsed="false">
      <c r="A2" s="108" t="s">
        <v>1277</v>
      </c>
      <c r="B2" s="109" t="s">
        <v>1278</v>
      </c>
    </row>
    <row r="3" customFormat="false" ht="69.75" hidden="false" customHeight="true" outlineLevel="0" collapsed="false">
      <c r="A3" s="111" t="s">
        <v>1279</v>
      </c>
      <c r="B3" s="112" t="s">
        <v>1280</v>
      </c>
    </row>
    <row r="4" customFormat="false" ht="174" hidden="false" customHeight="true" outlineLevel="0" collapsed="false">
      <c r="A4" s="111" t="s">
        <v>1281</v>
      </c>
      <c r="B4" s="112" t="s">
        <v>1282</v>
      </c>
    </row>
    <row r="5" customFormat="false" ht="130.5" hidden="false" customHeight="true" outlineLevel="0" collapsed="false">
      <c r="A5" s="111" t="s">
        <v>1283</v>
      </c>
      <c r="B5" s="112" t="s">
        <v>1284</v>
      </c>
    </row>
    <row r="6" customFormat="false" ht="159" hidden="false" customHeight="true" outlineLevel="0" collapsed="false">
      <c r="A6" s="111" t="s">
        <v>1285</v>
      </c>
      <c r="B6" s="112" t="s">
        <v>1286</v>
      </c>
    </row>
    <row r="7" customFormat="false" ht="115.5" hidden="false" customHeight="true" outlineLevel="0" collapsed="false">
      <c r="A7" s="111" t="s">
        <v>1287</v>
      </c>
      <c r="B7" s="112" t="s">
        <v>1288</v>
      </c>
    </row>
    <row r="8" customFormat="false" ht="130.5" hidden="false" customHeight="true" outlineLevel="0" collapsed="false">
      <c r="A8" s="111" t="s">
        <v>1289</v>
      </c>
      <c r="B8" s="112" t="s">
        <v>1290</v>
      </c>
    </row>
    <row r="9" customFormat="false" ht="144.75" hidden="false" customHeight="true" outlineLevel="0" collapsed="false">
      <c r="A9" s="111" t="s">
        <v>1291</v>
      </c>
      <c r="B9" s="112" t="s">
        <v>1292</v>
      </c>
    </row>
    <row r="10" customFormat="false" ht="145.5" hidden="false" customHeight="true" outlineLevel="0" collapsed="false">
      <c r="A10" s="113" t="s">
        <v>1277</v>
      </c>
      <c r="B10" s="114" t="s">
        <v>1293</v>
      </c>
    </row>
    <row r="11" customFormat="false" ht="409.5" hidden="false" customHeight="true" outlineLevel="0" collapsed="false">
      <c r="A11" s="115" t="s">
        <v>1265</v>
      </c>
      <c r="B11" s="116" t="s">
        <v>1294</v>
      </c>
    </row>
    <row r="12" customFormat="false" ht="409.5" hidden="false" customHeight="true" outlineLevel="0" collapsed="false">
      <c r="A12" s="117" t="s">
        <v>1267</v>
      </c>
      <c r="B12" s="118" t="s">
        <v>1295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81" width="24"/>
    <col collapsed="false" customWidth="true" hidden="false" outlineLevel="0" max="2" min="2" style="81" width="34"/>
    <col collapsed="false" customWidth="true" hidden="false" outlineLevel="0" max="3" min="3" style="81" width="75"/>
    <col collapsed="false" customWidth="true" hidden="false" outlineLevel="0" max="4" min="4" style="81" width="48"/>
    <col collapsed="false" customWidth="true" hidden="false" outlineLevel="0" max="14" min="5" style="81" width="14"/>
  </cols>
  <sheetData>
    <row r="1" customFormat="false" ht="30" hidden="false" customHeight="true" outlineLevel="0" collapsed="false">
      <c r="A1" s="119" t="s">
        <v>1296</v>
      </c>
      <c r="B1" s="119" t="s">
        <v>1297</v>
      </c>
      <c r="C1" s="119" t="s">
        <v>1298</v>
      </c>
      <c r="D1" s="119" t="s">
        <v>1299</v>
      </c>
      <c r="E1" s="119" t="s">
        <v>1300</v>
      </c>
    </row>
    <row r="2" customFormat="false" ht="15" hidden="false" customHeight="true" outlineLevel="0" collapsed="false">
      <c r="A2" s="120" t="str">
        <f aca="false">IF(Sheet1!$J$14="","Customer",Sheet1!$J$14&amp;" (Customer)")</f>
        <v>Customer</v>
      </c>
      <c r="B2" s="120" t="s">
        <v>1301</v>
      </c>
      <c r="C2" s="120" t="str">
        <f aca="false">IF(L2="","",L2)</f>
        <v/>
      </c>
      <c r="D2" s="120" t="str">
        <f aca="false">IF(F2="","",Sheet1!$J$10&amp;"_"&amp;Sheet1!$J$11&amp;"_Customer_"&amp;N2&amp;"_Google.pdf")</f>
        <v/>
      </c>
      <c r="E2" s="120"/>
      <c r="F2" s="81" t="str">
        <f aca="false">IF(Sheet1!$J$14="","",Sheet1!$J$14)</f>
        <v/>
      </c>
      <c r="G2" s="81" t="str">
        <f aca="false">IF(F2="","",SUBSTITUTE(F2,CHAR(34),"%22"))</f>
        <v/>
      </c>
      <c r="H2" s="81" t="str">
        <f aca="false">IF(G2="","",SUBSTITUTE(G2,"&amp;","%26"))</f>
        <v/>
      </c>
      <c r="I2" s="81" t="str">
        <f aca="false">IF(H2="","",SUBSTITUTE(H2,"(","%28"))</f>
        <v/>
      </c>
      <c r="J2" s="81" t="str">
        <f aca="false">IF(I2="","",SUBSTITUTE(I2,")","%29"))</f>
        <v/>
      </c>
      <c r="K2" s="81" t="str">
        <f aca="false">IF(J2="","",SUBSTITUTE(J2," ","+"))</f>
        <v/>
      </c>
      <c r="L2" s="81" t="str">
        <f aca="false">IF(K2="","","https://www.google.com/search?q="&amp;K2&amp;"&amp;num=100&amp;hl=en")</f>
        <v/>
      </c>
      <c r="M2" s="81" t="n">
        <f aca="false">IF(F2="",0,1)</f>
        <v>0</v>
      </c>
      <c r="N2" s="81" t="n">
        <f aca="false">SUM($M$2:M2)</f>
        <v>0</v>
      </c>
    </row>
    <row r="3" customFormat="false" ht="15" hidden="false" customHeight="true" outlineLevel="0" collapsed="false">
      <c r="A3" s="121" t="str">
        <f aca="false">IF(Sheet1!$J$14="","Customer",Sheet1!$J$14&amp;" (Customer)")</f>
        <v>Customer</v>
      </c>
      <c r="B3" s="121" t="s">
        <v>1302</v>
      </c>
      <c r="C3" s="121" t="str">
        <f aca="false">IF(L3="","",L3)</f>
        <v/>
      </c>
      <c r="D3" s="121" t="str">
        <f aca="false">IF(F3="","",Sheet1!$J$10&amp;"_"&amp;Sheet1!$J$11&amp;"_Customer_"&amp;N3&amp;"_Address.pdf")</f>
        <v/>
      </c>
      <c r="E3" s="121"/>
      <c r="F3" s="81" t="str">
        <f aca="false">IF(Sheet1!$J$15="","",Sheet1!$J$15)</f>
        <v/>
      </c>
      <c r="G3" s="81" t="str">
        <f aca="false">IF(F3="","",SUBSTITUTE(F3,CHAR(34),"%22"))</f>
        <v/>
      </c>
      <c r="H3" s="81" t="str">
        <f aca="false">IF(G3="","",SUBSTITUTE(G3,"&amp;","%26"))</f>
        <v/>
      </c>
      <c r="I3" s="81" t="str">
        <f aca="false">IF(H3="","",SUBSTITUTE(H3,"(","%28"))</f>
        <v/>
      </c>
      <c r="J3" s="81" t="str">
        <f aca="false">IF(I3="","",SUBSTITUTE(I3,")","%29"))</f>
        <v/>
      </c>
      <c r="K3" s="81" t="str">
        <f aca="false">IF(J3="","",SUBSTITUTE(J3," ","+"))</f>
        <v/>
      </c>
      <c r="L3" s="81" t="str">
        <f aca="false">IF(K3="","","https://www.google.com/search?q="&amp;K3&amp;"&amp;num=100&amp;hl=en")</f>
        <v/>
      </c>
      <c r="M3" s="81" t="n">
        <f aca="false">IF(F3="",0,1)</f>
        <v>0</v>
      </c>
      <c r="N3" s="81" t="n">
        <f aca="false">SUM($M$2:M3)</f>
        <v>0</v>
      </c>
    </row>
    <row r="4" customFormat="false" ht="15" hidden="false" customHeight="true" outlineLevel="0" collapsed="false">
      <c r="A4" s="120" t="str">
        <f aca="false">IF(Sheet1!$J$14="","Customer",Sheet1!$J$14&amp;" (Customer)")</f>
        <v>Customer</v>
      </c>
      <c r="B4" s="120" t="s">
        <v>1303</v>
      </c>
      <c r="C4" s="120" t="str">
        <f aca="false">IF(L4="","",L4)</f>
        <v/>
      </c>
      <c r="D4" s="120" t="str">
        <f aca="false">IF(F4="","",Sheet1!$J$10&amp;"_"&amp;Sheet1!$J$11&amp;"_Customer_"&amp;N4&amp;"_Google+Address.pdf")</f>
        <v/>
      </c>
      <c r="E4" s="120"/>
      <c r="F4" s="81" t="str">
        <f aca="false">IF(OR(Sheet1!$J$14="",Sheet1!$J$15=""),"",Sheet1!$J$14&amp;" "&amp;Sheet1!$J$15)</f>
        <v/>
      </c>
      <c r="G4" s="81" t="str">
        <f aca="false">IF(F4="","",SUBSTITUTE(F4,CHAR(34),"%22"))</f>
        <v/>
      </c>
      <c r="H4" s="81" t="str">
        <f aca="false">IF(G4="","",SUBSTITUTE(G4,"&amp;","%26"))</f>
        <v/>
      </c>
      <c r="I4" s="81" t="str">
        <f aca="false">IF(H4="","",SUBSTITUTE(H4,"(","%28"))</f>
        <v/>
      </c>
      <c r="J4" s="81" t="str">
        <f aca="false">IF(I4="","",SUBSTITUTE(I4,")","%29"))</f>
        <v/>
      </c>
      <c r="K4" s="81" t="str">
        <f aca="false">IF(J4="","",SUBSTITUTE(J4," ","+"))</f>
        <v/>
      </c>
      <c r="L4" s="81" t="str">
        <f aca="false">IF(K4="","","https://www.google.com/search?q="&amp;K4&amp;"&amp;num=100&amp;hl=en")</f>
        <v/>
      </c>
      <c r="M4" s="81" t="n">
        <f aca="false">IF(F4="",0,1)</f>
        <v>0</v>
      </c>
      <c r="N4" s="81" t="n">
        <f aca="false">SUM($M$2:M4)</f>
        <v>0</v>
      </c>
    </row>
    <row r="5" customFormat="false" ht="15" hidden="false" customHeight="true" outlineLevel="0" collapsed="false">
      <c r="A5" s="121" t="str">
        <f aca="false">IF(Sheet1!$J$14="","Customer",Sheet1!$J$14&amp;" (Customer)")</f>
        <v>Customer</v>
      </c>
      <c r="B5" s="121" t="s">
        <v>1304</v>
      </c>
      <c r="C5" s="121" t="str">
        <f aca="false">IF(L5="","",L5)</f>
        <v/>
      </c>
      <c r="D5" s="121" t="str">
        <f aca="false">IF(F5="","",Sheet1!$J$10&amp;"_"&amp;Sheet1!$J$11&amp;"_Customer_"&amp;N5&amp;"_Negative News 1.pdf")</f>
        <v/>
      </c>
      <c r="E5" s="121"/>
      <c r="F5" s="81" t="str">
        <f aca="false">IF(Sheet1!$J$14="","",CHAR(34)&amp;Sheet1!$J$14&amp;CHAR(34)&amp;" AND (arrest OR corruption OR sentencing OR money laundering OR AML OR launder OR embezzle OR evas OR evad OR crime OR corrupt OR bribe OR theft OR extort OR drug OR traffic OR trafficking OR felony OR sanction OR counterfeit OR terror)")</f>
        <v/>
      </c>
      <c r="G5" s="81" t="str">
        <f aca="false">IF(F5="","",SUBSTITUTE(F5,CHAR(34),"%22"))</f>
        <v/>
      </c>
      <c r="H5" s="81" t="str">
        <f aca="false">IF(G5="","",SUBSTITUTE(G5,"&amp;","%26"))</f>
        <v/>
      </c>
      <c r="I5" s="81" t="str">
        <f aca="false">IF(H5="","",SUBSTITUTE(H5,"(","%28"))</f>
        <v/>
      </c>
      <c r="J5" s="81" t="str">
        <f aca="false">IF(I5="","",SUBSTITUTE(I5,")","%29"))</f>
        <v/>
      </c>
      <c r="K5" s="81" t="str">
        <f aca="false">IF(J5="","",SUBSTITUTE(J5," ","+"))</f>
        <v/>
      </c>
      <c r="L5" s="81" t="str">
        <f aca="false">IF(K5="","","https://www.google.com/search?q="&amp;K5&amp;"&amp;num=100&amp;hl=en")</f>
        <v/>
      </c>
      <c r="M5" s="81" t="n">
        <f aca="false">IF(F5="",0,1)</f>
        <v>0</v>
      </c>
      <c r="N5" s="81" t="n">
        <f aca="false">SUM($M$2:M5)</f>
        <v>0</v>
      </c>
    </row>
    <row r="6" customFormat="false" ht="15" hidden="false" customHeight="true" outlineLevel="0" collapsed="false">
      <c r="A6" s="120" t="str">
        <f aca="false">IF(Sheet1!$J$14="","Customer",Sheet1!$J$14&amp;" (Customer)")</f>
        <v>Customer</v>
      </c>
      <c r="B6" s="120" t="s">
        <v>1305</v>
      </c>
      <c r="C6" s="120" t="str">
        <f aca="false">IF(L6="","",L6)</f>
        <v/>
      </c>
      <c r="D6" s="120" t="str">
        <f aca="false">IF(F6="","",Sheet1!$J$10&amp;"_"&amp;Sheet1!$J$11&amp;"_Customer_"&amp;N6&amp;"_Negative News 2.pdf")</f>
        <v/>
      </c>
      <c r="E6" s="120"/>
      <c r="F6" s="81" t="str">
        <f aca="false">IF(Sheet1!$J$14="","",CHAR(34)&amp;Sheet1!$J$14&amp;CHAR(34)&amp;" AND (arrest OR corruption OR sentencing OR money laundering OR AML OR launder OR embezzle OR evas OR evad OR crime OR corrupt OR bribe OR theft OR extort OR drug OR traffic OR trafficking OR felony OR sanction OR counterfeit OR terror)")</f>
        <v/>
      </c>
      <c r="G6" s="81" t="str">
        <f aca="false">IF(F6="","",SUBSTITUTE(F6,CHAR(34),"%22"))</f>
        <v/>
      </c>
      <c r="H6" s="81" t="str">
        <f aca="false">IF(G6="","",SUBSTITUTE(G6,"&amp;","%26"))</f>
        <v/>
      </c>
      <c r="I6" s="81" t="str">
        <f aca="false">IF(H6="","",SUBSTITUTE(H6,"(","%28"))</f>
        <v/>
      </c>
      <c r="J6" s="81" t="str">
        <f aca="false">IF(I6="","",SUBSTITUTE(I6,")","%29"))</f>
        <v/>
      </c>
      <c r="K6" s="81" t="str">
        <f aca="false">IF(J6="","",SUBSTITUTE(J6," ","+"))</f>
        <v/>
      </c>
      <c r="L6" s="81" t="str">
        <f aca="false">IF(K6="","","https://www.google.com/search?q="&amp;K6&amp;"&amp;num=100&amp;hl=en&amp;start=100")</f>
        <v/>
      </c>
      <c r="M6" s="81" t="n">
        <f aca="false">IF(F6="",0,1)</f>
        <v>0</v>
      </c>
      <c r="N6" s="81" t="n">
        <f aca="false">SUM($M$2:M6)</f>
        <v>0</v>
      </c>
    </row>
    <row r="7" customFormat="false" ht="15" hidden="false" customHeight="true" outlineLevel="0" collapsed="false">
      <c r="A7" s="121" t="str">
        <f aca="false">IF(Sheet1!$J$19="","Counterparty 1",Sheet1!$J$19&amp;" (CP1)")</f>
        <v>Counterparty 1</v>
      </c>
      <c r="B7" s="121" t="s">
        <v>1301</v>
      </c>
      <c r="C7" s="121" t="str">
        <f aca="false">IF(L7="","",L7)</f>
        <v/>
      </c>
      <c r="D7" s="121" t="str">
        <f aca="false">IF(F7="","",Sheet1!$J$10&amp;"_"&amp;Sheet1!$J$11&amp;"_CP1_"&amp;N7&amp;"_Google.pdf")</f>
        <v/>
      </c>
      <c r="E7" s="121"/>
      <c r="F7" s="81" t="str">
        <f aca="false">IF(Sheet1!$J$19="","",Sheet1!$J$19)</f>
        <v/>
      </c>
      <c r="G7" s="81" t="str">
        <f aca="false">IF(F7="","",SUBSTITUTE(F7,CHAR(34),"%22"))</f>
        <v/>
      </c>
      <c r="H7" s="81" t="str">
        <f aca="false">IF(G7="","",SUBSTITUTE(G7,"&amp;","%26"))</f>
        <v/>
      </c>
      <c r="I7" s="81" t="str">
        <f aca="false">IF(H7="","",SUBSTITUTE(H7,"(","%28"))</f>
        <v/>
      </c>
      <c r="J7" s="81" t="str">
        <f aca="false">IF(I7="","",SUBSTITUTE(I7,")","%29"))</f>
        <v/>
      </c>
      <c r="K7" s="81" t="str">
        <f aca="false">IF(J7="","",SUBSTITUTE(J7," ","+"))</f>
        <v/>
      </c>
      <c r="L7" s="81" t="str">
        <f aca="false">IF(K7="","","https://www.google.com/search?q="&amp;K7&amp;"&amp;num=100&amp;hl=en")</f>
        <v/>
      </c>
      <c r="M7" s="81" t="n">
        <f aca="false">IF(F7="",0,1)</f>
        <v>0</v>
      </c>
      <c r="N7" s="81" t="n">
        <f aca="false">SUM($M$7:M7)</f>
        <v>0</v>
      </c>
    </row>
    <row r="8" customFormat="false" ht="15" hidden="false" customHeight="true" outlineLevel="0" collapsed="false">
      <c r="A8" s="120" t="str">
        <f aca="false">IF(Sheet1!$J$19="","Counterparty 1",Sheet1!$J$19&amp;" (CP1)")</f>
        <v>Counterparty 1</v>
      </c>
      <c r="B8" s="120" t="s">
        <v>1302</v>
      </c>
      <c r="C8" s="120" t="str">
        <f aca="false">IF(L8="","",L8)</f>
        <v/>
      </c>
      <c r="D8" s="120" t="str">
        <f aca="false">IF(F8="","",Sheet1!$J$10&amp;"_"&amp;Sheet1!$J$11&amp;"_CP1_"&amp;N8&amp;"_Address.pdf")</f>
        <v/>
      </c>
      <c r="E8" s="120"/>
      <c r="F8" s="81" t="str">
        <f aca="false">IF(Sheet1!$T$19="","",Sheet1!$T$19)</f>
        <v/>
      </c>
      <c r="G8" s="81" t="str">
        <f aca="false">IF(F8="","",SUBSTITUTE(F8,CHAR(34),"%22"))</f>
        <v/>
      </c>
      <c r="H8" s="81" t="str">
        <f aca="false">IF(G8="","",SUBSTITUTE(G8,"&amp;","%26"))</f>
        <v/>
      </c>
      <c r="I8" s="81" t="str">
        <f aca="false">IF(H8="","",SUBSTITUTE(H8,"(","%28"))</f>
        <v/>
      </c>
      <c r="J8" s="81" t="str">
        <f aca="false">IF(I8="","",SUBSTITUTE(I8,")","%29"))</f>
        <v/>
      </c>
      <c r="K8" s="81" t="str">
        <f aca="false">IF(J8="","",SUBSTITUTE(J8," ","+"))</f>
        <v/>
      </c>
      <c r="L8" s="81" t="str">
        <f aca="false">IF(K8="","","https://www.google.com/search?q="&amp;K8&amp;"&amp;num=100&amp;hl=en")</f>
        <v/>
      </c>
      <c r="M8" s="81" t="n">
        <f aca="false">IF(F8="",0,1)</f>
        <v>0</v>
      </c>
      <c r="N8" s="81" t="n">
        <f aca="false">SUM($M$7:M8)</f>
        <v>0</v>
      </c>
    </row>
    <row r="9" customFormat="false" ht="15" hidden="false" customHeight="true" outlineLevel="0" collapsed="false">
      <c r="A9" s="121" t="str">
        <f aca="false">IF(Sheet1!$J$19="","Counterparty 1",Sheet1!$J$19&amp;" (CP1)")</f>
        <v>Counterparty 1</v>
      </c>
      <c r="B9" s="121" t="s">
        <v>1303</v>
      </c>
      <c r="C9" s="121" t="str">
        <f aca="false">IF(L9="","",L9)</f>
        <v/>
      </c>
      <c r="D9" s="121" t="str">
        <f aca="false">IF(F9="","",Sheet1!$J$10&amp;"_"&amp;Sheet1!$J$11&amp;"_CP1_"&amp;N9&amp;"_Google+Address.pdf")</f>
        <v/>
      </c>
      <c r="E9" s="121"/>
      <c r="F9" s="81" t="str">
        <f aca="false">IF(OR(Sheet1!$J$19="",Sheet1!$T$19=""),"",Sheet1!$J$19&amp;" "&amp;Sheet1!$T$19)</f>
        <v/>
      </c>
      <c r="G9" s="81" t="str">
        <f aca="false">IF(F9="","",SUBSTITUTE(F9,CHAR(34),"%22"))</f>
        <v/>
      </c>
      <c r="H9" s="81" t="str">
        <f aca="false">IF(G9="","",SUBSTITUTE(G9,"&amp;","%26"))</f>
        <v/>
      </c>
      <c r="I9" s="81" t="str">
        <f aca="false">IF(H9="","",SUBSTITUTE(H9,"(","%28"))</f>
        <v/>
      </c>
      <c r="J9" s="81" t="str">
        <f aca="false">IF(I9="","",SUBSTITUTE(I9,")","%29"))</f>
        <v/>
      </c>
      <c r="K9" s="81" t="str">
        <f aca="false">IF(J9="","",SUBSTITUTE(J9," ","+"))</f>
        <v/>
      </c>
      <c r="L9" s="81" t="str">
        <f aca="false">IF(K9="","","https://www.google.com/search?q="&amp;K9&amp;"&amp;num=100&amp;hl=en")</f>
        <v/>
      </c>
      <c r="M9" s="81" t="n">
        <f aca="false">IF(F9="",0,1)</f>
        <v>0</v>
      </c>
      <c r="N9" s="81" t="n">
        <f aca="false">SUM($M$7:M9)</f>
        <v>0</v>
      </c>
    </row>
    <row r="10" customFormat="false" ht="15" hidden="false" customHeight="true" outlineLevel="0" collapsed="false">
      <c r="A10" s="120" t="str">
        <f aca="false">IF(Sheet1!$J$19="","Counterparty 1",Sheet1!$J$19&amp;" (CP1)")</f>
        <v>Counterparty 1</v>
      </c>
      <c r="B10" s="120" t="s">
        <v>1304</v>
      </c>
      <c r="C10" s="120" t="str">
        <f aca="false">IF(L10="","",L10)</f>
        <v/>
      </c>
      <c r="D10" s="120" t="str">
        <f aca="false">IF(F10="","",Sheet1!$J$10&amp;"_"&amp;Sheet1!$J$11&amp;"_CP1_"&amp;N10&amp;"_Negative News 1.pdf")</f>
        <v/>
      </c>
      <c r="E10" s="120"/>
      <c r="F10" s="81" t="str">
        <f aca="false">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0" s="81" t="str">
        <f aca="false">IF(F10="","",SUBSTITUTE(F10,CHAR(34),"%22"))</f>
        <v/>
      </c>
      <c r="H10" s="81" t="str">
        <f aca="false">IF(G10="","",SUBSTITUTE(G10,"&amp;","%26"))</f>
        <v/>
      </c>
      <c r="I10" s="81" t="str">
        <f aca="false">IF(H10="","",SUBSTITUTE(H10,"(","%28"))</f>
        <v/>
      </c>
      <c r="J10" s="81" t="str">
        <f aca="false">IF(I10="","",SUBSTITUTE(I10,")","%29"))</f>
        <v/>
      </c>
      <c r="K10" s="81" t="str">
        <f aca="false">IF(J10="","",SUBSTITUTE(J10," ","+"))</f>
        <v/>
      </c>
      <c r="L10" s="81" t="str">
        <f aca="false">IF(K10="","","https://www.google.com/search?q="&amp;K10&amp;"&amp;num=100&amp;hl=en")</f>
        <v/>
      </c>
      <c r="M10" s="81" t="n">
        <f aca="false">IF(F10="",0,1)</f>
        <v>0</v>
      </c>
      <c r="N10" s="81" t="n">
        <f aca="false">SUM($M$7:M10)</f>
        <v>0</v>
      </c>
    </row>
    <row r="11" customFormat="false" ht="15" hidden="false" customHeight="true" outlineLevel="0" collapsed="false">
      <c r="A11" s="121" t="str">
        <f aca="false">IF(Sheet1!$J$19="","Counterparty 1",Sheet1!$J$19&amp;" (CP1)")</f>
        <v>Counterparty 1</v>
      </c>
      <c r="B11" s="121" t="s">
        <v>1305</v>
      </c>
      <c r="C11" s="121" t="str">
        <f aca="false">IF(L11="","",L11)</f>
        <v/>
      </c>
      <c r="D11" s="121" t="str">
        <f aca="false">IF(F11="","",Sheet1!$J$10&amp;"_"&amp;Sheet1!$J$11&amp;"_CP1_"&amp;N11&amp;"_Negative News 2.pdf")</f>
        <v/>
      </c>
      <c r="E11" s="121"/>
      <c r="F11" s="81" t="str">
        <f aca="false">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1" s="81" t="str">
        <f aca="false">IF(F11="","",SUBSTITUTE(F11,CHAR(34),"%22"))</f>
        <v/>
      </c>
      <c r="H11" s="81" t="str">
        <f aca="false">IF(G11="","",SUBSTITUTE(G11,"&amp;","%26"))</f>
        <v/>
      </c>
      <c r="I11" s="81" t="str">
        <f aca="false">IF(H11="","",SUBSTITUTE(H11,"(","%28"))</f>
        <v/>
      </c>
      <c r="J11" s="81" t="str">
        <f aca="false">IF(I11="","",SUBSTITUTE(I11,")","%29"))</f>
        <v/>
      </c>
      <c r="K11" s="81" t="str">
        <f aca="false">IF(J11="","",SUBSTITUTE(J11," ","+"))</f>
        <v/>
      </c>
      <c r="L11" s="81" t="str">
        <f aca="false">IF(K11="","","https://www.google.com/search?q="&amp;K11&amp;"&amp;num=100&amp;hl=en&amp;start=100")</f>
        <v/>
      </c>
      <c r="M11" s="81" t="n">
        <f aca="false">IF(F11="",0,1)</f>
        <v>0</v>
      </c>
      <c r="N11" s="81" t="n">
        <f aca="false">SUM($M$7:M11)</f>
        <v>0</v>
      </c>
    </row>
    <row r="12" customFormat="false" ht="15" hidden="false" customHeight="true" outlineLevel="0" collapsed="false">
      <c r="A12" s="120" t="str">
        <f aca="false">IF(Sheet1!$J$20="","Counterparty 2",Sheet1!$J$20&amp;" (CP2)")</f>
        <v>Counterparty 2</v>
      </c>
      <c r="B12" s="120" t="s">
        <v>1301</v>
      </c>
      <c r="C12" s="120" t="str">
        <f aca="false">IF(L12="","",L12)</f>
        <v/>
      </c>
      <c r="D12" s="120" t="str">
        <f aca="false">IF(F12="","",Sheet1!$J$10&amp;"_"&amp;Sheet1!$J$11&amp;"_CP2_"&amp;N12&amp;"_Google.pdf")</f>
        <v/>
      </c>
      <c r="E12" s="120"/>
      <c r="F12" s="81" t="str">
        <f aca="false">IF(Sheet1!$J$20="","",Sheet1!$J$20)</f>
        <v/>
      </c>
      <c r="G12" s="81" t="str">
        <f aca="false">IF(F12="","",SUBSTITUTE(F12,CHAR(34),"%22"))</f>
        <v/>
      </c>
      <c r="H12" s="81" t="str">
        <f aca="false">IF(G12="","",SUBSTITUTE(G12,"&amp;","%26"))</f>
        <v/>
      </c>
      <c r="I12" s="81" t="str">
        <f aca="false">IF(H12="","",SUBSTITUTE(H12,"(","%28"))</f>
        <v/>
      </c>
      <c r="J12" s="81" t="str">
        <f aca="false">IF(I12="","",SUBSTITUTE(I12,")","%29"))</f>
        <v/>
      </c>
      <c r="K12" s="81" t="str">
        <f aca="false">IF(J12="","",SUBSTITUTE(J12," ","+"))</f>
        <v/>
      </c>
      <c r="L12" s="81" t="str">
        <f aca="false">IF(K12="","","https://www.google.com/search?q="&amp;K12&amp;"&amp;num=100&amp;hl=en")</f>
        <v/>
      </c>
      <c r="M12" s="81" t="n">
        <f aca="false">IF(F12="",0,1)</f>
        <v>0</v>
      </c>
      <c r="N12" s="81" t="n">
        <f aca="false">SUM($M$12:M12)</f>
        <v>0</v>
      </c>
    </row>
    <row r="13" customFormat="false" ht="15" hidden="false" customHeight="true" outlineLevel="0" collapsed="false">
      <c r="A13" s="121" t="str">
        <f aca="false">IF(Sheet1!$J$20="","Counterparty 2",Sheet1!$J$20&amp;" (CP2)")</f>
        <v>Counterparty 2</v>
      </c>
      <c r="B13" s="121" t="s">
        <v>1302</v>
      </c>
      <c r="C13" s="121" t="str">
        <f aca="false">IF(L13="","",L13)</f>
        <v/>
      </c>
      <c r="D13" s="121" t="str">
        <f aca="false">IF(F13="","",Sheet1!$J$10&amp;"_"&amp;Sheet1!$J$11&amp;"_CP2_"&amp;N13&amp;"_Address.pdf")</f>
        <v/>
      </c>
      <c r="E13" s="121"/>
      <c r="F13" s="81" t="str">
        <f aca="false">IF(Sheet1!$T$20="","",Sheet1!$T$20)</f>
        <v/>
      </c>
      <c r="G13" s="81" t="str">
        <f aca="false">IF(F13="","",SUBSTITUTE(F13,CHAR(34),"%22"))</f>
        <v/>
      </c>
      <c r="H13" s="81" t="str">
        <f aca="false">IF(G13="","",SUBSTITUTE(G13,"&amp;","%26"))</f>
        <v/>
      </c>
      <c r="I13" s="81" t="str">
        <f aca="false">IF(H13="","",SUBSTITUTE(H13,"(","%28"))</f>
        <v/>
      </c>
      <c r="J13" s="81" t="str">
        <f aca="false">IF(I13="","",SUBSTITUTE(I13,")","%29"))</f>
        <v/>
      </c>
      <c r="K13" s="81" t="str">
        <f aca="false">IF(J13="","",SUBSTITUTE(J13," ","+"))</f>
        <v/>
      </c>
      <c r="L13" s="81" t="str">
        <f aca="false">IF(K13="","","https://www.google.com/search?q="&amp;K13&amp;"&amp;num=100&amp;hl=en")</f>
        <v/>
      </c>
      <c r="M13" s="81" t="n">
        <f aca="false">IF(F13="",0,1)</f>
        <v>0</v>
      </c>
      <c r="N13" s="81" t="n">
        <f aca="false">SUM($M$12:M13)</f>
        <v>0</v>
      </c>
    </row>
    <row r="14" customFormat="false" ht="15" hidden="false" customHeight="true" outlineLevel="0" collapsed="false">
      <c r="A14" s="120" t="str">
        <f aca="false">IF(Sheet1!$J$20="","Counterparty 2",Sheet1!$J$20&amp;" (CP2)")</f>
        <v>Counterparty 2</v>
      </c>
      <c r="B14" s="120" t="s">
        <v>1303</v>
      </c>
      <c r="C14" s="120" t="str">
        <f aca="false">IF(L14="","",L14)</f>
        <v/>
      </c>
      <c r="D14" s="120" t="str">
        <f aca="false">IF(F14="","",Sheet1!$J$10&amp;"_"&amp;Sheet1!$J$11&amp;"_CP2_"&amp;N14&amp;"_Google+Address.pdf")</f>
        <v/>
      </c>
      <c r="E14" s="120"/>
      <c r="F14" s="81" t="str">
        <f aca="false">IF(OR(Sheet1!$J$20="",Sheet1!$T$20=""),"",Sheet1!$J$20&amp;" "&amp;Sheet1!$T$20)</f>
        <v/>
      </c>
      <c r="G14" s="81" t="str">
        <f aca="false">IF(F14="","",SUBSTITUTE(F14,CHAR(34),"%22"))</f>
        <v/>
      </c>
      <c r="H14" s="81" t="str">
        <f aca="false">IF(G14="","",SUBSTITUTE(G14,"&amp;","%26"))</f>
        <v/>
      </c>
      <c r="I14" s="81" t="str">
        <f aca="false">IF(H14="","",SUBSTITUTE(H14,"(","%28"))</f>
        <v/>
      </c>
      <c r="J14" s="81" t="str">
        <f aca="false">IF(I14="","",SUBSTITUTE(I14,")","%29"))</f>
        <v/>
      </c>
      <c r="K14" s="81" t="str">
        <f aca="false">IF(J14="","",SUBSTITUTE(J14," ","+"))</f>
        <v/>
      </c>
      <c r="L14" s="81" t="str">
        <f aca="false">IF(K14="","","https://www.google.com/search?q="&amp;K14&amp;"&amp;num=100&amp;hl=en")</f>
        <v/>
      </c>
      <c r="M14" s="81" t="n">
        <f aca="false">IF(F14="",0,1)</f>
        <v>0</v>
      </c>
      <c r="N14" s="81" t="n">
        <f aca="false">SUM($M$12:M14)</f>
        <v>0</v>
      </c>
    </row>
    <row r="15" customFormat="false" ht="15" hidden="false" customHeight="true" outlineLevel="0" collapsed="false">
      <c r="A15" s="121" t="str">
        <f aca="false">IF(Sheet1!$J$20="","Counterparty 2",Sheet1!$J$20&amp;" (CP2)")</f>
        <v>Counterparty 2</v>
      </c>
      <c r="B15" s="121" t="s">
        <v>1304</v>
      </c>
      <c r="C15" s="121" t="str">
        <f aca="false">IF(L15="","",L15)</f>
        <v/>
      </c>
      <c r="D15" s="121" t="str">
        <f aca="false">IF(F15="","",Sheet1!$J$10&amp;"_"&amp;Sheet1!$J$11&amp;"_CP2_"&amp;N15&amp;"_Negative News 1.pdf")</f>
        <v/>
      </c>
      <c r="E15" s="121"/>
      <c r="F15" s="81" t="str">
        <f aca="false">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5" s="81" t="str">
        <f aca="false">IF(F15="","",SUBSTITUTE(F15,CHAR(34),"%22"))</f>
        <v/>
      </c>
      <c r="H15" s="81" t="str">
        <f aca="false">IF(G15="","",SUBSTITUTE(G15,"&amp;","%26"))</f>
        <v/>
      </c>
      <c r="I15" s="81" t="str">
        <f aca="false">IF(H15="","",SUBSTITUTE(H15,"(","%28"))</f>
        <v/>
      </c>
      <c r="J15" s="81" t="str">
        <f aca="false">IF(I15="","",SUBSTITUTE(I15,")","%29"))</f>
        <v/>
      </c>
      <c r="K15" s="81" t="str">
        <f aca="false">IF(J15="","",SUBSTITUTE(J15," ","+"))</f>
        <v/>
      </c>
      <c r="L15" s="81" t="str">
        <f aca="false">IF(K15="","","https://www.google.com/search?q="&amp;K15&amp;"&amp;num=100&amp;hl=en")</f>
        <v/>
      </c>
      <c r="M15" s="81" t="n">
        <f aca="false">IF(F15="",0,1)</f>
        <v>0</v>
      </c>
      <c r="N15" s="81" t="n">
        <f aca="false">SUM($M$12:M15)</f>
        <v>0</v>
      </c>
    </row>
    <row r="16" customFormat="false" ht="15" hidden="false" customHeight="true" outlineLevel="0" collapsed="false">
      <c r="A16" s="120" t="str">
        <f aca="false">IF(Sheet1!$J$20="","Counterparty 2",Sheet1!$J$20&amp;" (CP2)")</f>
        <v>Counterparty 2</v>
      </c>
      <c r="B16" s="120" t="s">
        <v>1305</v>
      </c>
      <c r="C16" s="120" t="str">
        <f aca="false">IF(L16="","",L16)</f>
        <v/>
      </c>
      <c r="D16" s="120" t="str">
        <f aca="false">IF(F16="","",Sheet1!$J$10&amp;"_"&amp;Sheet1!$J$11&amp;"_CP2_"&amp;N16&amp;"_Negative News 2.pdf")</f>
        <v/>
      </c>
      <c r="E16" s="120"/>
      <c r="F16" s="81" t="str">
        <f aca="false">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6" s="81" t="str">
        <f aca="false">IF(F16="","",SUBSTITUTE(F16,CHAR(34),"%22"))</f>
        <v/>
      </c>
      <c r="H16" s="81" t="str">
        <f aca="false">IF(G16="","",SUBSTITUTE(G16,"&amp;","%26"))</f>
        <v/>
      </c>
      <c r="I16" s="81" t="str">
        <f aca="false">IF(H16="","",SUBSTITUTE(H16,"(","%28"))</f>
        <v/>
      </c>
      <c r="J16" s="81" t="str">
        <f aca="false">IF(I16="","",SUBSTITUTE(I16,")","%29"))</f>
        <v/>
      </c>
      <c r="K16" s="81" t="str">
        <f aca="false">IF(J16="","",SUBSTITUTE(J16," ","+"))</f>
        <v/>
      </c>
      <c r="L16" s="81" t="str">
        <f aca="false">IF(K16="","","https://www.google.com/search?q="&amp;K16&amp;"&amp;num=100&amp;hl=en&amp;start=100")</f>
        <v/>
      </c>
      <c r="M16" s="81" t="n">
        <f aca="false">IF(F16="",0,1)</f>
        <v>0</v>
      </c>
      <c r="N16" s="81" t="n">
        <f aca="false">SUM($M$12:M16)</f>
        <v>0</v>
      </c>
    </row>
    <row r="17" customFormat="false" ht="15" hidden="false" customHeight="true" outlineLevel="0" collapsed="false">
      <c r="A17" s="121" t="str">
        <f aca="false">IF(Sheet1!$J$21="","Counterparty 3",Sheet1!$J$21&amp;" (CP3)")</f>
        <v>Counterparty 3</v>
      </c>
      <c r="B17" s="121" t="s">
        <v>1301</v>
      </c>
      <c r="C17" s="121" t="str">
        <f aca="false">IF(L17="","",L17)</f>
        <v/>
      </c>
      <c r="D17" s="121" t="str">
        <f aca="false">IF(F17="","",Sheet1!$J$10&amp;"_"&amp;Sheet1!$J$11&amp;"_CP3_"&amp;N17&amp;"_Google.pdf")</f>
        <v/>
      </c>
      <c r="E17" s="121"/>
      <c r="F17" s="81" t="str">
        <f aca="false">IF(Sheet1!$J$21="","",Sheet1!$J$21)</f>
        <v/>
      </c>
      <c r="G17" s="81" t="str">
        <f aca="false">IF(F17="","",SUBSTITUTE(F17,CHAR(34),"%22"))</f>
        <v/>
      </c>
      <c r="H17" s="81" t="str">
        <f aca="false">IF(G17="","",SUBSTITUTE(G17,"&amp;","%26"))</f>
        <v/>
      </c>
      <c r="I17" s="81" t="str">
        <f aca="false">IF(H17="","",SUBSTITUTE(H17,"(","%28"))</f>
        <v/>
      </c>
      <c r="J17" s="81" t="str">
        <f aca="false">IF(I17="","",SUBSTITUTE(I17,")","%29"))</f>
        <v/>
      </c>
      <c r="K17" s="81" t="str">
        <f aca="false">IF(J17="","",SUBSTITUTE(J17," ","+"))</f>
        <v/>
      </c>
      <c r="L17" s="81" t="str">
        <f aca="false">IF(K17="","","https://www.google.com/search?q="&amp;K17&amp;"&amp;num=100&amp;hl=en")</f>
        <v/>
      </c>
      <c r="M17" s="81" t="n">
        <f aca="false">IF(F17="",0,1)</f>
        <v>0</v>
      </c>
      <c r="N17" s="81" t="n">
        <f aca="false">SUM($M$17:M17)</f>
        <v>0</v>
      </c>
    </row>
    <row r="18" customFormat="false" ht="15" hidden="false" customHeight="true" outlineLevel="0" collapsed="false">
      <c r="A18" s="120" t="str">
        <f aca="false">IF(Sheet1!$J$21="","Counterparty 3",Sheet1!$J$21&amp;" (CP3)")</f>
        <v>Counterparty 3</v>
      </c>
      <c r="B18" s="120" t="s">
        <v>1302</v>
      </c>
      <c r="C18" s="120" t="str">
        <f aca="false">IF(L18="","",L18)</f>
        <v/>
      </c>
      <c r="D18" s="120" t="str">
        <f aca="false">IF(F18="","",Sheet1!$J$10&amp;"_"&amp;Sheet1!$J$11&amp;"_CP3_"&amp;N18&amp;"_Address.pdf")</f>
        <v/>
      </c>
      <c r="E18" s="120"/>
      <c r="F18" s="81" t="str">
        <f aca="false">IF(Sheet1!$T$21="","",Sheet1!$T$21)</f>
        <v/>
      </c>
      <c r="G18" s="81" t="str">
        <f aca="false">IF(F18="","",SUBSTITUTE(F18,CHAR(34),"%22"))</f>
        <v/>
      </c>
      <c r="H18" s="81" t="str">
        <f aca="false">IF(G18="","",SUBSTITUTE(G18,"&amp;","%26"))</f>
        <v/>
      </c>
      <c r="I18" s="81" t="str">
        <f aca="false">IF(H18="","",SUBSTITUTE(H18,"(","%28"))</f>
        <v/>
      </c>
      <c r="J18" s="81" t="str">
        <f aca="false">IF(I18="","",SUBSTITUTE(I18,")","%29"))</f>
        <v/>
      </c>
      <c r="K18" s="81" t="str">
        <f aca="false">IF(J18="","",SUBSTITUTE(J18," ","+"))</f>
        <v/>
      </c>
      <c r="L18" s="81" t="str">
        <f aca="false">IF(K18="","","https://www.google.com/search?q="&amp;K18&amp;"&amp;num=100&amp;hl=en")</f>
        <v/>
      </c>
      <c r="M18" s="81" t="n">
        <f aca="false">IF(F18="",0,1)</f>
        <v>0</v>
      </c>
      <c r="N18" s="81" t="n">
        <f aca="false">SUM($M$17:M18)</f>
        <v>0</v>
      </c>
    </row>
    <row r="19" customFormat="false" ht="15" hidden="false" customHeight="true" outlineLevel="0" collapsed="false">
      <c r="A19" s="121" t="str">
        <f aca="false">IF(Sheet1!$J$21="","Counterparty 3",Sheet1!$J$21&amp;" (CP3)")</f>
        <v>Counterparty 3</v>
      </c>
      <c r="B19" s="121" t="s">
        <v>1303</v>
      </c>
      <c r="C19" s="121" t="str">
        <f aca="false">IF(L19="","",L19)</f>
        <v/>
      </c>
      <c r="D19" s="121" t="str">
        <f aca="false">IF(F19="","",Sheet1!$J$10&amp;"_"&amp;Sheet1!$J$11&amp;"_CP3_"&amp;N19&amp;"_Google+Address.pdf")</f>
        <v/>
      </c>
      <c r="E19" s="121"/>
      <c r="F19" s="81" t="str">
        <f aca="false">IF(OR(Sheet1!$J$21="",Sheet1!$T$21=""),"",Sheet1!$J$21&amp;" "&amp;Sheet1!$T$21)</f>
        <v/>
      </c>
      <c r="G19" s="81" t="str">
        <f aca="false">IF(F19="","",SUBSTITUTE(F19,CHAR(34),"%22"))</f>
        <v/>
      </c>
      <c r="H19" s="81" t="str">
        <f aca="false">IF(G19="","",SUBSTITUTE(G19,"&amp;","%26"))</f>
        <v/>
      </c>
      <c r="I19" s="81" t="str">
        <f aca="false">IF(H19="","",SUBSTITUTE(H19,"(","%28"))</f>
        <v/>
      </c>
      <c r="J19" s="81" t="str">
        <f aca="false">IF(I19="","",SUBSTITUTE(I19,")","%29"))</f>
        <v/>
      </c>
      <c r="K19" s="81" t="str">
        <f aca="false">IF(J19="","",SUBSTITUTE(J19," ","+"))</f>
        <v/>
      </c>
      <c r="L19" s="81" t="str">
        <f aca="false">IF(K19="","","https://www.google.com/search?q="&amp;K19&amp;"&amp;num=100&amp;hl=en")</f>
        <v/>
      </c>
      <c r="M19" s="81" t="n">
        <f aca="false">IF(F19="",0,1)</f>
        <v>0</v>
      </c>
      <c r="N19" s="81" t="n">
        <f aca="false">SUM($M$17:M19)</f>
        <v>0</v>
      </c>
    </row>
    <row r="20" customFormat="false" ht="15" hidden="false" customHeight="true" outlineLevel="0" collapsed="false">
      <c r="A20" s="120" t="str">
        <f aca="false">IF(Sheet1!$J$21="","Counterparty 3",Sheet1!$J$21&amp;" (CP3)")</f>
        <v>Counterparty 3</v>
      </c>
      <c r="B20" s="120" t="s">
        <v>1304</v>
      </c>
      <c r="C20" s="120" t="str">
        <f aca="false">IF(L20="","",L20)</f>
        <v/>
      </c>
      <c r="D20" s="120" t="str">
        <f aca="false">IF(F20="","",Sheet1!$J$10&amp;"_"&amp;Sheet1!$J$11&amp;"_CP3_"&amp;N20&amp;"_Negative News 1.pdf")</f>
        <v/>
      </c>
      <c r="E20" s="120"/>
      <c r="F20" s="81" t="str">
        <f aca="false">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0" s="81" t="str">
        <f aca="false">IF(F20="","",SUBSTITUTE(F20,CHAR(34),"%22"))</f>
        <v/>
      </c>
      <c r="H20" s="81" t="str">
        <f aca="false">IF(G20="","",SUBSTITUTE(G20,"&amp;","%26"))</f>
        <v/>
      </c>
      <c r="I20" s="81" t="str">
        <f aca="false">IF(H20="","",SUBSTITUTE(H20,"(","%28"))</f>
        <v/>
      </c>
      <c r="J20" s="81" t="str">
        <f aca="false">IF(I20="","",SUBSTITUTE(I20,")","%29"))</f>
        <v/>
      </c>
      <c r="K20" s="81" t="str">
        <f aca="false">IF(J20="","",SUBSTITUTE(J20," ","+"))</f>
        <v/>
      </c>
      <c r="L20" s="81" t="str">
        <f aca="false">IF(K20="","","https://www.google.com/search?q="&amp;K20&amp;"&amp;num=100&amp;hl=en")</f>
        <v/>
      </c>
      <c r="M20" s="81" t="n">
        <f aca="false">IF(F20="",0,1)</f>
        <v>0</v>
      </c>
      <c r="N20" s="81" t="n">
        <f aca="false">SUM($M$17:M20)</f>
        <v>0</v>
      </c>
    </row>
    <row r="21" customFormat="false" ht="15" hidden="false" customHeight="true" outlineLevel="0" collapsed="false">
      <c r="A21" s="121" t="str">
        <f aca="false">IF(Sheet1!$J$21="","Counterparty 3",Sheet1!$J$21&amp;" (CP3)")</f>
        <v>Counterparty 3</v>
      </c>
      <c r="B21" s="121" t="s">
        <v>1305</v>
      </c>
      <c r="C21" s="121" t="str">
        <f aca="false">IF(L21="","",L21)</f>
        <v/>
      </c>
      <c r="D21" s="121" t="str">
        <f aca="false">IF(F21="","",Sheet1!$J$10&amp;"_"&amp;Sheet1!$J$11&amp;"_CP3_"&amp;N21&amp;"_Negative News 2.pdf")</f>
        <v/>
      </c>
      <c r="E21" s="121"/>
      <c r="F21" s="81" t="str">
        <f aca="false">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1" s="81" t="str">
        <f aca="false">IF(F21="","",SUBSTITUTE(F21,CHAR(34),"%22"))</f>
        <v/>
      </c>
      <c r="H21" s="81" t="str">
        <f aca="false">IF(G21="","",SUBSTITUTE(G21,"&amp;","%26"))</f>
        <v/>
      </c>
      <c r="I21" s="81" t="str">
        <f aca="false">IF(H21="","",SUBSTITUTE(H21,"(","%28"))</f>
        <v/>
      </c>
      <c r="J21" s="81" t="str">
        <f aca="false">IF(I21="","",SUBSTITUTE(I21,")","%29"))</f>
        <v/>
      </c>
      <c r="K21" s="81" t="str">
        <f aca="false">IF(J21="","",SUBSTITUTE(J21," ","+"))</f>
        <v/>
      </c>
      <c r="L21" s="81" t="str">
        <f aca="false">IF(K21="","","https://www.google.com/search?q="&amp;K21&amp;"&amp;num=100&amp;hl=en&amp;start=100")</f>
        <v/>
      </c>
      <c r="M21" s="81" t="n">
        <f aca="false">IF(F21="",0,1)</f>
        <v>0</v>
      </c>
      <c r="N21" s="81" t="n">
        <f aca="false">SUM($M$17:M21)</f>
        <v>0</v>
      </c>
    </row>
    <row r="22" customFormat="false" ht="15" hidden="false" customHeight="true" outlineLevel="0" collapsed="false">
      <c r="A22" s="120" t="str">
        <f aca="false">IF(Sheet1!$J$22="","Counterparty 4",Sheet1!$J$22&amp;" (CP4)")</f>
        <v>Counterparty 4</v>
      </c>
      <c r="B22" s="120" t="s">
        <v>1301</v>
      </c>
      <c r="C22" s="120" t="str">
        <f aca="false">IF(L22="","",L22)</f>
        <v/>
      </c>
      <c r="D22" s="120" t="str">
        <f aca="false">IF(F22="","",Sheet1!$J$10&amp;"_"&amp;Sheet1!$J$11&amp;"_CP4_"&amp;N22&amp;"_Google.pdf")</f>
        <v/>
      </c>
      <c r="E22" s="120"/>
      <c r="F22" s="81" t="str">
        <f aca="false">IF(Sheet1!$J$22="","",Sheet1!$J$22)</f>
        <v/>
      </c>
      <c r="G22" s="81" t="str">
        <f aca="false">IF(F22="","",SUBSTITUTE(F22,CHAR(34),"%22"))</f>
        <v/>
      </c>
      <c r="H22" s="81" t="str">
        <f aca="false">IF(G22="","",SUBSTITUTE(G22,"&amp;","%26"))</f>
        <v/>
      </c>
      <c r="I22" s="81" t="str">
        <f aca="false">IF(H22="","",SUBSTITUTE(H22,"(","%28"))</f>
        <v/>
      </c>
      <c r="J22" s="81" t="str">
        <f aca="false">IF(I22="","",SUBSTITUTE(I22,")","%29"))</f>
        <v/>
      </c>
      <c r="K22" s="81" t="str">
        <f aca="false">IF(J22="","",SUBSTITUTE(J22," ","+"))</f>
        <v/>
      </c>
      <c r="L22" s="81" t="str">
        <f aca="false">IF(K22="","","https://www.google.com/search?q="&amp;K22&amp;"&amp;num=100&amp;hl=en")</f>
        <v/>
      </c>
      <c r="M22" s="81" t="n">
        <f aca="false">IF(F22="",0,1)</f>
        <v>0</v>
      </c>
      <c r="N22" s="81" t="n">
        <f aca="false">SUM($M$22:M22)</f>
        <v>0</v>
      </c>
    </row>
    <row r="23" customFormat="false" ht="15" hidden="false" customHeight="true" outlineLevel="0" collapsed="false">
      <c r="A23" s="121" t="str">
        <f aca="false">IF(Sheet1!$J$22="","Counterparty 4",Sheet1!$J$22&amp;" (CP4)")</f>
        <v>Counterparty 4</v>
      </c>
      <c r="B23" s="121" t="s">
        <v>1302</v>
      </c>
      <c r="C23" s="121" t="str">
        <f aca="false">IF(L23="","",L23)</f>
        <v/>
      </c>
      <c r="D23" s="121" t="str">
        <f aca="false">IF(F23="","",Sheet1!$J$10&amp;"_"&amp;Sheet1!$J$11&amp;"_CP4_"&amp;N23&amp;"_Address.pdf")</f>
        <v/>
      </c>
      <c r="E23" s="121"/>
      <c r="F23" s="81" t="str">
        <f aca="false">IF(Sheet1!$T$22="","",Sheet1!$T$22)</f>
        <v/>
      </c>
      <c r="G23" s="81" t="str">
        <f aca="false">IF(F23="","",SUBSTITUTE(F23,CHAR(34),"%22"))</f>
        <v/>
      </c>
      <c r="H23" s="81" t="str">
        <f aca="false">IF(G23="","",SUBSTITUTE(G23,"&amp;","%26"))</f>
        <v/>
      </c>
      <c r="I23" s="81" t="str">
        <f aca="false">IF(H23="","",SUBSTITUTE(H23,"(","%28"))</f>
        <v/>
      </c>
      <c r="J23" s="81" t="str">
        <f aca="false">IF(I23="","",SUBSTITUTE(I23,")","%29"))</f>
        <v/>
      </c>
      <c r="K23" s="81" t="str">
        <f aca="false">IF(J23="","",SUBSTITUTE(J23," ","+"))</f>
        <v/>
      </c>
      <c r="L23" s="81" t="str">
        <f aca="false">IF(K23="","","https://www.google.com/search?q="&amp;K23&amp;"&amp;num=100&amp;hl=en")</f>
        <v/>
      </c>
      <c r="M23" s="81" t="n">
        <f aca="false">IF(F23="",0,1)</f>
        <v>0</v>
      </c>
      <c r="N23" s="81" t="n">
        <f aca="false">SUM($M$22:M23)</f>
        <v>0</v>
      </c>
    </row>
    <row r="24" customFormat="false" ht="15" hidden="false" customHeight="true" outlineLevel="0" collapsed="false">
      <c r="A24" s="120" t="str">
        <f aca="false">IF(Sheet1!$J$22="","Counterparty 4",Sheet1!$J$22&amp;" (CP4)")</f>
        <v>Counterparty 4</v>
      </c>
      <c r="B24" s="120" t="s">
        <v>1303</v>
      </c>
      <c r="C24" s="120" t="str">
        <f aca="false">IF(L24="","",L24)</f>
        <v/>
      </c>
      <c r="D24" s="120" t="str">
        <f aca="false">IF(F24="","",Sheet1!$J$10&amp;"_"&amp;Sheet1!$J$11&amp;"_CP4_"&amp;N24&amp;"_Google+Address.pdf")</f>
        <v/>
      </c>
      <c r="E24" s="120"/>
      <c r="F24" s="81" t="str">
        <f aca="false">IF(OR(Sheet1!$J$22="",Sheet1!$T$22=""),"",Sheet1!$J$22&amp;" "&amp;Sheet1!$T$22)</f>
        <v/>
      </c>
      <c r="G24" s="81" t="str">
        <f aca="false">IF(F24="","",SUBSTITUTE(F24,CHAR(34),"%22"))</f>
        <v/>
      </c>
      <c r="H24" s="81" t="str">
        <f aca="false">IF(G24="","",SUBSTITUTE(G24,"&amp;","%26"))</f>
        <v/>
      </c>
      <c r="I24" s="81" t="str">
        <f aca="false">IF(H24="","",SUBSTITUTE(H24,"(","%28"))</f>
        <v/>
      </c>
      <c r="J24" s="81" t="str">
        <f aca="false">IF(I24="","",SUBSTITUTE(I24,")","%29"))</f>
        <v/>
      </c>
      <c r="K24" s="81" t="str">
        <f aca="false">IF(J24="","",SUBSTITUTE(J24," ","+"))</f>
        <v/>
      </c>
      <c r="L24" s="81" t="str">
        <f aca="false">IF(K24="","","https://www.google.com/search?q="&amp;K24&amp;"&amp;num=100&amp;hl=en")</f>
        <v/>
      </c>
      <c r="M24" s="81" t="n">
        <f aca="false">IF(F24="",0,1)</f>
        <v>0</v>
      </c>
      <c r="N24" s="81" t="n">
        <f aca="false">SUM($M$22:M24)</f>
        <v>0</v>
      </c>
    </row>
    <row r="25" customFormat="false" ht="15" hidden="false" customHeight="true" outlineLevel="0" collapsed="false">
      <c r="A25" s="121" t="str">
        <f aca="false">IF(Sheet1!$J$22="","Counterparty 4",Sheet1!$J$22&amp;" (CP4)")</f>
        <v>Counterparty 4</v>
      </c>
      <c r="B25" s="121" t="s">
        <v>1304</v>
      </c>
      <c r="C25" s="121" t="str">
        <f aca="false">IF(L25="","",L25)</f>
        <v/>
      </c>
      <c r="D25" s="121" t="str">
        <f aca="false">IF(F25="","",Sheet1!$J$10&amp;"_"&amp;Sheet1!$J$11&amp;"_CP4_"&amp;N25&amp;"_Negative News 1.pdf")</f>
        <v/>
      </c>
      <c r="E25" s="121"/>
      <c r="F25" s="81" t="str">
        <f aca="false">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5" s="81" t="str">
        <f aca="false">IF(F25="","",SUBSTITUTE(F25,CHAR(34),"%22"))</f>
        <v/>
      </c>
      <c r="H25" s="81" t="str">
        <f aca="false">IF(G25="","",SUBSTITUTE(G25,"&amp;","%26"))</f>
        <v/>
      </c>
      <c r="I25" s="81" t="str">
        <f aca="false">IF(H25="","",SUBSTITUTE(H25,"(","%28"))</f>
        <v/>
      </c>
      <c r="J25" s="81" t="str">
        <f aca="false">IF(I25="","",SUBSTITUTE(I25,")","%29"))</f>
        <v/>
      </c>
      <c r="K25" s="81" t="str">
        <f aca="false">IF(J25="","",SUBSTITUTE(J25," ","+"))</f>
        <v/>
      </c>
      <c r="L25" s="81" t="str">
        <f aca="false">IF(K25="","","https://www.google.com/search?q="&amp;K25&amp;"&amp;num=100&amp;hl=en")</f>
        <v/>
      </c>
      <c r="M25" s="81" t="n">
        <f aca="false">IF(F25="",0,1)</f>
        <v>0</v>
      </c>
      <c r="N25" s="81" t="n">
        <f aca="false">SUM($M$22:M25)</f>
        <v>0</v>
      </c>
    </row>
    <row r="26" customFormat="false" ht="15" hidden="false" customHeight="true" outlineLevel="0" collapsed="false">
      <c r="A26" s="120" t="str">
        <f aca="false">IF(Sheet1!$J$22="","Counterparty 4",Sheet1!$J$22&amp;" (CP4)")</f>
        <v>Counterparty 4</v>
      </c>
      <c r="B26" s="120" t="s">
        <v>1305</v>
      </c>
      <c r="C26" s="120" t="str">
        <f aca="false">IF(L26="","",L26)</f>
        <v/>
      </c>
      <c r="D26" s="120" t="str">
        <f aca="false">IF(F26="","",Sheet1!$J$10&amp;"_"&amp;Sheet1!$J$11&amp;"_CP4_"&amp;N26&amp;"_Negative News 2.pdf")</f>
        <v/>
      </c>
      <c r="E26" s="120"/>
      <c r="F26" s="81" t="str">
        <f aca="false">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6" s="81" t="str">
        <f aca="false">IF(F26="","",SUBSTITUTE(F26,CHAR(34),"%22"))</f>
        <v/>
      </c>
      <c r="H26" s="81" t="str">
        <f aca="false">IF(G26="","",SUBSTITUTE(G26,"&amp;","%26"))</f>
        <v/>
      </c>
      <c r="I26" s="81" t="str">
        <f aca="false">IF(H26="","",SUBSTITUTE(H26,"(","%28"))</f>
        <v/>
      </c>
      <c r="J26" s="81" t="str">
        <f aca="false">IF(I26="","",SUBSTITUTE(I26,")","%29"))</f>
        <v/>
      </c>
      <c r="K26" s="81" t="str">
        <f aca="false">IF(J26="","",SUBSTITUTE(J26," ","+"))</f>
        <v/>
      </c>
      <c r="L26" s="81" t="str">
        <f aca="false">IF(K26="","","https://www.google.com/search?q="&amp;K26&amp;"&amp;num=100&amp;hl=en&amp;start=100")</f>
        <v/>
      </c>
      <c r="M26" s="81" t="n">
        <f aca="false">IF(F26="",0,1)</f>
        <v>0</v>
      </c>
      <c r="N26" s="81" t="n">
        <f aca="false">SUM($M$22:M26)</f>
        <v>0</v>
      </c>
    </row>
    <row r="27" customFormat="false" ht="15" hidden="false" customHeight="true" outlineLevel="0" collapsed="false">
      <c r="A27" s="121" t="str">
        <f aca="false">IF(Sheet1!$J$23="","Counterparty 5",Sheet1!$J$23&amp;" (CP5)")</f>
        <v>Counterparty 5</v>
      </c>
      <c r="B27" s="121" t="s">
        <v>1301</v>
      </c>
      <c r="C27" s="121" t="str">
        <f aca="false">IF(L27="","",L27)</f>
        <v/>
      </c>
      <c r="D27" s="121" t="str">
        <f aca="false">IF(F27="","",Sheet1!$J$10&amp;"_"&amp;Sheet1!$J$11&amp;"_CP5_"&amp;N27&amp;"_Google.pdf")</f>
        <v/>
      </c>
      <c r="E27" s="121"/>
      <c r="F27" s="81" t="str">
        <f aca="false">IF(Sheet1!$J$23="","",Sheet1!$J$23)</f>
        <v/>
      </c>
      <c r="G27" s="81" t="str">
        <f aca="false">IF(F27="","",SUBSTITUTE(F27,CHAR(34),"%22"))</f>
        <v/>
      </c>
      <c r="H27" s="81" t="str">
        <f aca="false">IF(G27="","",SUBSTITUTE(G27,"&amp;","%26"))</f>
        <v/>
      </c>
      <c r="I27" s="81" t="str">
        <f aca="false">IF(H27="","",SUBSTITUTE(H27,"(","%28"))</f>
        <v/>
      </c>
      <c r="J27" s="81" t="str">
        <f aca="false">IF(I27="","",SUBSTITUTE(I27,")","%29"))</f>
        <v/>
      </c>
      <c r="K27" s="81" t="str">
        <f aca="false">IF(J27="","",SUBSTITUTE(J27," ","+"))</f>
        <v/>
      </c>
      <c r="L27" s="81" t="str">
        <f aca="false">IF(K27="","","https://www.google.com/search?q="&amp;K27&amp;"&amp;num=100&amp;hl=en")</f>
        <v/>
      </c>
      <c r="M27" s="81" t="n">
        <f aca="false">IF(F27="",0,1)</f>
        <v>0</v>
      </c>
      <c r="N27" s="81" t="n">
        <f aca="false">SUM($M$27:M27)</f>
        <v>0</v>
      </c>
    </row>
    <row r="28" customFormat="false" ht="15" hidden="false" customHeight="true" outlineLevel="0" collapsed="false">
      <c r="A28" s="120" t="str">
        <f aca="false">IF(Sheet1!$J$23="","Counterparty 5",Sheet1!$J$23&amp;" (CP5)")</f>
        <v>Counterparty 5</v>
      </c>
      <c r="B28" s="120" t="s">
        <v>1302</v>
      </c>
      <c r="C28" s="120" t="str">
        <f aca="false">IF(L28="","",L28)</f>
        <v/>
      </c>
      <c r="D28" s="120" t="str">
        <f aca="false">IF(F28="","",Sheet1!$J$10&amp;"_"&amp;Sheet1!$J$11&amp;"_CP5_"&amp;N28&amp;"_Address.pdf")</f>
        <v/>
      </c>
      <c r="E28" s="120"/>
      <c r="F28" s="81" t="str">
        <f aca="false">IF(Sheet1!$T$23="","",Sheet1!$T$23)</f>
        <v/>
      </c>
      <c r="G28" s="81" t="str">
        <f aca="false">IF(F28="","",SUBSTITUTE(F28,CHAR(34),"%22"))</f>
        <v/>
      </c>
      <c r="H28" s="81" t="str">
        <f aca="false">IF(G28="","",SUBSTITUTE(G28,"&amp;","%26"))</f>
        <v/>
      </c>
      <c r="I28" s="81" t="str">
        <f aca="false">IF(H28="","",SUBSTITUTE(H28,"(","%28"))</f>
        <v/>
      </c>
      <c r="J28" s="81" t="str">
        <f aca="false">IF(I28="","",SUBSTITUTE(I28,")","%29"))</f>
        <v/>
      </c>
      <c r="K28" s="81" t="str">
        <f aca="false">IF(J28="","",SUBSTITUTE(J28," ","+"))</f>
        <v/>
      </c>
      <c r="L28" s="81" t="str">
        <f aca="false">IF(K28="","","https://www.google.com/search?q="&amp;K28&amp;"&amp;num=100&amp;hl=en")</f>
        <v/>
      </c>
      <c r="M28" s="81" t="n">
        <f aca="false">IF(F28="",0,1)</f>
        <v>0</v>
      </c>
      <c r="N28" s="81" t="n">
        <f aca="false">SUM($M$27:M28)</f>
        <v>0</v>
      </c>
    </row>
    <row r="29" customFormat="false" ht="15" hidden="false" customHeight="true" outlineLevel="0" collapsed="false">
      <c r="A29" s="121" t="str">
        <f aca="false">IF(Sheet1!$J$23="","Counterparty 5",Sheet1!$J$23&amp;" (CP5)")</f>
        <v>Counterparty 5</v>
      </c>
      <c r="B29" s="121" t="s">
        <v>1303</v>
      </c>
      <c r="C29" s="121" t="str">
        <f aca="false">IF(L29="","",L29)</f>
        <v/>
      </c>
      <c r="D29" s="121" t="str">
        <f aca="false">IF(F29="","",Sheet1!$J$10&amp;"_"&amp;Sheet1!$J$11&amp;"_CP5_"&amp;N29&amp;"_Google+Address.pdf")</f>
        <v/>
      </c>
      <c r="E29" s="121"/>
      <c r="F29" s="81" t="str">
        <f aca="false">IF(OR(Sheet1!$J$23="",Sheet1!$T$23=""),"",Sheet1!$J$23&amp;" "&amp;Sheet1!$T$23)</f>
        <v/>
      </c>
      <c r="G29" s="81" t="str">
        <f aca="false">IF(F29="","",SUBSTITUTE(F29,CHAR(34),"%22"))</f>
        <v/>
      </c>
      <c r="H29" s="81" t="str">
        <f aca="false">IF(G29="","",SUBSTITUTE(G29,"&amp;","%26"))</f>
        <v/>
      </c>
      <c r="I29" s="81" t="str">
        <f aca="false">IF(H29="","",SUBSTITUTE(H29,"(","%28"))</f>
        <v/>
      </c>
      <c r="J29" s="81" t="str">
        <f aca="false">IF(I29="","",SUBSTITUTE(I29,")","%29"))</f>
        <v/>
      </c>
      <c r="K29" s="81" t="str">
        <f aca="false">IF(J29="","",SUBSTITUTE(J29," ","+"))</f>
        <v/>
      </c>
      <c r="L29" s="81" t="str">
        <f aca="false">IF(K29="","","https://www.google.com/search?q="&amp;K29&amp;"&amp;num=100&amp;hl=en")</f>
        <v/>
      </c>
      <c r="M29" s="81" t="n">
        <f aca="false">IF(F29="",0,1)</f>
        <v>0</v>
      </c>
      <c r="N29" s="81" t="n">
        <f aca="false">SUM($M$27:M29)</f>
        <v>0</v>
      </c>
    </row>
    <row r="30" customFormat="false" ht="15" hidden="false" customHeight="true" outlineLevel="0" collapsed="false">
      <c r="A30" s="120" t="str">
        <f aca="false">IF(Sheet1!$J$23="","Counterparty 5",Sheet1!$J$23&amp;" (CP5)")</f>
        <v>Counterparty 5</v>
      </c>
      <c r="B30" s="120" t="s">
        <v>1304</v>
      </c>
      <c r="C30" s="120" t="str">
        <f aca="false">IF(L30="","",L30)</f>
        <v/>
      </c>
      <c r="D30" s="120" t="str">
        <f aca="false">IF(F30="","",Sheet1!$J$10&amp;"_"&amp;Sheet1!$J$11&amp;"_CP5_"&amp;N30&amp;"_Negative News 1.pdf")</f>
        <v/>
      </c>
      <c r="E30" s="120"/>
      <c r="F30" s="81" t="str">
        <f aca="false">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0" s="81" t="str">
        <f aca="false">IF(F30="","",SUBSTITUTE(F30,CHAR(34),"%22"))</f>
        <v/>
      </c>
      <c r="H30" s="81" t="str">
        <f aca="false">IF(G30="","",SUBSTITUTE(G30,"&amp;","%26"))</f>
        <v/>
      </c>
      <c r="I30" s="81" t="str">
        <f aca="false">IF(H30="","",SUBSTITUTE(H30,"(","%28"))</f>
        <v/>
      </c>
      <c r="J30" s="81" t="str">
        <f aca="false">IF(I30="","",SUBSTITUTE(I30,")","%29"))</f>
        <v/>
      </c>
      <c r="K30" s="81" t="str">
        <f aca="false">IF(J30="","",SUBSTITUTE(J30," ","+"))</f>
        <v/>
      </c>
      <c r="L30" s="81" t="str">
        <f aca="false">IF(K30="","","https://www.google.com/search?q="&amp;K30&amp;"&amp;num=100&amp;hl=en")</f>
        <v/>
      </c>
      <c r="M30" s="81" t="n">
        <f aca="false">IF(F30="",0,1)</f>
        <v>0</v>
      </c>
      <c r="N30" s="81" t="n">
        <f aca="false">SUM($M$27:M30)</f>
        <v>0</v>
      </c>
    </row>
    <row r="31" customFormat="false" ht="15" hidden="false" customHeight="true" outlineLevel="0" collapsed="false">
      <c r="A31" s="121" t="str">
        <f aca="false">IF(Sheet1!$J$23="","Counterparty 5",Sheet1!$J$23&amp;" (CP5)")</f>
        <v>Counterparty 5</v>
      </c>
      <c r="B31" s="121" t="s">
        <v>1305</v>
      </c>
      <c r="C31" s="121" t="str">
        <f aca="false">IF(L31="","",L31)</f>
        <v/>
      </c>
      <c r="D31" s="121" t="str">
        <f aca="false">IF(F31="","",Sheet1!$J$10&amp;"_"&amp;Sheet1!$J$11&amp;"_CP5_"&amp;N31&amp;"_Negative News 2.pdf")</f>
        <v/>
      </c>
      <c r="E31" s="121"/>
      <c r="F31" s="81" t="str">
        <f aca="false">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1" s="81" t="str">
        <f aca="false">IF(F31="","",SUBSTITUTE(F31,CHAR(34),"%22"))</f>
        <v/>
      </c>
      <c r="H31" s="81" t="str">
        <f aca="false">IF(G31="","",SUBSTITUTE(G31,"&amp;","%26"))</f>
        <v/>
      </c>
      <c r="I31" s="81" t="str">
        <f aca="false">IF(H31="","",SUBSTITUTE(H31,"(","%28"))</f>
        <v/>
      </c>
      <c r="J31" s="81" t="str">
        <f aca="false">IF(I31="","",SUBSTITUTE(I31,")","%29"))</f>
        <v/>
      </c>
      <c r="K31" s="81" t="str">
        <f aca="false">IF(J31="","",SUBSTITUTE(J31," ","+"))</f>
        <v/>
      </c>
      <c r="L31" s="81" t="str">
        <f aca="false">IF(K31="","","https://www.google.com/search?q="&amp;K31&amp;"&amp;num=100&amp;hl=en&amp;start=100")</f>
        <v/>
      </c>
      <c r="M31" s="81" t="n">
        <f aca="false">IF(F31="",0,1)</f>
        <v>0</v>
      </c>
      <c r="N31" s="81" t="n">
        <f aca="false">SUM($M$27:M31)</f>
        <v>0</v>
      </c>
    </row>
    <row r="32" customFormat="false" ht="15" hidden="false" customHeight="true" outlineLevel="0" collapsed="false">
      <c r="A32" s="120" t="str">
        <f aca="false">IF(Sheet1!$J$24="","Counterparty 6",Sheet1!$J$24&amp;" (CP6)")</f>
        <v>Counterparty 6</v>
      </c>
      <c r="B32" s="120" t="s">
        <v>1301</v>
      </c>
      <c r="C32" s="120" t="str">
        <f aca="false">IF(L32="","",L32)</f>
        <v/>
      </c>
      <c r="D32" s="120" t="str">
        <f aca="false">IF(F32="","",Sheet1!$J$10&amp;"_"&amp;Sheet1!$J$11&amp;"_CP6_"&amp;N32&amp;"_Google.pdf")</f>
        <v/>
      </c>
      <c r="E32" s="120"/>
      <c r="F32" s="81" t="str">
        <f aca="false">IF(Sheet1!$J$24="","",Sheet1!$J$24)</f>
        <v/>
      </c>
      <c r="G32" s="81" t="str">
        <f aca="false">IF(F32="","",SUBSTITUTE(F32,CHAR(34),"%22"))</f>
        <v/>
      </c>
      <c r="H32" s="81" t="str">
        <f aca="false">IF(G32="","",SUBSTITUTE(G32,"&amp;","%26"))</f>
        <v/>
      </c>
      <c r="I32" s="81" t="str">
        <f aca="false">IF(H32="","",SUBSTITUTE(H32,"(","%28"))</f>
        <v/>
      </c>
      <c r="J32" s="81" t="str">
        <f aca="false">IF(I32="","",SUBSTITUTE(I32,")","%29"))</f>
        <v/>
      </c>
      <c r="K32" s="81" t="str">
        <f aca="false">IF(J32="","",SUBSTITUTE(J32," ","+"))</f>
        <v/>
      </c>
      <c r="L32" s="81" t="str">
        <f aca="false">IF(K32="","","https://www.google.com/search?q="&amp;K32&amp;"&amp;num=100&amp;hl=en")</f>
        <v/>
      </c>
      <c r="M32" s="81" t="n">
        <f aca="false">IF(F32="",0,1)</f>
        <v>0</v>
      </c>
      <c r="N32" s="81" t="n">
        <f aca="false">SUM($M$32:M32)</f>
        <v>0</v>
      </c>
    </row>
    <row r="33" customFormat="false" ht="15" hidden="false" customHeight="true" outlineLevel="0" collapsed="false">
      <c r="A33" s="121" t="str">
        <f aca="false">IF(Sheet1!$J$24="","Counterparty 6",Sheet1!$J$24&amp;" (CP6)")</f>
        <v>Counterparty 6</v>
      </c>
      <c r="B33" s="121" t="s">
        <v>1302</v>
      </c>
      <c r="C33" s="121" t="str">
        <f aca="false">IF(L33="","",L33)</f>
        <v/>
      </c>
      <c r="D33" s="121" t="str">
        <f aca="false">IF(F33="","",Sheet1!$J$10&amp;"_"&amp;Sheet1!$J$11&amp;"_CP6_"&amp;N33&amp;"_Address.pdf")</f>
        <v/>
      </c>
      <c r="E33" s="121"/>
      <c r="F33" s="81" t="str">
        <f aca="false">IF(Sheet1!$T$24="","",Sheet1!$T$24)</f>
        <v/>
      </c>
      <c r="G33" s="81" t="str">
        <f aca="false">IF(F33="","",SUBSTITUTE(F33,CHAR(34),"%22"))</f>
        <v/>
      </c>
      <c r="H33" s="81" t="str">
        <f aca="false">IF(G33="","",SUBSTITUTE(G33,"&amp;","%26"))</f>
        <v/>
      </c>
      <c r="I33" s="81" t="str">
        <f aca="false">IF(H33="","",SUBSTITUTE(H33,"(","%28"))</f>
        <v/>
      </c>
      <c r="J33" s="81" t="str">
        <f aca="false">IF(I33="","",SUBSTITUTE(I33,")","%29"))</f>
        <v/>
      </c>
      <c r="K33" s="81" t="str">
        <f aca="false">IF(J33="","",SUBSTITUTE(J33," ","+"))</f>
        <v/>
      </c>
      <c r="L33" s="81" t="str">
        <f aca="false">IF(K33="","","https://www.google.com/search?q="&amp;K33&amp;"&amp;num=100&amp;hl=en")</f>
        <v/>
      </c>
      <c r="M33" s="81" t="n">
        <f aca="false">IF(F33="",0,1)</f>
        <v>0</v>
      </c>
      <c r="N33" s="81" t="n">
        <f aca="false">SUM($M$32:M33)</f>
        <v>0</v>
      </c>
    </row>
    <row r="34" customFormat="false" ht="15" hidden="false" customHeight="true" outlineLevel="0" collapsed="false">
      <c r="A34" s="120" t="str">
        <f aca="false">IF(Sheet1!$J$24="","Counterparty 6",Sheet1!$J$24&amp;" (CP6)")</f>
        <v>Counterparty 6</v>
      </c>
      <c r="B34" s="120" t="s">
        <v>1303</v>
      </c>
      <c r="C34" s="120" t="str">
        <f aca="false">IF(L34="","",L34)</f>
        <v/>
      </c>
      <c r="D34" s="120" t="str">
        <f aca="false">IF(F34="","",Sheet1!$J$10&amp;"_"&amp;Sheet1!$J$11&amp;"_CP6_"&amp;N34&amp;"_Google+Address.pdf")</f>
        <v/>
      </c>
      <c r="E34" s="120"/>
      <c r="F34" s="81" t="str">
        <f aca="false">IF(OR(Sheet1!$J$24="",Sheet1!$T$24=""),"",Sheet1!$J$24&amp;" "&amp;Sheet1!$T$24)</f>
        <v/>
      </c>
      <c r="G34" s="81" t="str">
        <f aca="false">IF(F34="","",SUBSTITUTE(F34,CHAR(34),"%22"))</f>
        <v/>
      </c>
      <c r="H34" s="81" t="str">
        <f aca="false">IF(G34="","",SUBSTITUTE(G34,"&amp;","%26"))</f>
        <v/>
      </c>
      <c r="I34" s="81" t="str">
        <f aca="false">IF(H34="","",SUBSTITUTE(H34,"(","%28"))</f>
        <v/>
      </c>
      <c r="J34" s="81" t="str">
        <f aca="false">IF(I34="","",SUBSTITUTE(I34,")","%29"))</f>
        <v/>
      </c>
      <c r="K34" s="81" t="str">
        <f aca="false">IF(J34="","",SUBSTITUTE(J34," ","+"))</f>
        <v/>
      </c>
      <c r="L34" s="81" t="str">
        <f aca="false">IF(K34="","","https://www.google.com/search?q="&amp;K34&amp;"&amp;num=100&amp;hl=en")</f>
        <v/>
      </c>
      <c r="M34" s="81" t="n">
        <f aca="false">IF(F34="",0,1)</f>
        <v>0</v>
      </c>
      <c r="N34" s="81" t="n">
        <f aca="false">SUM($M$32:M34)</f>
        <v>0</v>
      </c>
    </row>
    <row r="35" customFormat="false" ht="15" hidden="false" customHeight="true" outlineLevel="0" collapsed="false">
      <c r="A35" s="121" t="str">
        <f aca="false">IF(Sheet1!$J$24="","Counterparty 6",Sheet1!$J$24&amp;" (CP6)")</f>
        <v>Counterparty 6</v>
      </c>
      <c r="B35" s="121" t="s">
        <v>1304</v>
      </c>
      <c r="C35" s="121" t="str">
        <f aca="false">IF(L35="","",L35)</f>
        <v/>
      </c>
      <c r="D35" s="121" t="str">
        <f aca="false">IF(F35="","",Sheet1!$J$10&amp;"_"&amp;Sheet1!$J$11&amp;"_CP6_"&amp;N35&amp;"_Negative News 1.pdf")</f>
        <v/>
      </c>
      <c r="E35" s="121"/>
      <c r="F35" s="81" t="str">
        <f aca="false">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5" s="81" t="str">
        <f aca="false">IF(F35="","",SUBSTITUTE(F35,CHAR(34),"%22"))</f>
        <v/>
      </c>
      <c r="H35" s="81" t="str">
        <f aca="false">IF(G35="","",SUBSTITUTE(G35,"&amp;","%26"))</f>
        <v/>
      </c>
      <c r="I35" s="81" t="str">
        <f aca="false">IF(H35="","",SUBSTITUTE(H35,"(","%28"))</f>
        <v/>
      </c>
      <c r="J35" s="81" t="str">
        <f aca="false">IF(I35="","",SUBSTITUTE(I35,")","%29"))</f>
        <v/>
      </c>
      <c r="K35" s="81" t="str">
        <f aca="false">IF(J35="","",SUBSTITUTE(J35," ","+"))</f>
        <v/>
      </c>
      <c r="L35" s="81" t="str">
        <f aca="false">IF(K35="","","https://www.google.com/search?q="&amp;K35&amp;"&amp;num=100&amp;hl=en")</f>
        <v/>
      </c>
      <c r="M35" s="81" t="n">
        <f aca="false">IF(F35="",0,1)</f>
        <v>0</v>
      </c>
      <c r="N35" s="81" t="n">
        <f aca="false">SUM($M$32:M35)</f>
        <v>0</v>
      </c>
    </row>
    <row r="36" customFormat="false" ht="15" hidden="false" customHeight="true" outlineLevel="0" collapsed="false">
      <c r="A36" s="120" t="str">
        <f aca="false">IF(Sheet1!$J$24="","Counterparty 6",Sheet1!$J$24&amp;" (CP6)")</f>
        <v>Counterparty 6</v>
      </c>
      <c r="B36" s="120" t="s">
        <v>1305</v>
      </c>
      <c r="C36" s="120" t="str">
        <f aca="false">IF(L36="","",L36)</f>
        <v/>
      </c>
      <c r="D36" s="120" t="str">
        <f aca="false">IF(F36="","",Sheet1!$J$10&amp;"_"&amp;Sheet1!$J$11&amp;"_CP6_"&amp;N36&amp;"_Negative News 2.pdf")</f>
        <v/>
      </c>
      <c r="E36" s="120"/>
      <c r="F36" s="81" t="str">
        <f aca="false">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6" s="81" t="str">
        <f aca="false">IF(F36="","",SUBSTITUTE(F36,CHAR(34),"%22"))</f>
        <v/>
      </c>
      <c r="H36" s="81" t="str">
        <f aca="false">IF(G36="","",SUBSTITUTE(G36,"&amp;","%26"))</f>
        <v/>
      </c>
      <c r="I36" s="81" t="str">
        <f aca="false">IF(H36="","",SUBSTITUTE(H36,"(","%28"))</f>
        <v/>
      </c>
      <c r="J36" s="81" t="str">
        <f aca="false">IF(I36="","",SUBSTITUTE(I36,")","%29"))</f>
        <v/>
      </c>
      <c r="K36" s="81" t="str">
        <f aca="false">IF(J36="","",SUBSTITUTE(J36," ","+"))</f>
        <v/>
      </c>
      <c r="L36" s="81" t="str">
        <f aca="false">IF(K36="","","https://www.google.com/search?q="&amp;K36&amp;"&amp;num=100&amp;hl=en&amp;start=100")</f>
        <v/>
      </c>
      <c r="M36" s="81" t="n">
        <f aca="false">IF(F36="",0,1)</f>
        <v>0</v>
      </c>
      <c r="N36" s="81" t="n">
        <f aca="false">SUM($M$32:M36)</f>
        <v>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creator>Sammed Upadhye</dc:creator>
  <dc:description/>
  <dc:language>en-US</dc:language>
  <cp:lastModifiedBy>Swapnil Saha</cp:lastModifiedBy>
  <dcterms:modified xsi:type="dcterms:W3CDTF">2026-07-27T17:41:17Z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