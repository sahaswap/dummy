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fsb-my.sharepoint.com/personal/ssaha_cfsb_com/Documents/Desktop/135640/"/>
    </mc:Choice>
  </mc:AlternateContent>
  <xr:revisionPtr revIDLastSave="0" documentId="8_{AD978F8A-80CA-4DEE-B157-864EC957FC6F}" xr6:coauthVersionLast="47" xr6:coauthVersionMax="47" xr10:uidLastSave="{00000000-0000-0000-0000-000000000000}"/>
  <bookViews>
    <workbookView xWindow="-110" yWindow="-110" windowWidth="19420" windowHeight="11500" firstSheet="1" activeTab="3" xr2:uid="{275088EC-6D51-4336-95CD-234595B9C46C}"/>
  </bookViews>
  <sheets>
    <sheet name="Raw Transactions" sheetId="1" r:id="rId1"/>
    <sheet name="Alerted Transaction" sheetId="2" r:id="rId2"/>
    <sheet name="Alerted Transaction Pivot" sheetId="4" r:id="rId3"/>
    <sheet name="Non Alerted Transaction" sheetId="3" r:id="rId4"/>
  </sheets>
  <definedNames>
    <definedName name="_xlnm._FilterDatabase" localSheetId="1" hidden="1">'Alerted Transaction'!#REF!</definedName>
    <definedName name="_xlnm._FilterDatabase" localSheetId="3" hidden="1">'Non Alerted Transaction'!#REF!</definedName>
  </definedNames>
  <calcPr calcId="191029"/>
  <pivotCaches>
    <pivotCache cacheId="788" r:id="rId5"/>
    <pivotCache cacheId="79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7" i="3" l="1"/>
  <c r="AF6" i="3"/>
  <c r="AF5" i="3"/>
  <c r="AF4" i="3"/>
  <c r="AF3" i="3"/>
  <c r="AF2" i="3"/>
  <c r="AF3" i="2"/>
  <c r="AF2" i="2"/>
  <c r="AF2" i="1"/>
  <c r="AF3" i="1"/>
  <c r="AF4" i="1"/>
  <c r="AF5" i="1"/>
  <c r="AF6" i="1"/>
  <c r="AF7" i="1"/>
  <c r="AF8" i="1"/>
  <c r="AF9" i="1"/>
</calcChain>
</file>

<file path=xl/sharedStrings.xml><?xml version="1.0" encoding="utf-8"?>
<sst xmlns="http://schemas.openxmlformats.org/spreadsheetml/2006/main" count="393" uniqueCount="80">
  <si>
    <t>Transaction ID</t>
  </si>
  <si>
    <t>Is Alerted Transaction?</t>
  </si>
  <si>
    <t>Velocity Alert ID</t>
  </si>
  <si>
    <t>Alert Information</t>
  </si>
  <si>
    <t>Alert Type</t>
  </si>
  <si>
    <t>Account No</t>
  </si>
  <si>
    <t>Ref No</t>
  </si>
  <si>
    <t>Transaction Code</t>
  </si>
  <si>
    <t>Transaction Code Description</t>
  </si>
  <si>
    <t>Currency</t>
  </si>
  <si>
    <t>Transaction Amount</t>
  </si>
  <si>
    <t>Transaction Date</t>
  </si>
  <si>
    <t>Dr Cr</t>
  </si>
  <si>
    <t>Beneficiary ID</t>
  </si>
  <si>
    <t>Beneficiary Name</t>
  </si>
  <si>
    <t>Beneficiary First Name</t>
  </si>
  <si>
    <t>Beneficiary Last Name</t>
  </si>
  <si>
    <t>Beneficiary Middle Name</t>
  </si>
  <si>
    <t>Beneficiary Address</t>
  </si>
  <si>
    <t>Beneficiary Country</t>
  </si>
  <si>
    <t>Beneficiary Type</t>
  </si>
  <si>
    <t>Beneficiary Corporation Or Individual Flag</t>
  </si>
  <si>
    <t>Originator ID</t>
  </si>
  <si>
    <t>Originator Name</t>
  </si>
  <si>
    <t>Originator First Name</t>
  </si>
  <si>
    <t>Originator Last Name</t>
  </si>
  <si>
    <t>Originator Middle Name</t>
  </si>
  <si>
    <t>Originator Address</t>
  </si>
  <si>
    <t>Originator Country</t>
  </si>
  <si>
    <t>Originator Corporation Or Individual Flag</t>
  </si>
  <si>
    <t>MainId</t>
  </si>
  <si>
    <t>Yes</t>
  </si>
  <si>
    <t>Outgoing Activity To High Risk Jurisdiction</t>
  </si>
  <si>
    <t>TM</t>
  </si>
  <si>
    <t>GAL47141020706</t>
  </si>
  <si>
    <t>GAL1000000001602641986</t>
  </si>
  <si>
    <t>GAL_D_ADF2</t>
  </si>
  <si>
    <t>PWIF Monthly Summit Tip Fee</t>
  </si>
  <si>
    <t>USD</t>
  </si>
  <si>
    <t>DR</t>
  </si>
  <si>
    <t xml:space="preserve">   ZZ</t>
  </si>
  <si>
    <t>ZZ</t>
  </si>
  <si>
    <t>CreditParty</t>
  </si>
  <si>
    <t>LUCAS PASSALI</t>
  </si>
  <si>
    <t>LUCAS</t>
  </si>
  <si>
    <t>PASSALI</t>
  </si>
  <si>
    <t>AVENIDA GUILHERME DUMONT VILARES. 1109.  05640003 US</t>
  </si>
  <si>
    <t>US</t>
  </si>
  <si>
    <t>No</t>
  </si>
  <si>
    <t>GAL1000000001599308068</t>
  </si>
  <si>
    <t>GAL_C_PMWI</t>
  </si>
  <si>
    <t>Incoming Wire - Automated</t>
  </si>
  <si>
    <t>CR</t>
  </si>
  <si>
    <t>GAL1000000001606743928</t>
  </si>
  <si>
    <t>GAL_D_ADEG</t>
  </si>
  <si>
    <t>Transfer 1</t>
  </si>
  <si>
    <t>LUCAS RAMOS PASSALI</t>
  </si>
  <si>
    <t>RAMOS PASSALI</t>
  </si>
  <si>
    <t>GAL1000000001634005392</t>
  </si>
  <si>
    <t>GAL1000000001635713678</t>
  </si>
  <si>
    <t>GAL1000000001635840152</t>
  </si>
  <si>
    <t>GAL1000000001647441590</t>
  </si>
  <si>
    <t>GAL1000000001647979748</t>
  </si>
  <si>
    <t>GAL_C_ADEI</t>
  </si>
  <si>
    <t>Transfer 3</t>
  </si>
  <si>
    <t>Counterparty</t>
  </si>
  <si>
    <t>Row Labels</t>
  </si>
  <si>
    <t>Grand Total</t>
  </si>
  <si>
    <t>Sum of Transaction Amount</t>
  </si>
  <si>
    <t>Count of Transaction Amount</t>
  </si>
  <si>
    <t xml:space="preserve">Sum of Transaction Amount </t>
  </si>
  <si>
    <t xml:space="preserve">Count of Transaction Amount </t>
  </si>
  <si>
    <t>2026</t>
  </si>
  <si>
    <t>Jun</t>
  </si>
  <si>
    <t>1-Jun</t>
  </si>
  <si>
    <t>4-Jun</t>
  </si>
  <si>
    <t xml:space="preserve">No of Trx  </t>
  </si>
  <si>
    <t xml:space="preserve">Sum of Transaction Amount  </t>
  </si>
  <si>
    <t xml:space="preserve">No of Trx   </t>
  </si>
  <si>
    <t xml:space="preserve">Sum of Transaction Amount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</si>
</sst>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6" formatCode="&quot;$&quot;#,#00.00"/>
    <numFmt numFmtId="167" formatCode="mm/dd/yyyy"/>
  </numFmts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14" fontId="3" fillId="3" borderId="1" xfId="0" applyNumberFormat="1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3"/>
    </xf>
    <xf numFmtId="167" fontId="0" fillId="0" borderId="0" xfId="0" applyNumberFormat="1" applyAlignment="1">
      <alignment horizontal="left" indent="2"/>
    </xf>
    <xf numFmtId="167" fontId="0" fillId="0" borderId="0" xfId="0" applyNumberFormat="1" applyAlignment="1">
      <alignment horizontal="left" indent="3"/>
    </xf>
    <xf numFmtId="166" fontId="1" fillId="4" borderId="0" xfId="0" applyNumberFormat="1" applyFont="1" applyFill="1"/>
  </cellXfs>
  <cellStyles count="1">
    <cellStyle name="Normal" xfId="0" builtinId="0"/>
  </cellStyles>
  <dxfs count="10">
    <dxf>
      <font>
        <color rgb="FF9C0006"/>
      </font>
    </dxf>
    <dxf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64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il Saha" refreshedDate="46260.48428773148" createdVersion="8" refreshedVersion="8" minRefreshableVersion="3" recordCount="2" xr:uid="{3F610DA3-8CF3-4FAB-A2B4-5DC2F7ECBA2C}">
  <cacheSource type="worksheet">
    <worksheetSource ref="A1:AF3" sheet="Alerted Transaction"/>
  </cacheSource>
  <cacheFields count="32">
    <cacheField name="Transaction ID" numFmtId="0">
      <sharedItems containsSemiMixedTypes="0" containsString="0" containsNumber="1" containsInteger="1" minValue="2331458511" maxValue="2337673225"/>
    </cacheField>
    <cacheField name="Is Alerted Transaction?" numFmtId="0">
      <sharedItems/>
    </cacheField>
    <cacheField name="Velocity Alert ID" numFmtId="0">
      <sharedItems containsSemiMixedTypes="0" containsString="0" containsNumber="1" containsInteger="1" minValue="2368193" maxValue="2368193"/>
    </cacheField>
    <cacheField name="Alert Information" numFmtId="0">
      <sharedItems count="1">
        <s v="Outgoing Activity To High Risk Jurisdiction"/>
      </sharedItems>
    </cacheField>
    <cacheField name="Alert Type" numFmtId="0">
      <sharedItems/>
    </cacheField>
    <cacheField name="Account No" numFmtId="0">
      <sharedItems/>
    </cacheField>
    <cacheField name="Ref No" numFmtId="0">
      <sharedItems/>
    </cacheField>
    <cacheField name="Transaction Code" numFmtId="0">
      <sharedItems/>
    </cacheField>
    <cacheField name="Transaction Code Description" numFmtId="0">
      <sharedItems/>
    </cacheField>
    <cacheField name="Currency" numFmtId="0">
      <sharedItems/>
    </cacheField>
    <cacheField name="Transaction Amount" numFmtId="164">
      <sharedItems containsSemiMixedTypes="0" containsString="0" containsNumber="1" minValue="5000" maxValue="8250.64"/>
    </cacheField>
    <cacheField name="Transaction Date" numFmtId="14">
      <sharedItems containsSemiMixedTypes="0" containsNonDate="0" containsDate="1" containsString="0" minDate="2026-06-01T00:00:00" maxDate="2026-06-05T00:00:00"/>
    </cacheField>
    <cacheField name="Dr Cr" numFmtId="0">
      <sharedItems count="1">
        <s v="DR"/>
      </sharedItems>
    </cacheField>
    <cacheField name="Beneficiary ID" numFmtId="0">
      <sharedItems containsNonDate="0" containsString="0" containsBlank="1"/>
    </cacheField>
    <cacheField name="Beneficiary Name" numFmtId="0">
      <sharedItems containsNonDate="0" containsString="0" containsBlank="1"/>
    </cacheField>
    <cacheField name="Beneficiary First Name" numFmtId="0">
      <sharedItems containsNonDate="0" containsString="0" containsBlank="1"/>
    </cacheField>
    <cacheField name="Beneficiary Last Name" numFmtId="0">
      <sharedItems containsNonDate="0" containsString="0" containsBlank="1"/>
    </cacheField>
    <cacheField name="Beneficiary Middle Name" numFmtId="0">
      <sharedItems containsNonDate="0" containsString="0" containsBlank="1"/>
    </cacheField>
    <cacheField name="Beneficiary Address" numFmtId="0">
      <sharedItems/>
    </cacheField>
    <cacheField name="Beneficiary Country" numFmtId="0">
      <sharedItems/>
    </cacheField>
    <cacheField name="Beneficiary Type" numFmtId="0">
      <sharedItems/>
    </cacheField>
    <cacheField name="Beneficiary Corporation Or Individual Flag" numFmtId="0">
      <sharedItems containsNonDate="0" containsString="0" containsBlank="1"/>
    </cacheField>
    <cacheField name="Originator ID" numFmtId="0">
      <sharedItems/>
    </cacheField>
    <cacheField name="Originator Name" numFmtId="0">
      <sharedItems/>
    </cacheField>
    <cacheField name="Originator First Name" numFmtId="0">
      <sharedItems/>
    </cacheField>
    <cacheField name="Originator Last Name" numFmtId="0">
      <sharedItems/>
    </cacheField>
    <cacheField name="Originator Middle Name" numFmtId="0">
      <sharedItems containsNonDate="0" containsString="0" containsBlank="1"/>
    </cacheField>
    <cacheField name="Originator Address" numFmtId="0">
      <sharedItems/>
    </cacheField>
    <cacheField name="Originator Country" numFmtId="0">
      <sharedItems/>
    </cacheField>
    <cacheField name="Originator Corporation Or Individual Flag" numFmtId="0">
      <sharedItems containsNonDate="0" containsString="0" containsBlank="1"/>
    </cacheField>
    <cacheField name="MainId" numFmtId="0">
      <sharedItems containsNonDate="0" containsString="0" containsBlank="1"/>
    </cacheField>
    <cacheField name="Counterparty" numFmtId="0">
      <sharedItems containsSemiMixedTypes="0" containsString="0" containsNumber="1" containsInteger="1" minValue="0" maxValue="0" count="1"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il Saha" refreshedDate="46260.484298495372" createdVersion="8" refreshedVersion="8" minRefreshableVersion="3" recordCount="2" xr:uid="{1755CA82-E2DB-4B50-B823-4BFEFB746183}">
  <cacheSource type="worksheet">
    <worksheetSource ref="A1:AF3" sheet="Sheet5" r:id="rId2"/>
  </cacheSource>
  <cacheFields count="35">
    <cacheField name="Transaction ID" numFmtId="0">
      <sharedItems containsSemiMixedTypes="0" containsString="0" containsNumber="1" containsInteger="1" minValue="2331458511" maxValue="2337673225"/>
    </cacheField>
    <cacheField name="Is Alerted Transaction?" numFmtId="0">
      <sharedItems/>
    </cacheField>
    <cacheField name="Velocity Alert ID" numFmtId="0">
      <sharedItems containsSemiMixedTypes="0" containsString="0" containsNumber="1" containsInteger="1" minValue="2368193" maxValue="2368193"/>
    </cacheField>
    <cacheField name="Alert Information" numFmtId="0">
      <sharedItems/>
    </cacheField>
    <cacheField name="Alert Type" numFmtId="0">
      <sharedItems/>
    </cacheField>
    <cacheField name="Account No" numFmtId="0">
      <sharedItems/>
    </cacheField>
    <cacheField name="Ref No" numFmtId="0">
      <sharedItems/>
    </cacheField>
    <cacheField name="Transaction Code" numFmtId="0">
      <sharedItems/>
    </cacheField>
    <cacheField name="Transaction Code Description" numFmtId="0">
      <sharedItems/>
    </cacheField>
    <cacheField name="Currency" numFmtId="0">
      <sharedItems/>
    </cacheField>
    <cacheField name="Transaction Amount" numFmtId="164">
      <sharedItems containsSemiMixedTypes="0" containsString="0" containsNumber="1" minValue="5000" maxValue="8250.64"/>
    </cacheField>
    <cacheField name="Transaction Date" numFmtId="14">
      <sharedItems containsSemiMixedTypes="0" containsNonDate="0" containsDate="1" containsString="0" minDate="2026-06-01T00:00:00" maxDate="2026-06-05T00:00:00" count="2">
        <d v="2026-06-01T00:00:00"/>
        <d v="2026-06-04T00:00:00"/>
      </sharedItems>
      <fieldGroup par="34"/>
    </cacheField>
    <cacheField name="Dr Cr" numFmtId="0">
      <sharedItems count="1">
        <s v="DR"/>
      </sharedItems>
    </cacheField>
    <cacheField name="Beneficiary ID" numFmtId="0">
      <sharedItems containsNonDate="0" containsString="0" containsBlank="1"/>
    </cacheField>
    <cacheField name="Beneficiary Name" numFmtId="0">
      <sharedItems containsNonDate="0" containsString="0" containsBlank="1"/>
    </cacheField>
    <cacheField name="Beneficiary First Name" numFmtId="0">
      <sharedItems containsNonDate="0" containsString="0" containsBlank="1"/>
    </cacheField>
    <cacheField name="Beneficiary Last Name" numFmtId="0">
      <sharedItems containsNonDate="0" containsString="0" containsBlank="1"/>
    </cacheField>
    <cacheField name="Beneficiary Middle Name" numFmtId="0">
      <sharedItems containsNonDate="0" containsString="0" containsBlank="1"/>
    </cacheField>
    <cacheField name="Beneficiary Address" numFmtId="0">
      <sharedItems/>
    </cacheField>
    <cacheField name="Beneficiary Country" numFmtId="0">
      <sharedItems/>
    </cacheField>
    <cacheField name="Beneficiary Type" numFmtId="0">
      <sharedItems/>
    </cacheField>
    <cacheField name="Beneficiary Corporation Or Individual Flag" numFmtId="0">
      <sharedItems containsNonDate="0" containsString="0" containsBlank="1"/>
    </cacheField>
    <cacheField name="Originator ID" numFmtId="0">
      <sharedItems/>
    </cacheField>
    <cacheField name="Originator Name" numFmtId="0">
      <sharedItems/>
    </cacheField>
    <cacheField name="Originator First Name" numFmtId="0">
      <sharedItems/>
    </cacheField>
    <cacheField name="Originator Last Name" numFmtId="0">
      <sharedItems/>
    </cacheField>
    <cacheField name="Originator Middle Name" numFmtId="0">
      <sharedItems containsNonDate="0" containsString="0" containsBlank="1"/>
    </cacheField>
    <cacheField name="Originator Address" numFmtId="0">
      <sharedItems/>
    </cacheField>
    <cacheField name="Originator Country" numFmtId="0">
      <sharedItems/>
    </cacheField>
    <cacheField name="Originator Corporation Or Individual Flag" numFmtId="0">
      <sharedItems containsNonDate="0" containsString="0" containsBlank="1"/>
    </cacheField>
    <cacheField name="MainId" numFmtId="0">
      <sharedItems containsNonDate="0" containsString="0" containsBlank="1"/>
    </cacheField>
    <cacheField name="Counterparty" numFmtId="0">
      <sharedItems containsSemiMixedTypes="0" containsString="0" containsNumber="1" containsInteger="1" minValue="0" maxValue="0"/>
    </cacheField>
    <cacheField name="Days (Transaction Date)" numFmtId="0" databaseField="0">
      <fieldGroup base="11">
        <rangePr groupBy="days" startDate="2026-06-01T00:00:00" endDate="2026-06-05T00:00:00"/>
        <groupItems count="368">
          <s v="&lt;6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5/2026"/>
        </groupItems>
      </fieldGroup>
    </cacheField>
    <cacheField name="Months (Transaction Date)" numFmtId="0" databaseField="0">
      <fieldGroup base="11">
        <rangePr groupBy="months" startDate="2026-06-01T00:00:00" endDate="2026-06-05T00:00:00"/>
        <groupItems count="14">
          <s v="&lt;6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5/2026"/>
        </groupItems>
      </fieldGroup>
    </cacheField>
    <cacheField name="Years (Transaction Date)" numFmtId="0" databaseField="0">
      <fieldGroup base="11">
        <rangePr groupBy="years" startDate="2026-06-01T00:00:00" endDate="2026-06-05T00:00:00"/>
        <groupItems count="3">
          <s v="&lt;6/1/2026"/>
          <s v="2026"/>
          <s v="&gt;6/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331458511"/>
    <s v="Yes"/>
    <n v="2368193"/>
    <x v="0"/>
    <s v="TM"/>
    <s v="GAL47141020706"/>
    <s v="GAL1000000001602641986"/>
    <s v="GAL_D_ADF2"/>
    <s v="PWIF Monthly Summit Tip Fee"/>
    <s v="USD"/>
    <n v="8250.64"/>
    <d v="2026-06-01T00:00:00"/>
    <x v="0"/>
    <m/>
    <m/>
    <m/>
    <m/>
    <m/>
    <s v="   ZZ"/>
    <s v="ZZ"/>
    <s v="CreditParty"/>
    <m/>
    <s v="GAL47141020706"/>
    <s v="LUCAS PASSALI"/>
    <s v="LUCAS"/>
    <s v="PASSALI"/>
    <m/>
    <s v="AVENIDA GUILHERME DUMONT VILARES. 1109.  05640003 US"/>
    <s v="US"/>
    <m/>
    <m/>
    <x v="0"/>
  </r>
  <r>
    <n v="2337673225"/>
    <s v="Yes"/>
    <n v="2368193"/>
    <x v="0"/>
    <s v="TM"/>
    <s v="GAL47141020706"/>
    <s v="GAL1000000001606743928"/>
    <s v="GAL_D_ADEG"/>
    <s v="Transfer 1"/>
    <s v="USD"/>
    <n v="5000"/>
    <d v="2026-06-04T00:00:00"/>
    <x v="0"/>
    <m/>
    <m/>
    <m/>
    <m/>
    <m/>
    <s v="   ZZ"/>
    <s v="ZZ"/>
    <s v="CreditParty"/>
    <m/>
    <s v="GAL47141020706"/>
    <s v="LUCAS RAMOS PASSALI"/>
    <s v="LUCAS"/>
    <s v="RAMOS PASSALI"/>
    <m/>
    <s v="AVENIDA GUILHERME DUMONT VILARES. 1109.  05640003 US"/>
    <s v="US"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331458511"/>
    <s v="Yes"/>
    <n v="2368193"/>
    <s v="Outgoing Activity To High Risk Jurisdiction"/>
    <s v="TM"/>
    <s v="GAL47141020706"/>
    <s v="GAL1000000001602641986"/>
    <s v="GAL_D_ADF2"/>
    <s v="PWIF Monthly Summit Tip Fee"/>
    <s v="USD"/>
    <n v="8250.64"/>
    <x v="0"/>
    <x v="0"/>
    <m/>
    <m/>
    <m/>
    <m/>
    <m/>
    <s v="   ZZ"/>
    <s v="ZZ"/>
    <s v="CreditParty"/>
    <m/>
    <s v="GAL47141020706"/>
    <s v="LUCAS PASSALI"/>
    <s v="LUCAS"/>
    <s v="PASSALI"/>
    <m/>
    <s v="AVENIDA GUILHERME DUMONT VILARES. 1109.  05640003 US"/>
    <s v="US"/>
    <m/>
    <m/>
    <n v="0"/>
  </r>
  <r>
    <n v="2337673225"/>
    <s v="Yes"/>
    <n v="2368193"/>
    <s v="Outgoing Activity To High Risk Jurisdiction"/>
    <s v="TM"/>
    <s v="GAL47141020706"/>
    <s v="GAL1000000001606743928"/>
    <s v="GAL_D_ADEG"/>
    <s v="Transfer 1"/>
    <s v="USD"/>
    <n v="5000"/>
    <x v="1"/>
    <x v="0"/>
    <m/>
    <m/>
    <m/>
    <m/>
    <m/>
    <s v="   ZZ"/>
    <s v="ZZ"/>
    <s v="CreditParty"/>
    <m/>
    <s v="GAL47141020706"/>
    <s v="LUCAS RAMOS PASSALI"/>
    <s v="LUCAS"/>
    <s v="RAMOS PASSALI"/>
    <m/>
    <s v="AVENIDA GUILHERME DUMONT VILARES. 1109.  05640003 US"/>
    <s v="US"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2E036-6F6A-4B15-9308-17B62F04CCB4}" name="DrCrTemporalPivot" cacheId="7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9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3"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4">
    <field x="12"/>
    <field x="34"/>
    <field x="33"/>
    <field x="32"/>
  </rowFields>
  <rowItems count="6">
    <i>
      <x/>
    </i>
    <i r="1">
      <x v="1"/>
    </i>
    <i r="2">
      <x v="6"/>
    </i>
    <i r="3">
      <x v="153"/>
    </i>
    <i r="3">
      <x v="156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Trx   " fld="10" subtotal="count" baseField="0" baseItem="0" numFmtId="1"/>
    <dataField name="Sum of Transaction Amount   " fld="10" baseField="0" baseItem="0" numFmtId="166"/>
  </dataFields>
  <formats count="3">
    <format dxfId="9">
      <pivotArea dataOnly="0" labelOnly="1" fieldPosition="0">
        <references count="4">
          <reference field="12" count="0" selected="0"/>
          <reference field="32" count="2">
            <x v="153"/>
            <x v="156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D17DD-58F1-42A6-98D0-6A0108B1001C}" name="TemporalPivot_Enhanced" cacheId="7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10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3"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4">
    <field x="34"/>
    <field x="33"/>
    <field x="32"/>
    <field x="12"/>
  </rowFields>
  <rowItems count="7">
    <i>
      <x v="1"/>
    </i>
    <i r="1">
      <x v="6"/>
    </i>
    <i r="2">
      <x v="153"/>
    </i>
    <i r="3">
      <x/>
    </i>
    <i r="2">
      <x v="156"/>
    </i>
    <i r="3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Trx  " fld="10" subtotal="count" baseField="0" baseItem="0" numFmtId="1"/>
    <dataField name="Sum of Transaction Amount  " fld="10" baseField="0" baseItem="0" numFmtId="166"/>
  </dataFields>
  <formats count="6">
    <format dxfId="8">
      <pivotArea dataOnly="0" labelOnly="1" fieldPosition="0">
        <references count="3">
          <reference field="32" count="1">
            <x v="153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7">
      <pivotArea dataOnly="0" labelOnly="1" fieldPosition="0">
        <references count="3">
          <reference field="32" count="1">
            <x v="156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2" count="1" selected="0">
            <x v="153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2" count="1" selected="0">
            <x v="156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2" count="1" selected="0">
            <x v="153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  <format dxfId="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2" count="1" selected="0">
            <x v="156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E0518-58DB-4E06-AF30-44D997BAFD9E}" name="TemporalPivot" cacheId="7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8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34"/>
    <field x="33"/>
    <field x="32"/>
  </rowFields>
  <rowItems count="5">
    <i>
      <x v="1"/>
    </i>
    <i r="1">
      <x v="6"/>
    </i>
    <i r="2">
      <x v="153"/>
    </i>
    <i r="2">
      <x v="1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 Amount " fld="10" baseField="0" baseItem="0" numFmtId="166"/>
    <dataField name="Count of Transaction Amount " fld="10" subtotal="count" baseField="0" baseItem="0" numFmtId="1"/>
  </dataFields>
  <formats count="1">
    <format dxfId="6">
      <pivotArea dataOnly="0" labelOnly="1" fieldPosition="0">
        <references count="3">
          <reference field="32" count="2">
            <x v="153"/>
            <x v="156"/>
          </reference>
          <reference field="33" count="1" selected="0">
            <x v="6"/>
          </reference>
          <reference field="3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C95CB-C371-40B2-AFCC-8C37029C702F}" name="ScenarioPivot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32">
    <pivotField showAll="0"/>
    <pivotField showAll="0"/>
    <pivotField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14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3"/>
    <field x="12"/>
    <field x="31"/>
  </rowFields>
  <rowItems count="4">
    <i>
      <x/>
    </i>
    <i r="1">
      <x/>
    </i>
    <i r="2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 Amount" fld="10" baseField="0" baseItem="0" numFmtId="166"/>
    <dataField name="Count of Transaction Amount" fld="10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078C-C557-43BA-B1F2-3ACB7F5950C7}">
  <sheetPr codeName="Sheet1"/>
  <dimension ref="A1:AF9"/>
  <sheetViews>
    <sheetView zoomScale="85" zoomScaleNormal="85" workbookViewId="0">
      <selection activeCell="AF2" sqref="AF2:AF9"/>
    </sheetView>
  </sheetViews>
  <sheetFormatPr defaultRowHeight="14.5" x14ac:dyDescent="0.35"/>
  <cols>
    <col min="1" max="1" width="13" style="3" bestFit="1" customWidth="1"/>
    <col min="2" max="2" width="20.1796875" style="3" bestFit="1" customWidth="1"/>
    <col min="3" max="3" width="14.36328125" style="3" bestFit="1" customWidth="1"/>
    <col min="4" max="4" width="35.6328125" style="3" bestFit="1" customWidth="1"/>
    <col min="5" max="5" width="9.36328125" style="3" bestFit="1" customWidth="1"/>
    <col min="6" max="6" width="15.1796875" style="3" bestFit="1" customWidth="1"/>
    <col min="7" max="7" width="23.36328125" style="3" bestFit="1" customWidth="1"/>
    <col min="8" max="8" width="15.453125" style="3" bestFit="1" customWidth="1"/>
    <col min="9" max="9" width="26.08984375" style="3" bestFit="1" customWidth="1"/>
    <col min="10" max="10" width="8.26953125" style="3" bestFit="1" customWidth="1"/>
    <col min="11" max="11" width="18.08984375" style="3" bestFit="1" customWidth="1"/>
    <col min="12" max="12" width="15.1796875" style="3" bestFit="1" customWidth="1"/>
    <col min="13" max="13" width="5.08984375" style="3" bestFit="1" customWidth="1"/>
    <col min="14" max="14" width="15.1796875" style="3" bestFit="1" customWidth="1"/>
    <col min="15" max="15" width="20" style="3" bestFit="1" customWidth="1"/>
    <col min="16" max="16" width="19.6328125" style="3" bestFit="1" customWidth="1"/>
    <col min="17" max="17" width="19.36328125" style="3" bestFit="1" customWidth="1"/>
    <col min="18" max="18" width="21.90625" style="3" bestFit="1" customWidth="1"/>
    <col min="19" max="19" width="52.26953125" style="3" bestFit="1" customWidth="1"/>
    <col min="20" max="20" width="17.36328125" style="3" bestFit="1" customWidth="1"/>
    <col min="21" max="21" width="14.54296875" style="3" bestFit="1" customWidth="1"/>
    <col min="22" max="22" width="36.08984375" style="3" bestFit="1" customWidth="1"/>
    <col min="23" max="23" width="15.1796875" style="3" bestFit="1" customWidth="1"/>
    <col min="24" max="24" width="20" style="3" bestFit="1" customWidth="1"/>
    <col min="25" max="25" width="19" style="3" bestFit="1" customWidth="1"/>
    <col min="26" max="26" width="18.7265625" style="3" bestFit="1" customWidth="1"/>
    <col min="27" max="27" width="21.26953125" style="3" bestFit="1" customWidth="1"/>
    <col min="28" max="28" width="52.26953125" style="3" bestFit="1" customWidth="1"/>
    <col min="29" max="29" width="16.6328125" style="3" bestFit="1" customWidth="1"/>
    <col min="30" max="30" width="35.453125" style="3" bestFit="1" customWidth="1"/>
    <col min="31" max="31" width="6.7265625" style="3" bestFit="1" customWidth="1"/>
    <col min="32" max="32" width="12.08984375" style="3" bestFit="1" customWidth="1"/>
    <col min="33" max="16384" width="8.7265625" style="3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65</v>
      </c>
    </row>
    <row r="2" spans="1:32" x14ac:dyDescent="0.35">
      <c r="A2" s="4">
        <v>2331458511</v>
      </c>
      <c r="B2" s="4" t="s">
        <v>31</v>
      </c>
      <c r="C2" s="4">
        <v>2368193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5">
        <v>8250.64</v>
      </c>
      <c r="L2" s="6">
        <v>46174</v>
      </c>
      <c r="M2" s="4" t="s">
        <v>39</v>
      </c>
      <c r="N2" s="4"/>
      <c r="O2" s="4"/>
      <c r="P2" s="4"/>
      <c r="Q2" s="4"/>
      <c r="R2" s="4"/>
      <c r="S2" s="4" t="s">
        <v>40</v>
      </c>
      <c r="T2" s="4" t="s">
        <v>41</v>
      </c>
      <c r="U2" s="4" t="s">
        <v>42</v>
      </c>
      <c r="V2" s="4"/>
      <c r="W2" s="4" t="s">
        <v>34</v>
      </c>
      <c r="X2" s="4" t="s">
        <v>43</v>
      </c>
      <c r="Y2" s="4" t="s">
        <v>44</v>
      </c>
      <c r="Z2" s="4" t="s">
        <v>45</v>
      </c>
      <c r="AA2" s="4"/>
      <c r="AB2" s="4" t="s">
        <v>46</v>
      </c>
      <c r="AC2" s="4" t="s">
        <v>47</v>
      </c>
      <c r="AD2" s="4"/>
      <c r="AE2" s="7"/>
      <c r="AF2" s="7">
        <f t="shared" ref="AF2:AF9" si="0">IF($M2="DR", $O2, $X2)</f>
        <v>0</v>
      </c>
    </row>
    <row r="3" spans="1:32" x14ac:dyDescent="0.35">
      <c r="A3" s="8">
        <v>2334091426</v>
      </c>
      <c r="B3" s="8" t="s">
        <v>48</v>
      </c>
      <c r="C3" s="8"/>
      <c r="D3" s="8"/>
      <c r="E3" s="8"/>
      <c r="F3" s="8" t="s">
        <v>34</v>
      </c>
      <c r="G3" s="8" t="s">
        <v>49</v>
      </c>
      <c r="H3" s="8" t="s">
        <v>50</v>
      </c>
      <c r="I3" s="8" t="s">
        <v>51</v>
      </c>
      <c r="J3" s="8" t="s">
        <v>38</v>
      </c>
      <c r="K3" s="9">
        <v>13247</v>
      </c>
      <c r="L3" s="10">
        <v>46174</v>
      </c>
      <c r="M3" s="8" t="s">
        <v>52</v>
      </c>
      <c r="N3" s="8" t="s">
        <v>34</v>
      </c>
      <c r="O3" s="8" t="s">
        <v>43</v>
      </c>
      <c r="P3" s="8" t="s">
        <v>44</v>
      </c>
      <c r="Q3" s="8" t="s">
        <v>45</v>
      </c>
      <c r="R3" s="8"/>
      <c r="S3" s="8" t="s">
        <v>46</v>
      </c>
      <c r="T3" s="8" t="s">
        <v>47</v>
      </c>
      <c r="U3" s="8" t="s">
        <v>42</v>
      </c>
      <c r="V3" s="8"/>
      <c r="W3" s="8"/>
      <c r="X3" s="8"/>
      <c r="Y3" s="8"/>
      <c r="Z3" s="8"/>
      <c r="AA3" s="8"/>
      <c r="AB3" s="8" t="s">
        <v>40</v>
      </c>
      <c r="AC3" s="8" t="s">
        <v>41</v>
      </c>
      <c r="AD3" s="8"/>
      <c r="AE3" s="11"/>
      <c r="AF3" s="11">
        <f t="shared" si="0"/>
        <v>0</v>
      </c>
    </row>
    <row r="4" spans="1:32" x14ac:dyDescent="0.35">
      <c r="A4" s="4">
        <v>2337673225</v>
      </c>
      <c r="B4" s="4" t="s">
        <v>31</v>
      </c>
      <c r="C4" s="4">
        <v>2368193</v>
      </c>
      <c r="D4" s="4" t="s">
        <v>32</v>
      </c>
      <c r="E4" s="4" t="s">
        <v>33</v>
      </c>
      <c r="F4" s="4" t="s">
        <v>34</v>
      </c>
      <c r="G4" s="4" t="s">
        <v>53</v>
      </c>
      <c r="H4" s="4" t="s">
        <v>54</v>
      </c>
      <c r="I4" s="4" t="s">
        <v>55</v>
      </c>
      <c r="J4" s="4" t="s">
        <v>38</v>
      </c>
      <c r="K4" s="5">
        <v>5000</v>
      </c>
      <c r="L4" s="6">
        <v>46177</v>
      </c>
      <c r="M4" s="4" t="s">
        <v>39</v>
      </c>
      <c r="N4" s="4"/>
      <c r="O4" s="4"/>
      <c r="P4" s="4"/>
      <c r="Q4" s="4"/>
      <c r="R4" s="4"/>
      <c r="S4" s="4" t="s">
        <v>40</v>
      </c>
      <c r="T4" s="4" t="s">
        <v>41</v>
      </c>
      <c r="U4" s="4" t="s">
        <v>42</v>
      </c>
      <c r="V4" s="4"/>
      <c r="W4" s="4" t="s">
        <v>34</v>
      </c>
      <c r="X4" s="4" t="s">
        <v>56</v>
      </c>
      <c r="Y4" s="4" t="s">
        <v>44</v>
      </c>
      <c r="Z4" s="4" t="s">
        <v>57</v>
      </c>
      <c r="AA4" s="4"/>
      <c r="AB4" s="4" t="s">
        <v>46</v>
      </c>
      <c r="AC4" s="4" t="s">
        <v>47</v>
      </c>
      <c r="AD4" s="4"/>
      <c r="AE4" s="7"/>
      <c r="AF4" s="7">
        <f t="shared" si="0"/>
        <v>0</v>
      </c>
    </row>
    <row r="5" spans="1:32" x14ac:dyDescent="0.35">
      <c r="A5" s="8">
        <v>2359249036</v>
      </c>
      <c r="B5" s="8" t="s">
        <v>48</v>
      </c>
      <c r="C5" s="8"/>
      <c r="D5" s="8"/>
      <c r="E5" s="8"/>
      <c r="F5" s="8" t="s">
        <v>34</v>
      </c>
      <c r="G5" s="8" t="s">
        <v>58</v>
      </c>
      <c r="H5" s="8" t="s">
        <v>50</v>
      </c>
      <c r="I5" s="8" t="s">
        <v>51</v>
      </c>
      <c r="J5" s="8" t="s">
        <v>38</v>
      </c>
      <c r="K5" s="9">
        <v>2429.9899999999998</v>
      </c>
      <c r="L5" s="10">
        <v>46190</v>
      </c>
      <c r="M5" s="8" t="s">
        <v>52</v>
      </c>
      <c r="N5" s="8" t="s">
        <v>34</v>
      </c>
      <c r="O5" s="8" t="s">
        <v>56</v>
      </c>
      <c r="P5" s="8" t="s">
        <v>44</v>
      </c>
      <c r="Q5" s="8" t="s">
        <v>57</v>
      </c>
      <c r="R5" s="8"/>
      <c r="S5" s="8" t="s">
        <v>46</v>
      </c>
      <c r="T5" s="8" t="s">
        <v>47</v>
      </c>
      <c r="U5" s="8" t="s">
        <v>42</v>
      </c>
      <c r="V5" s="8"/>
      <c r="W5" s="8"/>
      <c r="X5" s="8"/>
      <c r="Y5" s="8"/>
      <c r="Z5" s="8"/>
      <c r="AA5" s="8"/>
      <c r="AB5" s="8" t="s">
        <v>40</v>
      </c>
      <c r="AC5" s="8" t="s">
        <v>41</v>
      </c>
      <c r="AD5" s="8"/>
      <c r="AE5" s="11"/>
      <c r="AF5" s="11">
        <f t="shared" si="0"/>
        <v>0</v>
      </c>
    </row>
    <row r="6" spans="1:32" x14ac:dyDescent="0.35">
      <c r="A6" s="4">
        <v>2360941443</v>
      </c>
      <c r="B6" s="4" t="s">
        <v>48</v>
      </c>
      <c r="C6" s="4"/>
      <c r="D6" s="4"/>
      <c r="E6" s="4"/>
      <c r="F6" s="4" t="s">
        <v>34</v>
      </c>
      <c r="G6" s="4" t="s">
        <v>59</v>
      </c>
      <c r="H6" s="4" t="s">
        <v>54</v>
      </c>
      <c r="I6" s="4" t="s">
        <v>55</v>
      </c>
      <c r="J6" s="4" t="s">
        <v>38</v>
      </c>
      <c r="K6" s="5">
        <v>423.99</v>
      </c>
      <c r="L6" s="6">
        <v>46191</v>
      </c>
      <c r="M6" s="4" t="s">
        <v>39</v>
      </c>
      <c r="N6" s="4"/>
      <c r="O6" s="4"/>
      <c r="P6" s="4"/>
      <c r="Q6" s="4"/>
      <c r="R6" s="4"/>
      <c r="S6" s="4" t="s">
        <v>40</v>
      </c>
      <c r="T6" s="4" t="s">
        <v>41</v>
      </c>
      <c r="U6" s="4" t="s">
        <v>42</v>
      </c>
      <c r="V6" s="4"/>
      <c r="W6" s="4" t="s">
        <v>34</v>
      </c>
      <c r="X6" s="4" t="s">
        <v>56</v>
      </c>
      <c r="Y6" s="4" t="s">
        <v>44</v>
      </c>
      <c r="Z6" s="4" t="s">
        <v>57</v>
      </c>
      <c r="AA6" s="4"/>
      <c r="AB6" s="4" t="s">
        <v>46</v>
      </c>
      <c r="AC6" s="4" t="s">
        <v>47</v>
      </c>
      <c r="AD6" s="4"/>
      <c r="AE6" s="7"/>
      <c r="AF6" s="7">
        <f t="shared" si="0"/>
        <v>0</v>
      </c>
    </row>
    <row r="7" spans="1:32" x14ac:dyDescent="0.35">
      <c r="A7" s="8">
        <v>2361595120</v>
      </c>
      <c r="B7" s="8" t="s">
        <v>48</v>
      </c>
      <c r="C7" s="8"/>
      <c r="D7" s="8"/>
      <c r="E7" s="8"/>
      <c r="F7" s="8" t="s">
        <v>34</v>
      </c>
      <c r="G7" s="8" t="s">
        <v>60</v>
      </c>
      <c r="H7" s="8" t="s">
        <v>36</v>
      </c>
      <c r="I7" s="8" t="s">
        <v>37</v>
      </c>
      <c r="J7" s="8" t="s">
        <v>38</v>
      </c>
      <c r="K7" s="9">
        <v>2000</v>
      </c>
      <c r="L7" s="10">
        <v>46191</v>
      </c>
      <c r="M7" s="8" t="s">
        <v>39</v>
      </c>
      <c r="N7" s="8"/>
      <c r="O7" s="8"/>
      <c r="P7" s="8"/>
      <c r="Q7" s="8"/>
      <c r="R7" s="8"/>
      <c r="S7" s="8" t="s">
        <v>40</v>
      </c>
      <c r="T7" s="8" t="s">
        <v>41</v>
      </c>
      <c r="U7" s="8" t="s">
        <v>42</v>
      </c>
      <c r="V7" s="8"/>
      <c r="W7" s="8" t="s">
        <v>34</v>
      </c>
      <c r="X7" s="8" t="s">
        <v>56</v>
      </c>
      <c r="Y7" s="8" t="s">
        <v>44</v>
      </c>
      <c r="Z7" s="8" t="s">
        <v>57</v>
      </c>
      <c r="AA7" s="8"/>
      <c r="AB7" s="8" t="s">
        <v>46</v>
      </c>
      <c r="AC7" s="8" t="s">
        <v>47</v>
      </c>
      <c r="AD7" s="8"/>
      <c r="AE7" s="11"/>
      <c r="AF7" s="11">
        <f t="shared" si="0"/>
        <v>0</v>
      </c>
    </row>
    <row r="8" spans="1:32" x14ac:dyDescent="0.35">
      <c r="A8" s="4">
        <v>2369943294</v>
      </c>
      <c r="B8" s="4" t="s">
        <v>48</v>
      </c>
      <c r="C8" s="4"/>
      <c r="D8" s="4"/>
      <c r="E8" s="4"/>
      <c r="F8" s="4" t="s">
        <v>34</v>
      </c>
      <c r="G8" s="4" t="s">
        <v>61</v>
      </c>
      <c r="H8" s="4" t="s">
        <v>36</v>
      </c>
      <c r="I8" s="4" t="s">
        <v>37</v>
      </c>
      <c r="J8" s="4" t="s">
        <v>38</v>
      </c>
      <c r="K8" s="5">
        <v>4430.49</v>
      </c>
      <c r="L8" s="6">
        <v>46197</v>
      </c>
      <c r="M8" s="4" t="s">
        <v>39</v>
      </c>
      <c r="N8" s="4"/>
      <c r="O8" s="4"/>
      <c r="P8" s="4"/>
      <c r="Q8" s="4"/>
      <c r="R8" s="4"/>
      <c r="S8" s="4" t="s">
        <v>40</v>
      </c>
      <c r="T8" s="4" t="s">
        <v>41</v>
      </c>
      <c r="U8" s="4" t="s">
        <v>42</v>
      </c>
      <c r="V8" s="4"/>
      <c r="W8" s="4" t="s">
        <v>34</v>
      </c>
      <c r="X8" s="4" t="s">
        <v>56</v>
      </c>
      <c r="Y8" s="4" t="s">
        <v>44</v>
      </c>
      <c r="Z8" s="4" t="s">
        <v>57</v>
      </c>
      <c r="AA8" s="4"/>
      <c r="AB8" s="4" t="s">
        <v>46</v>
      </c>
      <c r="AC8" s="4" t="s">
        <v>47</v>
      </c>
      <c r="AD8" s="4"/>
      <c r="AE8" s="7"/>
      <c r="AF8" s="7">
        <f t="shared" si="0"/>
        <v>0</v>
      </c>
    </row>
    <row r="9" spans="1:32" x14ac:dyDescent="0.35">
      <c r="A9" s="8">
        <v>2370515924</v>
      </c>
      <c r="B9" s="8" t="s">
        <v>48</v>
      </c>
      <c r="C9" s="8"/>
      <c r="D9" s="8"/>
      <c r="E9" s="8"/>
      <c r="F9" s="8" t="s">
        <v>34</v>
      </c>
      <c r="G9" s="8" t="s">
        <v>62</v>
      </c>
      <c r="H9" s="8" t="s">
        <v>63</v>
      </c>
      <c r="I9" s="8" t="s">
        <v>64</v>
      </c>
      <c r="J9" s="8" t="s">
        <v>38</v>
      </c>
      <c r="K9" s="9">
        <v>4430.49</v>
      </c>
      <c r="L9" s="10">
        <v>46197</v>
      </c>
      <c r="M9" s="8" t="s">
        <v>52</v>
      </c>
      <c r="N9" s="8" t="s">
        <v>34</v>
      </c>
      <c r="O9" s="8" t="s">
        <v>56</v>
      </c>
      <c r="P9" s="8" t="s">
        <v>44</v>
      </c>
      <c r="Q9" s="8" t="s">
        <v>57</v>
      </c>
      <c r="R9" s="8"/>
      <c r="S9" s="8" t="s">
        <v>46</v>
      </c>
      <c r="T9" s="8" t="s">
        <v>47</v>
      </c>
      <c r="U9" s="8" t="s">
        <v>42</v>
      </c>
      <c r="V9" s="8"/>
      <c r="W9" s="8"/>
      <c r="X9" s="8"/>
      <c r="Y9" s="8"/>
      <c r="Z9" s="8"/>
      <c r="AA9" s="8"/>
      <c r="AB9" s="8" t="s">
        <v>40</v>
      </c>
      <c r="AC9" s="8" t="s">
        <v>41</v>
      </c>
      <c r="AD9" s="8"/>
      <c r="AE9" s="11"/>
      <c r="AF9" s="1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545B-DADF-4ADB-8826-F07B807E5918}">
  <sheetPr codeName="Sheet2"/>
  <dimension ref="A1:AF3"/>
  <sheetViews>
    <sheetView zoomScale="85" zoomScaleNormal="85" workbookViewId="0"/>
  </sheetViews>
  <sheetFormatPr defaultRowHeight="14.5" x14ac:dyDescent="0.35"/>
  <cols>
    <col min="1" max="1" width="13" style="3" bestFit="1" customWidth="1"/>
    <col min="2" max="2" width="20.1796875" style="3" bestFit="1" customWidth="1"/>
    <col min="3" max="3" width="14.36328125" style="3" bestFit="1" customWidth="1"/>
    <col min="4" max="4" width="35.6328125" style="3" bestFit="1" customWidth="1"/>
    <col min="5" max="5" width="9.36328125" style="3" bestFit="1" customWidth="1"/>
    <col min="6" max="6" width="15.1796875" style="3" bestFit="1" customWidth="1"/>
    <col min="7" max="7" width="23.36328125" style="3" bestFit="1" customWidth="1"/>
    <col min="8" max="8" width="15.453125" style="3" bestFit="1" customWidth="1"/>
    <col min="9" max="9" width="26.08984375" style="3" bestFit="1" customWidth="1"/>
    <col min="10" max="10" width="8.26953125" style="3" bestFit="1" customWidth="1"/>
    <col min="11" max="11" width="18.08984375" style="3" bestFit="1" customWidth="1"/>
    <col min="12" max="12" width="19.81640625" style="3" bestFit="1" customWidth="1"/>
    <col min="13" max="13" width="5.08984375" style="3" bestFit="1" customWidth="1"/>
    <col min="14" max="14" width="12.26953125" style="3" bestFit="1" customWidth="1"/>
    <col min="15" max="15" width="15.453125" style="3" bestFit="1" customWidth="1"/>
    <col min="16" max="16" width="19.6328125" style="3" bestFit="1" customWidth="1"/>
    <col min="17" max="17" width="19.36328125" style="3" bestFit="1" customWidth="1"/>
    <col min="18" max="18" width="21.90625" style="3" bestFit="1" customWidth="1"/>
    <col min="19" max="20" width="17.36328125" style="3" bestFit="1" customWidth="1"/>
    <col min="21" max="21" width="14.54296875" style="3" bestFit="1" customWidth="1"/>
    <col min="22" max="22" width="36.08984375" style="3" bestFit="1" customWidth="1"/>
    <col min="23" max="23" width="15.1796875" style="3" bestFit="1" customWidth="1"/>
    <col min="24" max="24" width="20" style="3" bestFit="1" customWidth="1"/>
    <col min="25" max="25" width="19" style="3" bestFit="1" customWidth="1"/>
    <col min="26" max="26" width="18.7265625" style="3" bestFit="1" customWidth="1"/>
    <col min="27" max="27" width="21.26953125" style="3" bestFit="1" customWidth="1"/>
    <col min="28" max="28" width="52.26953125" style="3" bestFit="1" customWidth="1"/>
    <col min="29" max="29" width="16.6328125" style="3" bestFit="1" customWidth="1"/>
    <col min="30" max="30" width="35.453125" style="3" bestFit="1" customWidth="1"/>
    <col min="31" max="31" width="6.7265625" style="3" bestFit="1" customWidth="1"/>
    <col min="32" max="32" width="12.08984375" style="3" bestFit="1" customWidth="1"/>
    <col min="33" max="16384" width="8.7265625" style="3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65</v>
      </c>
    </row>
    <row r="2" spans="1:32" x14ac:dyDescent="0.35">
      <c r="A2" s="4">
        <v>2331458511</v>
      </c>
      <c r="B2" s="4" t="s">
        <v>31</v>
      </c>
      <c r="C2" s="4">
        <v>2368193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5">
        <v>8250.64</v>
      </c>
      <c r="L2" s="6">
        <v>46174</v>
      </c>
      <c r="M2" s="4" t="s">
        <v>39</v>
      </c>
      <c r="N2" s="4"/>
      <c r="O2" s="4"/>
      <c r="P2" s="4"/>
      <c r="Q2" s="4"/>
      <c r="R2" s="4"/>
      <c r="S2" s="4" t="s">
        <v>40</v>
      </c>
      <c r="T2" s="4" t="s">
        <v>41</v>
      </c>
      <c r="U2" s="4" t="s">
        <v>42</v>
      </c>
      <c r="V2" s="4"/>
      <c r="W2" s="4" t="s">
        <v>34</v>
      </c>
      <c r="X2" s="4" t="s">
        <v>43</v>
      </c>
      <c r="Y2" s="4" t="s">
        <v>44</v>
      </c>
      <c r="Z2" s="4" t="s">
        <v>45</v>
      </c>
      <c r="AA2" s="4"/>
      <c r="AB2" s="4" t="s">
        <v>46</v>
      </c>
      <c r="AC2" s="4" t="s">
        <v>47</v>
      </c>
      <c r="AD2" s="4"/>
      <c r="AE2" s="7"/>
      <c r="AF2" s="7">
        <f t="shared" ref="AF2:AF3" si="0">IF($M2="DR", $O2, $X2)</f>
        <v>0</v>
      </c>
    </row>
    <row r="3" spans="1:32" x14ac:dyDescent="0.35">
      <c r="A3" s="4">
        <v>2337673225</v>
      </c>
      <c r="B3" s="4" t="s">
        <v>31</v>
      </c>
      <c r="C3" s="4">
        <v>2368193</v>
      </c>
      <c r="D3" s="4" t="s">
        <v>32</v>
      </c>
      <c r="E3" s="4" t="s">
        <v>33</v>
      </c>
      <c r="F3" s="4" t="s">
        <v>34</v>
      </c>
      <c r="G3" s="4" t="s">
        <v>53</v>
      </c>
      <c r="H3" s="4" t="s">
        <v>54</v>
      </c>
      <c r="I3" s="4" t="s">
        <v>55</v>
      </c>
      <c r="J3" s="4" t="s">
        <v>38</v>
      </c>
      <c r="K3" s="5">
        <v>5000</v>
      </c>
      <c r="L3" s="6">
        <v>46177</v>
      </c>
      <c r="M3" s="4" t="s">
        <v>39</v>
      </c>
      <c r="N3" s="4"/>
      <c r="O3" s="4"/>
      <c r="P3" s="4"/>
      <c r="Q3" s="4"/>
      <c r="R3" s="4"/>
      <c r="S3" s="4" t="s">
        <v>40</v>
      </c>
      <c r="T3" s="4" t="s">
        <v>41</v>
      </c>
      <c r="U3" s="4" t="s">
        <v>42</v>
      </c>
      <c r="V3" s="4"/>
      <c r="W3" s="4" t="s">
        <v>34</v>
      </c>
      <c r="X3" s="4" t="s">
        <v>56</v>
      </c>
      <c r="Y3" s="4" t="s">
        <v>44</v>
      </c>
      <c r="Z3" s="4" t="s">
        <v>57</v>
      </c>
      <c r="AA3" s="4"/>
      <c r="AB3" s="4" t="s">
        <v>46</v>
      </c>
      <c r="AC3" s="4" t="s">
        <v>47</v>
      </c>
      <c r="AD3" s="4"/>
      <c r="AE3" s="7"/>
      <c r="AF3" s="7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12F6-1261-493E-8C91-E3BAFF230FFF}">
  <sheetPr codeName="Sheet3"/>
  <dimension ref="A3:S10"/>
  <sheetViews>
    <sheetView zoomScale="85" zoomScaleNormal="85" workbookViewId="0"/>
  </sheetViews>
  <sheetFormatPr defaultRowHeight="14.5" x14ac:dyDescent="0.35"/>
  <cols>
    <col min="1" max="1" width="37.7265625" bestFit="1" customWidth="1"/>
    <col min="2" max="2" width="24" bestFit="1" customWidth="1"/>
    <col min="3" max="3" width="25.36328125" bestFit="1" customWidth="1"/>
    <col min="6" max="6" width="10.36328125" bestFit="1" customWidth="1"/>
    <col min="7" max="7" width="24.36328125" bestFit="1" customWidth="1"/>
    <col min="8" max="8" width="25.7265625" bestFit="1" customWidth="1"/>
    <col min="11" max="11" width="10.36328125" bestFit="1" customWidth="1"/>
    <col min="12" max="12" width="8.6328125" bestFit="1" customWidth="1"/>
    <col min="13" max="13" width="24.7265625" bestFit="1" customWidth="1"/>
    <col min="17" max="17" width="12.453125" bestFit="1" customWidth="1"/>
    <col min="18" max="18" width="9" bestFit="1" customWidth="1"/>
    <col min="19" max="19" width="25.1796875" bestFit="1" customWidth="1"/>
  </cols>
  <sheetData>
    <row r="3" spans="1:19" x14ac:dyDescent="0.35">
      <c r="A3" s="12" t="s">
        <v>66</v>
      </c>
      <c r="B3" t="s">
        <v>68</v>
      </c>
      <c r="C3" t="s">
        <v>69</v>
      </c>
      <c r="F3" s="12" t="s">
        <v>66</v>
      </c>
      <c r="G3" t="s">
        <v>70</v>
      </c>
      <c r="H3" t="s">
        <v>71</v>
      </c>
      <c r="K3" s="12" t="s">
        <v>66</v>
      </c>
      <c r="L3" t="s">
        <v>76</v>
      </c>
      <c r="M3" t="s">
        <v>77</v>
      </c>
      <c r="Q3" s="12" t="s">
        <v>66</v>
      </c>
      <c r="R3" t="s">
        <v>78</v>
      </c>
      <c r="S3" t="s">
        <v>79</v>
      </c>
    </row>
    <row r="4" spans="1:19" x14ac:dyDescent="0.35">
      <c r="A4" s="13" t="s">
        <v>32</v>
      </c>
      <c r="B4" s="16">
        <v>13250.64</v>
      </c>
      <c r="C4" s="17">
        <v>2</v>
      </c>
      <c r="F4" s="13" t="s">
        <v>72</v>
      </c>
      <c r="G4" s="16">
        <v>13250.64</v>
      </c>
      <c r="H4" s="17">
        <v>2</v>
      </c>
      <c r="K4" s="13" t="s">
        <v>72</v>
      </c>
      <c r="L4" s="17">
        <v>2</v>
      </c>
      <c r="M4" s="16">
        <v>13250.64</v>
      </c>
      <c r="Q4" s="13" t="s">
        <v>39</v>
      </c>
      <c r="R4" s="17">
        <v>2</v>
      </c>
      <c r="S4" s="21">
        <v>13250.64</v>
      </c>
    </row>
    <row r="5" spans="1:19" x14ac:dyDescent="0.35">
      <c r="A5" s="14" t="s">
        <v>39</v>
      </c>
      <c r="B5" s="16">
        <v>13250.64</v>
      </c>
      <c r="C5" s="17">
        <v>2</v>
      </c>
      <c r="F5" s="14" t="s">
        <v>73</v>
      </c>
      <c r="G5" s="16">
        <v>13250.64</v>
      </c>
      <c r="H5" s="17">
        <v>2</v>
      </c>
      <c r="K5" s="14" t="s">
        <v>73</v>
      </c>
      <c r="L5" s="17">
        <v>2</v>
      </c>
      <c r="M5" s="16">
        <v>13250.64</v>
      </c>
      <c r="Q5" s="14" t="s">
        <v>72</v>
      </c>
      <c r="R5" s="17">
        <v>2</v>
      </c>
      <c r="S5" s="16">
        <v>13250.64</v>
      </c>
    </row>
    <row r="6" spans="1:19" x14ac:dyDescent="0.35">
      <c r="A6" s="15">
        <v>0</v>
      </c>
      <c r="B6" s="16">
        <v>13250.64</v>
      </c>
      <c r="C6" s="17">
        <v>2</v>
      </c>
      <c r="F6" s="19" t="s">
        <v>74</v>
      </c>
      <c r="G6" s="16">
        <v>8250.64</v>
      </c>
      <c r="H6" s="17">
        <v>1</v>
      </c>
      <c r="K6" s="19" t="s">
        <v>74</v>
      </c>
      <c r="L6" s="17">
        <v>1</v>
      </c>
      <c r="M6" s="16">
        <v>8250.64</v>
      </c>
      <c r="Q6" s="15" t="s">
        <v>73</v>
      </c>
      <c r="R6" s="17">
        <v>2</v>
      </c>
      <c r="S6" s="16">
        <v>13250.64</v>
      </c>
    </row>
    <row r="7" spans="1:19" x14ac:dyDescent="0.35">
      <c r="A7" s="13" t="s">
        <v>67</v>
      </c>
      <c r="B7" s="16">
        <v>13250.64</v>
      </c>
      <c r="C7" s="17">
        <v>2</v>
      </c>
      <c r="F7" s="19" t="s">
        <v>75</v>
      </c>
      <c r="G7" s="16">
        <v>5000</v>
      </c>
      <c r="H7" s="17">
        <v>1</v>
      </c>
      <c r="K7" s="18" t="s">
        <v>39</v>
      </c>
      <c r="L7" s="17">
        <v>1</v>
      </c>
      <c r="M7" s="21">
        <v>8250.64</v>
      </c>
      <c r="Q7" s="20" t="s">
        <v>74</v>
      </c>
      <c r="R7" s="17">
        <v>1</v>
      </c>
      <c r="S7" s="16">
        <v>8250.64</v>
      </c>
    </row>
    <row r="8" spans="1:19" x14ac:dyDescent="0.35">
      <c r="F8" s="13" t="s">
        <v>67</v>
      </c>
      <c r="G8" s="16">
        <v>13250.64</v>
      </c>
      <c r="H8" s="17">
        <v>2</v>
      </c>
      <c r="K8" s="19" t="s">
        <v>75</v>
      </c>
      <c r="L8" s="17">
        <v>1</v>
      </c>
      <c r="M8" s="16">
        <v>5000</v>
      </c>
      <c r="Q8" s="20" t="s">
        <v>75</v>
      </c>
      <c r="R8" s="17">
        <v>1</v>
      </c>
      <c r="S8" s="16">
        <v>5000</v>
      </c>
    </row>
    <row r="9" spans="1:19" x14ac:dyDescent="0.35">
      <c r="K9" s="18" t="s">
        <v>39</v>
      </c>
      <c r="L9" s="17">
        <v>1</v>
      </c>
      <c r="M9" s="21">
        <v>5000</v>
      </c>
      <c r="Q9" s="13" t="s">
        <v>67</v>
      </c>
      <c r="R9" s="17">
        <v>2</v>
      </c>
      <c r="S9" s="16">
        <v>13250.64</v>
      </c>
    </row>
    <row r="10" spans="1:19" x14ac:dyDescent="0.35">
      <c r="K10" s="13" t="s">
        <v>67</v>
      </c>
      <c r="L10" s="17">
        <v>2</v>
      </c>
      <c r="M10" s="16">
        <v>13250.64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56CA-D809-42DD-91CA-29F7781A3082}">
  <sheetPr codeName="Sheet4"/>
  <dimension ref="A1:AF7"/>
  <sheetViews>
    <sheetView tabSelected="1" topLeftCell="C1" zoomScale="85" zoomScaleNormal="85" workbookViewId="0"/>
  </sheetViews>
  <sheetFormatPr defaultRowHeight="14.5" x14ac:dyDescent="0.35"/>
  <cols>
    <col min="1" max="1" width="13" style="3" bestFit="1" customWidth="1"/>
    <col min="2" max="2" width="20.1796875" style="3" bestFit="1" customWidth="1"/>
    <col min="3" max="3" width="14.36328125" style="3" bestFit="1" customWidth="1"/>
    <col min="4" max="4" width="15.54296875" style="3" bestFit="1" customWidth="1"/>
    <col min="5" max="5" width="9.36328125" style="3" bestFit="1" customWidth="1"/>
    <col min="6" max="6" width="15.1796875" style="3" bestFit="1" customWidth="1"/>
    <col min="7" max="7" width="23.36328125" style="3" bestFit="1" customWidth="1"/>
    <col min="8" max="8" width="15.453125" style="3" bestFit="1" customWidth="1"/>
    <col min="9" max="9" width="26.08984375" style="3" bestFit="1" customWidth="1"/>
    <col min="10" max="10" width="8.26953125" style="3" bestFit="1" customWidth="1"/>
    <col min="11" max="11" width="18.08984375" style="3" bestFit="1" customWidth="1"/>
    <col min="12" max="12" width="23" style="3" bestFit="1" customWidth="1"/>
    <col min="13" max="13" width="5.08984375" style="3" bestFit="1" customWidth="1"/>
    <col min="14" max="14" width="15.1796875" style="3" bestFit="1" customWidth="1"/>
    <col min="15" max="15" width="20" style="3" bestFit="1" customWidth="1"/>
    <col min="16" max="16" width="19.6328125" style="3" bestFit="1" customWidth="1"/>
    <col min="17" max="17" width="19.36328125" style="3" bestFit="1" customWidth="1"/>
    <col min="18" max="18" width="21.90625" style="3" bestFit="1" customWidth="1"/>
    <col min="19" max="19" width="52.26953125" style="3" bestFit="1" customWidth="1"/>
    <col min="20" max="20" width="17.36328125" style="3" bestFit="1" customWidth="1"/>
    <col min="21" max="21" width="14.54296875" style="3" bestFit="1" customWidth="1"/>
    <col min="22" max="22" width="36.08984375" style="3" bestFit="1" customWidth="1"/>
    <col min="23" max="23" width="15.1796875" style="3" bestFit="1" customWidth="1"/>
    <col min="24" max="24" width="20" style="3" bestFit="1" customWidth="1"/>
    <col min="25" max="25" width="19" style="3" bestFit="1" customWidth="1"/>
    <col min="26" max="26" width="18.7265625" style="3" bestFit="1" customWidth="1"/>
    <col min="27" max="27" width="21.26953125" style="3" bestFit="1" customWidth="1"/>
    <col min="28" max="28" width="52.26953125" style="3" bestFit="1" customWidth="1"/>
    <col min="29" max="29" width="16.6328125" style="3" bestFit="1" customWidth="1"/>
    <col min="30" max="30" width="35.453125" style="3" bestFit="1" customWidth="1"/>
    <col min="31" max="31" width="6.7265625" style="3" bestFit="1" customWidth="1"/>
    <col min="32" max="32" width="12.08984375" style="3" bestFit="1" customWidth="1"/>
    <col min="33" max="16384" width="8.7265625" style="3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65</v>
      </c>
    </row>
    <row r="2" spans="1:32" x14ac:dyDescent="0.35">
      <c r="A2" s="8">
        <v>2334091426</v>
      </c>
      <c r="B2" s="8" t="s">
        <v>48</v>
      </c>
      <c r="C2" s="8"/>
      <c r="D2" s="8"/>
      <c r="E2" s="8"/>
      <c r="F2" s="8" t="s">
        <v>34</v>
      </c>
      <c r="G2" s="8" t="s">
        <v>49</v>
      </c>
      <c r="H2" s="8" t="s">
        <v>50</v>
      </c>
      <c r="I2" s="8" t="s">
        <v>51</v>
      </c>
      <c r="J2" s="8" t="s">
        <v>38</v>
      </c>
      <c r="K2" s="9">
        <v>13247</v>
      </c>
      <c r="L2" s="10">
        <v>46174</v>
      </c>
      <c r="M2" s="8" t="s">
        <v>52</v>
      </c>
      <c r="N2" s="8" t="s">
        <v>34</v>
      </c>
      <c r="O2" s="8" t="s">
        <v>43</v>
      </c>
      <c r="P2" s="8" t="s">
        <v>44</v>
      </c>
      <c r="Q2" s="8" t="s">
        <v>45</v>
      </c>
      <c r="R2" s="8"/>
      <c r="S2" s="8" t="s">
        <v>46</v>
      </c>
      <c r="T2" s="8" t="s">
        <v>47</v>
      </c>
      <c r="U2" s="8" t="s">
        <v>42</v>
      </c>
      <c r="V2" s="8"/>
      <c r="W2" s="8"/>
      <c r="X2" s="8"/>
      <c r="Y2" s="8"/>
      <c r="Z2" s="8"/>
      <c r="AA2" s="8"/>
      <c r="AB2" s="8" t="s">
        <v>40</v>
      </c>
      <c r="AC2" s="8" t="s">
        <v>41</v>
      </c>
      <c r="AD2" s="8"/>
      <c r="AE2" s="11"/>
      <c r="AF2" s="11">
        <f t="shared" ref="AF2:AF7" si="0">IF($M2="DR", $O2, $X2)</f>
        <v>0</v>
      </c>
    </row>
    <row r="3" spans="1:32" x14ac:dyDescent="0.35">
      <c r="A3" s="8">
        <v>2359249036</v>
      </c>
      <c r="B3" s="8" t="s">
        <v>48</v>
      </c>
      <c r="C3" s="8"/>
      <c r="D3" s="8"/>
      <c r="E3" s="8"/>
      <c r="F3" s="8" t="s">
        <v>34</v>
      </c>
      <c r="G3" s="8" t="s">
        <v>58</v>
      </c>
      <c r="H3" s="8" t="s">
        <v>50</v>
      </c>
      <c r="I3" s="8" t="s">
        <v>51</v>
      </c>
      <c r="J3" s="8" t="s">
        <v>38</v>
      </c>
      <c r="K3" s="9">
        <v>2429.9899999999998</v>
      </c>
      <c r="L3" s="10">
        <v>46190</v>
      </c>
      <c r="M3" s="8" t="s">
        <v>52</v>
      </c>
      <c r="N3" s="8" t="s">
        <v>34</v>
      </c>
      <c r="O3" s="8" t="s">
        <v>56</v>
      </c>
      <c r="P3" s="8" t="s">
        <v>44</v>
      </c>
      <c r="Q3" s="8" t="s">
        <v>57</v>
      </c>
      <c r="R3" s="8"/>
      <c r="S3" s="8" t="s">
        <v>46</v>
      </c>
      <c r="T3" s="8" t="s">
        <v>47</v>
      </c>
      <c r="U3" s="8" t="s">
        <v>42</v>
      </c>
      <c r="V3" s="8"/>
      <c r="W3" s="8"/>
      <c r="X3" s="8"/>
      <c r="Y3" s="8"/>
      <c r="Z3" s="8"/>
      <c r="AA3" s="8"/>
      <c r="AB3" s="8" t="s">
        <v>40</v>
      </c>
      <c r="AC3" s="8" t="s">
        <v>41</v>
      </c>
      <c r="AD3" s="8"/>
      <c r="AE3" s="11"/>
      <c r="AF3" s="11">
        <f t="shared" si="0"/>
        <v>0</v>
      </c>
    </row>
    <row r="4" spans="1:32" x14ac:dyDescent="0.35">
      <c r="A4" s="4">
        <v>2360941443</v>
      </c>
      <c r="B4" s="4" t="s">
        <v>48</v>
      </c>
      <c r="C4" s="4"/>
      <c r="D4" s="4"/>
      <c r="E4" s="4"/>
      <c r="F4" s="4" t="s">
        <v>34</v>
      </c>
      <c r="G4" s="4" t="s">
        <v>59</v>
      </c>
      <c r="H4" s="4" t="s">
        <v>54</v>
      </c>
      <c r="I4" s="4" t="s">
        <v>55</v>
      </c>
      <c r="J4" s="4" t="s">
        <v>38</v>
      </c>
      <c r="K4" s="5">
        <v>423.99</v>
      </c>
      <c r="L4" s="6">
        <v>46191</v>
      </c>
      <c r="M4" s="4" t="s">
        <v>39</v>
      </c>
      <c r="N4" s="4"/>
      <c r="O4" s="4"/>
      <c r="P4" s="4"/>
      <c r="Q4" s="4"/>
      <c r="R4" s="4"/>
      <c r="S4" s="4" t="s">
        <v>40</v>
      </c>
      <c r="T4" s="4" t="s">
        <v>41</v>
      </c>
      <c r="U4" s="4" t="s">
        <v>42</v>
      </c>
      <c r="V4" s="4"/>
      <c r="W4" s="4" t="s">
        <v>34</v>
      </c>
      <c r="X4" s="4" t="s">
        <v>56</v>
      </c>
      <c r="Y4" s="4" t="s">
        <v>44</v>
      </c>
      <c r="Z4" s="4" t="s">
        <v>57</v>
      </c>
      <c r="AA4" s="4"/>
      <c r="AB4" s="4" t="s">
        <v>46</v>
      </c>
      <c r="AC4" s="4" t="s">
        <v>47</v>
      </c>
      <c r="AD4" s="4"/>
      <c r="AE4" s="7"/>
      <c r="AF4" s="7">
        <f t="shared" si="0"/>
        <v>0</v>
      </c>
    </row>
    <row r="5" spans="1:32" x14ac:dyDescent="0.35">
      <c r="A5" s="8">
        <v>2361595120</v>
      </c>
      <c r="B5" s="8" t="s">
        <v>48</v>
      </c>
      <c r="C5" s="8"/>
      <c r="D5" s="8"/>
      <c r="E5" s="8"/>
      <c r="F5" s="8" t="s">
        <v>34</v>
      </c>
      <c r="G5" s="8" t="s">
        <v>60</v>
      </c>
      <c r="H5" s="8" t="s">
        <v>36</v>
      </c>
      <c r="I5" s="8" t="s">
        <v>37</v>
      </c>
      <c r="J5" s="8" t="s">
        <v>38</v>
      </c>
      <c r="K5" s="9">
        <v>2000</v>
      </c>
      <c r="L5" s="10">
        <v>46191</v>
      </c>
      <c r="M5" s="8" t="s">
        <v>39</v>
      </c>
      <c r="N5" s="8"/>
      <c r="O5" s="8"/>
      <c r="P5" s="8"/>
      <c r="Q5" s="8"/>
      <c r="R5" s="8"/>
      <c r="S5" s="8" t="s">
        <v>40</v>
      </c>
      <c r="T5" s="8" t="s">
        <v>41</v>
      </c>
      <c r="U5" s="8" t="s">
        <v>42</v>
      </c>
      <c r="V5" s="8"/>
      <c r="W5" s="8" t="s">
        <v>34</v>
      </c>
      <c r="X5" s="8" t="s">
        <v>56</v>
      </c>
      <c r="Y5" s="8" t="s">
        <v>44</v>
      </c>
      <c r="Z5" s="8" t="s">
        <v>57</v>
      </c>
      <c r="AA5" s="8"/>
      <c r="AB5" s="8" t="s">
        <v>46</v>
      </c>
      <c r="AC5" s="8" t="s">
        <v>47</v>
      </c>
      <c r="AD5" s="8"/>
      <c r="AE5" s="11"/>
      <c r="AF5" s="11">
        <f t="shared" si="0"/>
        <v>0</v>
      </c>
    </row>
    <row r="6" spans="1:32" x14ac:dyDescent="0.35">
      <c r="A6" s="4">
        <v>2369943294</v>
      </c>
      <c r="B6" s="4" t="s">
        <v>48</v>
      </c>
      <c r="C6" s="4"/>
      <c r="D6" s="4"/>
      <c r="E6" s="4"/>
      <c r="F6" s="4" t="s">
        <v>34</v>
      </c>
      <c r="G6" s="4" t="s">
        <v>61</v>
      </c>
      <c r="H6" s="4" t="s">
        <v>36</v>
      </c>
      <c r="I6" s="4" t="s">
        <v>37</v>
      </c>
      <c r="J6" s="4" t="s">
        <v>38</v>
      </c>
      <c r="K6" s="5">
        <v>4430.49</v>
      </c>
      <c r="L6" s="6">
        <v>46197</v>
      </c>
      <c r="M6" s="4" t="s">
        <v>39</v>
      </c>
      <c r="N6" s="4"/>
      <c r="O6" s="4"/>
      <c r="P6" s="4"/>
      <c r="Q6" s="4"/>
      <c r="R6" s="4"/>
      <c r="S6" s="4" t="s">
        <v>40</v>
      </c>
      <c r="T6" s="4" t="s">
        <v>41</v>
      </c>
      <c r="U6" s="4" t="s">
        <v>42</v>
      </c>
      <c r="V6" s="4"/>
      <c r="W6" s="4" t="s">
        <v>34</v>
      </c>
      <c r="X6" s="4" t="s">
        <v>56</v>
      </c>
      <c r="Y6" s="4" t="s">
        <v>44</v>
      </c>
      <c r="Z6" s="4" t="s">
        <v>57</v>
      </c>
      <c r="AA6" s="4"/>
      <c r="AB6" s="4" t="s">
        <v>46</v>
      </c>
      <c r="AC6" s="4" t="s">
        <v>47</v>
      </c>
      <c r="AD6" s="4"/>
      <c r="AE6" s="7"/>
      <c r="AF6" s="7">
        <f t="shared" si="0"/>
        <v>0</v>
      </c>
    </row>
    <row r="7" spans="1:32" x14ac:dyDescent="0.35">
      <c r="A7" s="8">
        <v>2370515924</v>
      </c>
      <c r="B7" s="8" t="s">
        <v>48</v>
      </c>
      <c r="C7" s="8"/>
      <c r="D7" s="8"/>
      <c r="E7" s="8"/>
      <c r="F7" s="8" t="s">
        <v>34</v>
      </c>
      <c r="G7" s="8" t="s">
        <v>62</v>
      </c>
      <c r="H7" s="8" t="s">
        <v>63</v>
      </c>
      <c r="I7" s="8" t="s">
        <v>64</v>
      </c>
      <c r="J7" s="8" t="s">
        <v>38</v>
      </c>
      <c r="K7" s="9">
        <v>4430.49</v>
      </c>
      <c r="L7" s="10">
        <v>46197</v>
      </c>
      <c r="M7" s="8" t="s">
        <v>52</v>
      </c>
      <c r="N7" s="8" t="s">
        <v>34</v>
      </c>
      <c r="O7" s="8" t="s">
        <v>56</v>
      </c>
      <c r="P7" s="8" t="s">
        <v>44</v>
      </c>
      <c r="Q7" s="8" t="s">
        <v>57</v>
      </c>
      <c r="R7" s="8"/>
      <c r="S7" s="8" t="s">
        <v>46</v>
      </c>
      <c r="T7" s="8" t="s">
        <v>47</v>
      </c>
      <c r="U7" s="8" t="s">
        <v>42</v>
      </c>
      <c r="V7" s="8"/>
      <c r="W7" s="8"/>
      <c r="X7" s="8"/>
      <c r="Y7" s="8"/>
      <c r="Z7" s="8"/>
      <c r="AA7" s="8"/>
      <c r="AB7" s="8" t="s">
        <v>40</v>
      </c>
      <c r="AC7" s="8" t="s">
        <v>41</v>
      </c>
      <c r="AD7" s="8"/>
      <c r="AE7" s="11"/>
      <c r="AF7" s="11">
        <f t="shared" si="0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17c3e3-ba51-4656-9767-5ba4c8c34f4b}" enabled="0" method="" siteId="{9e17c3e3-ba51-4656-9767-5ba4c8c34f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Transactions</vt:lpstr>
      <vt:lpstr>Alerted Transaction</vt:lpstr>
      <vt:lpstr>Alerted Transaction Pivot</vt:lpstr>
      <vt:lpstr>Non Alerted 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Saha</dc:creator>
  <cp:lastModifiedBy>Swapnil Saha</cp:lastModifiedBy>
  <dcterms:created xsi:type="dcterms:W3CDTF">2026-08-26T06:07:17Z</dcterms:created>
  <dcterms:modified xsi:type="dcterms:W3CDTF">2026-08-26T06:14:55Z</dcterms:modified>
</cp:coreProperties>
</file>