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fsb-my.sharepoint.com/personal/ssaha_cfsb_com/Documents/Desktop/"/>
    </mc:Choice>
  </mc:AlternateContent>
  <xr:revisionPtr revIDLastSave="689" documentId="8_{7969E8F8-9F17-414D-BF54-0AEB59E20EAA}" xr6:coauthVersionLast="47" xr6:coauthVersionMax="47" xr10:uidLastSave="{81BA53DF-9478-4939-9A20-7F610F861075}"/>
  <bookViews>
    <workbookView xWindow="-110" yWindow="-110" windowWidth="19420" windowHeight="11500" xr2:uid="{A4AC7A11-B727-4D22-AE3F-E16A4EEB6A9E}"/>
  </bookViews>
  <sheets>
    <sheet name="Comparison Dashboard" sheetId="5" r:id="rId1"/>
    <sheet name="Discrepancy_Added_Txns" sheetId="3" r:id="rId2"/>
    <sheet name="Discrepancy_Dropped_Txns" sheetId="6" r:id="rId3"/>
    <sheet name="New_CP_Pivots" sheetId="7" r:id="rId4"/>
  </sheets>
  <functionGroups builtInGroupCount="19"/>
  <definedNames>
    <definedName name="_xlnm._FilterDatabase" localSheetId="1" hidden="1">Discrepancy_Added_Txns!$B$3:$K$7</definedName>
  </definedNames>
  <calcPr calcId="191029"/>
  <pivotCaches>
    <pivotCache cacheId="124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<sst xmlns="http://schemas.openxmlformats.org/spreadsheetml/2006/main" count="118" uniqueCount="68">
  <si>
    <t>ECM ID</t>
  </si>
  <si>
    <t>Alert ID</t>
  </si>
  <si>
    <t>Old Count</t>
  </si>
  <si>
    <t>New Count</t>
  </si>
  <si>
    <t>Reconciliation Status</t>
  </si>
  <si>
    <t>Transaction ID</t>
  </si>
  <si>
    <t>Is Alerted?</t>
  </si>
  <si>
    <t>Transaction Date</t>
  </si>
  <si>
    <t>Account No</t>
  </si>
  <si>
    <t>Transaction Description</t>
  </si>
  <si>
    <t>Counterparty Name</t>
  </si>
  <si>
    <t>New Counterparty?</t>
  </si>
  <si>
    <t>No</t>
  </si>
  <si>
    <t>Yes</t>
  </si>
  <si>
    <t>Customer Transfer</t>
  </si>
  <si>
    <t>AML TRANSACTION MONITORING - LOOKBACK PERIOD BATCH RECONCILIATION COCKPIT</t>
  </si>
  <si>
    <t>ALERTS EVALUATED</t>
  </si>
  <si>
    <t>AML-PERIOD-COMPARISON-3.2</t>
  </si>
  <si>
    <t>Lookback period change check | New transactions (count and amount) and newly identified counterparties per alert</t>
  </si>
  <si>
    <t>ALERTS WITH NEW TXNS</t>
  </si>
  <si>
    <t>NEW TXNS</t>
  </si>
  <si>
    <t>NEW TXN AMOUNT</t>
  </si>
  <si>
    <t>NEW COUNTERPARTIES</t>
  </si>
  <si>
    <t>Old File Name [sheet]</t>
  </si>
  <si>
    <t>New File Name [sheet]</t>
  </si>
  <si>
    <t>Old Txn Date Range (data | file name)</t>
  </si>
  <si>
    <t>New Txn Date Range (data | file name)</t>
  </si>
  <si>
    <t>New Txns</t>
  </si>
  <si>
    <t>New Txn Amount</t>
  </si>
  <si>
    <t>New Txns Alerted</t>
  </si>
  <si>
    <t>Dropped Txns</t>
  </si>
  <si>
    <t>New CPs</t>
  </si>
  <si>
    <t>New Counterparty Names</t>
  </si>
  <si>
    <t>Old Volume</t>
  </si>
  <si>
    <t>New Volume</t>
  </si>
  <si>
    <t>Narrative Update</t>
  </si>
  <si>
    <t>NEW TRANSACTIONS (IN NEW FILE, NOT IN OLD FILE)</t>
  </si>
  <si>
    <t>Amount</t>
  </si>
  <si>
    <t>DROPPED / EXCLUDED TRANSACTIONS (IN OLD FILE, NOT IN NEW FILE)</t>
  </si>
  <si>
    <t>128411</t>
  </si>
  <si>
    <t>ALERT2352075</t>
  </si>
  <si>
    <t>1857298743</t>
  </si>
  <si>
    <t>MSP8333528485</t>
  </si>
  <si>
    <t>BINH PHUNG</t>
  </si>
  <si>
    <t>2060785750</t>
  </si>
  <si>
    <t>UZU YORKTOWN, LLC</t>
  </si>
  <si>
    <t>2060978663</t>
  </si>
  <si>
    <t>2200183776</t>
  </si>
  <si>
    <t>HE RUN FA LLC</t>
  </si>
  <si>
    <t>128411_ALERT2352075_Lookback Transactions.xlsx  [Transactions_Extract_Dynamic]</t>
  </si>
  <si>
    <t>128411_ALERT2352075_Lookback Transactions (05.01.2025 to 05.31.2026).xlsx  [Lookback Transactions]</t>
  </si>
  <si>
    <t>2026-05-08 to 2026-05-19</t>
  </si>
  <si>
    <t>2025-08-26 to 2026-05-19  |  file: 05.01.2025 to 05.31.2026</t>
  </si>
  <si>
    <t>BINH PHUNG; UZU YORKTOWN, LLC; HE RUN FA LLC</t>
  </si>
  <si>
    <t>NEW TXNS 4 (amount 104,620.28) | NEW CP 3 [ALERT]</t>
  </si>
  <si>
    <t>No dropped transactions.</t>
  </si>
  <si>
    <t>NEWLY IDENTIFIED COUNTERPARTIES PER ALERT</t>
  </si>
  <si>
    <t>ECM 128411  |  ALERT2352075  -  3 new counterparties</t>
  </si>
  <si>
    <t>No of Trx</t>
  </si>
  <si>
    <t>Sum of Transaction Amount</t>
  </si>
  <si>
    <t>Grand Total</t>
  </si>
  <si>
    <t>New Counterparty</t>
  </si>
  <si>
    <t>Sum of new transaction amounts (USD)</t>
  </si>
  <si>
    <t>Updated: 4 value(s) changed, highlighted yellow; 1 item(s) to review in comments -&gt; Updated_Narratives_20260921_011111\128411_ALERT2352075_Qingdao Aikangyuan Environmental Pr_Escalation Narrative.docx</t>
  </si>
  <si>
    <t>Compared: 1 | Unmatched: 0 | Dup files: 0 | Errors: 0</t>
  </si>
  <si>
    <t>Alerts with new counterparties: 1</t>
  </si>
  <si>
    <t>Alerted: 0 | Dropped: 0</t>
  </si>
  <si>
    <t>In 1 alert(s) - see sheet New_CP_Pivots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</si>
</sst>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6" formatCode=";;;"/>
    <numFmt numFmtId="167" formatCode="#,##0.00;\-#,##0.00;0.00"/>
  </numFmts>
  <fonts count="19" x14ac:knownFonts="1">
    <font>
      <sz val="11"/>
      <color theme="1"/>
      <name val="Aptos Narrow"/>
      <family val="2"/>
      <scheme val="minor"/>
    </font>
    <font>
      <b/>
      <sz val="9.5"/>
      <color rgb="FFFFFFFF"/>
      <name val="Segoe UI"/>
      <family val="2"/>
    </font>
    <font>
      <b/>
      <sz val="11"/>
      <color rgb="FFFFFFFF"/>
      <name val="Segoe UI"/>
      <family val="2"/>
    </font>
    <font>
      <sz val="9"/>
      <color theme="1"/>
      <name val="Segoe UI"/>
      <family val="2"/>
    </font>
    <font>
      <b/>
      <sz val="9"/>
      <color rgb="FFEE403E"/>
      <name val="Segoe UI"/>
      <family val="2"/>
    </font>
    <font>
      <b/>
      <sz val="13"/>
      <color rgb="FFFFFFFF"/>
      <name val="Segoe UI"/>
      <family val="2"/>
    </font>
    <font>
      <sz val="9.5"/>
      <color rgb="FF64748B"/>
      <name val="Segoe UI"/>
      <family val="2"/>
    </font>
    <font>
      <b/>
      <sz val="8.5"/>
      <color rgb="FF64748B"/>
      <name val="Segoe UI"/>
      <family val="2"/>
    </font>
    <font>
      <b/>
      <sz val="16"/>
      <color rgb="FF0F172A"/>
      <name val="Segoe UI"/>
      <family val="2"/>
    </font>
    <font>
      <i/>
      <sz val="8"/>
      <color rgb="FF94A3B8"/>
      <name val="Segoe UI"/>
      <family val="2"/>
    </font>
    <font>
      <sz val="9"/>
      <color rgb="FF0F172A"/>
      <name val="Segoe UI"/>
      <family val="2"/>
    </font>
    <font>
      <b/>
      <sz val="9"/>
      <color rgb="FF0F172A"/>
      <name val="Segoe UI"/>
      <family val="2"/>
    </font>
    <font>
      <sz val="9"/>
      <color rgb="FF16AF31"/>
      <name val="Segoe UI"/>
      <family val="2"/>
    </font>
    <font>
      <i/>
      <sz val="9"/>
      <color rgb="FF94A3B8"/>
      <name val="Segoe UI"/>
      <family val="2"/>
    </font>
    <font>
      <sz val="9"/>
      <color rgb="FFEE403E"/>
      <name val="Segoe UI"/>
      <family val="2"/>
    </font>
    <font>
      <b/>
      <sz val="10"/>
      <color rgb="FFEE403E"/>
      <name val="Segoe UI"/>
      <family val="2"/>
    </font>
    <font>
      <b/>
      <sz val="16"/>
      <color rgb="FFEC9F29"/>
      <name val="Segoe UI"/>
      <family val="2"/>
    </font>
    <font>
      <b/>
      <sz val="16"/>
      <color rgb="FF22B9DB"/>
      <name val="Segoe UI"/>
      <family val="2"/>
    </font>
    <font>
      <b/>
      <sz val="16"/>
      <color rgb="FFEE403E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F272A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 style="thin">
        <color rgb="FFF0F0F0"/>
      </top>
      <bottom/>
      <diagonal/>
    </border>
    <border>
      <left/>
      <right/>
      <top style="thin">
        <color rgb="FFF0F0F0"/>
      </top>
      <bottom/>
      <diagonal/>
    </border>
    <border>
      <left/>
      <right style="thin">
        <color rgb="FFF0F0F0"/>
      </right>
      <top style="thin">
        <color rgb="FFF0F0F0"/>
      </top>
      <bottom/>
      <diagonal/>
    </border>
    <border>
      <left style="thin">
        <color rgb="FFF0F0F0"/>
      </left>
      <right/>
      <top/>
      <bottom/>
      <diagonal/>
    </border>
    <border>
      <left/>
      <right style="thin">
        <color rgb="FFF0F0F0"/>
      </right>
      <top/>
      <bottom/>
      <diagonal/>
    </border>
    <border>
      <left style="thin">
        <color rgb="FFF0F0F0"/>
      </left>
      <right/>
      <top/>
      <bottom style="thin">
        <color rgb="FFF0F0F0"/>
      </bottom>
      <diagonal/>
    </border>
    <border>
      <left/>
      <right/>
      <top/>
      <bottom style="thin">
        <color rgb="FFF0F0F0"/>
      </bottom>
      <diagonal/>
    </border>
    <border>
      <left/>
      <right style="thin">
        <color rgb="FFF0F0F0"/>
      </right>
      <top/>
      <bottom style="thin">
        <color rgb="FFF0F0F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6" fontId="0" fillId="0" borderId="0" xfId="0" applyNumberFormat="1"/>
    <xf numFmtId="0" fontId="7" fillId="6" borderId="2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49" fontId="10" fillId="0" borderId="1" xfId="0" applyNumberFormat="1" applyFont="1" applyFill="1" applyBorder="1" applyAlignment="1">
      <alignment horizontal="left" vertical="center"/>
    </xf>
    <xf numFmtId="49" fontId="10" fillId="0" borderId="1" xfId="0" applyNumberFormat="1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7" fontId="10" fillId="0" borderId="1" xfId="0" applyNumberFormat="1" applyFont="1" applyFill="1" applyBorder="1" applyAlignment="1">
      <alignment horizontal="right" vertical="center"/>
    </xf>
    <xf numFmtId="49" fontId="11" fillId="0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center" vertical="center"/>
    </xf>
    <xf numFmtId="3" fontId="10" fillId="0" borderId="1" xfId="0" applyNumberFormat="1" applyFont="1" applyFill="1" applyBorder="1" applyAlignment="1">
      <alignment horizontal="right" vertical="center"/>
    </xf>
    <xf numFmtId="4" fontId="10" fillId="0" borderId="1" xfId="0" applyNumberFormat="1" applyFont="1" applyFill="1" applyBorder="1" applyAlignment="1">
      <alignment horizontal="right" vertical="center"/>
    </xf>
    <xf numFmtId="3" fontId="4" fillId="4" borderId="1" xfId="0" applyNumberFormat="1" applyFont="1" applyFill="1" applyBorder="1" applyAlignment="1">
      <alignment horizontal="right" vertical="center"/>
    </xf>
    <xf numFmtId="4" fontId="4" fillId="0" borderId="1" xfId="0" applyNumberFormat="1" applyFont="1" applyFill="1" applyBorder="1" applyAlignment="1">
      <alignment horizontal="righ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49" fontId="12" fillId="0" borderId="1" xfId="0" applyNumberFormat="1" applyFont="1" applyFill="1" applyBorder="1" applyAlignment="1">
      <alignment horizontal="left" vertical="center"/>
    </xf>
    <xf numFmtId="0" fontId="13" fillId="0" borderId="0" xfId="0" applyFont="1"/>
    <xf numFmtId="49" fontId="3" fillId="0" borderId="1" xfId="0" applyNumberFormat="1" applyFont="1" applyFill="1" applyBorder="1"/>
    <xf numFmtId="0" fontId="14" fillId="0" borderId="1" xfId="0" applyFont="1" applyFill="1" applyBorder="1"/>
    <xf numFmtId="3" fontId="3" fillId="0" borderId="1" xfId="0" applyNumberFormat="1" applyFont="1" applyFill="1" applyBorder="1"/>
    <xf numFmtId="4" fontId="3" fillId="0" borderId="1" xfId="0" applyNumberFormat="1" applyFont="1" applyFill="1" applyBorder="1"/>
    <xf numFmtId="3" fontId="4" fillId="0" borderId="1" xfId="0" applyNumberFormat="1" applyFont="1" applyFill="1" applyBorder="1"/>
    <xf numFmtId="49" fontId="3" fillId="0" borderId="1" xfId="0" applyNumberFormat="1" applyFont="1" applyFill="1" applyBorder="1" applyAlignment="1">
      <alignment horizontal="center"/>
    </xf>
    <xf numFmtId="0" fontId="15" fillId="0" borderId="0" xfId="0" applyFont="1"/>
    <xf numFmtId="0" fontId="0" fillId="0" borderId="0" xfId="0" pivotButton="1"/>
    <xf numFmtId="0" fontId="0" fillId="0" borderId="0" xfId="0" applyNumberFormat="1"/>
    <xf numFmtId="4" fontId="0" fillId="0" borderId="0" xfId="0" applyNumberFormat="1"/>
    <xf numFmtId="0" fontId="16" fillId="6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4" fontId="17" fillId="6" borderId="5" xfId="0" applyNumberFormat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11</xdr:row>
      <xdr:rowOff>25400</xdr:rowOff>
    </xdr:from>
    <xdr:to>
      <xdr:col>2</xdr:col>
      <xdr:colOff>1276350</xdr:colOff>
      <xdr:row>11</xdr:row>
      <xdr:rowOff>355600</xdr:rowOff>
    </xdr:to>
    <xdr:sp macro="[0]!Run_Batch_Comparison" textlink="">
      <xdr:nvSpPr>
        <xdr:cNvPr id="7" name="Btn_Run_Batch_Comparison">
          <a:extLst>
            <a:ext uri="{FF2B5EF4-FFF2-40B4-BE49-F238E27FC236}">
              <a16:creationId xmlns:a16="http://schemas.microsoft.com/office/drawing/2014/main" id="{F1898734-4184-F255-8AA8-0A9E322AD671}"/>
            </a:ext>
          </a:extLst>
        </xdr:cNvPr>
        <xdr:cNvSpPr/>
      </xdr:nvSpPr>
      <xdr:spPr>
        <a:xfrm>
          <a:off x="279400" y="2362200"/>
          <a:ext cx="2273300" cy="330200"/>
        </a:xfrm>
        <a:prstGeom prst="roundRect">
          <a:avLst>
            <a:gd name="adj" fmla="val 20000"/>
          </a:avLst>
        </a:prstGeom>
        <a:solidFill>
          <a:srgbClr val="22B9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[RUN] Run Batch Comparison</a:t>
          </a:r>
        </a:p>
      </xdr:txBody>
    </xdr:sp>
    <xdr:clientData/>
  </xdr:twoCellAnchor>
  <xdr:twoCellAnchor>
    <xdr:from>
      <xdr:col>3</xdr:col>
      <xdr:colOff>25400</xdr:colOff>
      <xdr:row>11</xdr:row>
      <xdr:rowOff>25400</xdr:rowOff>
    </xdr:from>
    <xdr:to>
      <xdr:col>3</xdr:col>
      <xdr:colOff>2533650</xdr:colOff>
      <xdr:row>11</xdr:row>
      <xdr:rowOff>355600</xdr:rowOff>
    </xdr:to>
    <xdr:sp macro="[0]!Run_Single_Pair_Comparison" textlink="">
      <xdr:nvSpPr>
        <xdr:cNvPr id="8" name="Btn_Run_Single_Pair_Comparison">
          <a:extLst>
            <a:ext uri="{FF2B5EF4-FFF2-40B4-BE49-F238E27FC236}">
              <a16:creationId xmlns:a16="http://schemas.microsoft.com/office/drawing/2014/main" id="{412190CF-B622-785D-F7B9-EF5D440174DB}"/>
            </a:ext>
          </a:extLst>
        </xdr:cNvPr>
        <xdr:cNvSpPr/>
      </xdr:nvSpPr>
      <xdr:spPr>
        <a:xfrm>
          <a:off x="2603500" y="2362200"/>
          <a:ext cx="2508250" cy="330200"/>
        </a:xfrm>
        <a:prstGeom prst="roundRect">
          <a:avLst>
            <a:gd name="adj" fmla="val 20000"/>
          </a:avLst>
        </a:prstGeom>
        <a:solidFill>
          <a:srgbClr val="4F46E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[OPEN] Compare Single Pair</a:t>
          </a:r>
        </a:p>
      </xdr:txBody>
    </xdr:sp>
    <xdr:clientData/>
  </xdr:twoCellAnchor>
  <xdr:twoCellAnchor>
    <xdr:from>
      <xdr:col>4</xdr:col>
      <xdr:colOff>25400</xdr:colOff>
      <xdr:row>11</xdr:row>
      <xdr:rowOff>25400</xdr:rowOff>
    </xdr:from>
    <xdr:to>
      <xdr:col>4</xdr:col>
      <xdr:colOff>2533650</xdr:colOff>
      <xdr:row>11</xdr:row>
      <xdr:rowOff>355600</xdr:rowOff>
    </xdr:to>
    <xdr:sp macro="[0]!Export_To_New_Workbook" textlink="">
      <xdr:nvSpPr>
        <xdr:cNvPr id="9" name="Btn_Export_To_New_Workbook">
          <a:extLst>
            <a:ext uri="{FF2B5EF4-FFF2-40B4-BE49-F238E27FC236}">
              <a16:creationId xmlns:a16="http://schemas.microsoft.com/office/drawing/2014/main" id="{4289687E-0BC5-9775-03FA-522F5DF00CA0}"/>
            </a:ext>
          </a:extLst>
        </xdr:cNvPr>
        <xdr:cNvSpPr/>
      </xdr:nvSpPr>
      <xdr:spPr>
        <a:xfrm>
          <a:off x="5162550" y="2362200"/>
          <a:ext cx="2508250" cy="330200"/>
        </a:xfrm>
        <a:prstGeom prst="roundRect">
          <a:avLst>
            <a:gd name="adj" fmla="val 20000"/>
          </a:avLst>
        </a:prstGeom>
        <a:solidFill>
          <a:srgbClr val="1095C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[EXPORT] Export to Workbook</a:t>
          </a:r>
        </a:p>
      </xdr:txBody>
    </xdr:sp>
    <xdr:clientData/>
  </xdr:twoCellAnchor>
  <xdr:twoCellAnchor>
    <xdr:from>
      <xdr:col>5</xdr:col>
      <xdr:colOff>25400</xdr:colOff>
      <xdr:row>11</xdr:row>
      <xdr:rowOff>25400</xdr:rowOff>
    </xdr:from>
    <xdr:to>
      <xdr:col>5</xdr:col>
      <xdr:colOff>3930650</xdr:colOff>
      <xdr:row>11</xdr:row>
      <xdr:rowOff>355600</xdr:rowOff>
    </xdr:to>
    <xdr:sp macro="[0]!View_Added_Transactions" textlink="">
      <xdr:nvSpPr>
        <xdr:cNvPr id="10" name="Btn_View_Added_Transactions">
          <a:extLst>
            <a:ext uri="{FF2B5EF4-FFF2-40B4-BE49-F238E27FC236}">
              <a16:creationId xmlns:a16="http://schemas.microsoft.com/office/drawing/2014/main" id="{5B6103CC-0DE6-C639-3F7C-FA206CC06D86}"/>
            </a:ext>
          </a:extLst>
        </xdr:cNvPr>
        <xdr:cNvSpPr/>
      </xdr:nvSpPr>
      <xdr:spPr>
        <a:xfrm>
          <a:off x="7721600" y="2362200"/>
          <a:ext cx="3905250" cy="330200"/>
        </a:xfrm>
        <a:prstGeom prst="roundRect">
          <a:avLst>
            <a:gd name="adj" fmla="val 20000"/>
          </a:avLst>
        </a:prstGeom>
        <a:solidFill>
          <a:srgbClr val="0D948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[VIEW] New Txns</a:t>
          </a:r>
        </a:p>
      </xdr:txBody>
    </xdr:sp>
    <xdr:clientData/>
  </xdr:twoCellAnchor>
  <xdr:twoCellAnchor>
    <xdr:from>
      <xdr:col>6</xdr:col>
      <xdr:colOff>25400</xdr:colOff>
      <xdr:row>11</xdr:row>
      <xdr:rowOff>25400</xdr:rowOff>
    </xdr:from>
    <xdr:to>
      <xdr:col>6</xdr:col>
      <xdr:colOff>3930650</xdr:colOff>
      <xdr:row>11</xdr:row>
      <xdr:rowOff>355600</xdr:rowOff>
    </xdr:to>
    <xdr:sp macro="[0]!View_New_CP_Pivots" textlink="">
      <xdr:nvSpPr>
        <xdr:cNvPr id="11" name="Btn_View_New_CP_Pivots">
          <a:extLst>
            <a:ext uri="{FF2B5EF4-FFF2-40B4-BE49-F238E27FC236}">
              <a16:creationId xmlns:a16="http://schemas.microsoft.com/office/drawing/2014/main" id="{5ED20EAB-083C-809A-C50F-621AEAB1D00A}"/>
            </a:ext>
          </a:extLst>
        </xdr:cNvPr>
        <xdr:cNvSpPr/>
      </xdr:nvSpPr>
      <xdr:spPr>
        <a:xfrm>
          <a:off x="11677650" y="2362200"/>
          <a:ext cx="3905250" cy="330200"/>
        </a:xfrm>
        <a:prstGeom prst="roundRect">
          <a:avLst>
            <a:gd name="adj" fmla="val 20000"/>
          </a:avLst>
        </a:prstGeom>
        <a:solidFill>
          <a:srgbClr val="0D948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[VIEW] New CP Pivots</a:t>
          </a:r>
        </a:p>
      </xdr:txBody>
    </xdr:sp>
    <xdr:clientData/>
  </xdr:twoCellAnchor>
  <xdr:twoCellAnchor>
    <xdr:from>
      <xdr:col>7</xdr:col>
      <xdr:colOff>25400</xdr:colOff>
      <xdr:row>11</xdr:row>
      <xdr:rowOff>25400</xdr:rowOff>
    </xdr:from>
    <xdr:to>
      <xdr:col>10</xdr:col>
      <xdr:colOff>1136650</xdr:colOff>
      <xdr:row>11</xdr:row>
      <xdr:rowOff>355600</xdr:rowOff>
    </xdr:to>
    <xdr:sp macro="[0]!View_Dropped_Transactions" textlink="">
      <xdr:nvSpPr>
        <xdr:cNvPr id="12" name="Btn_View_Dropped_Transactions">
          <a:extLst>
            <a:ext uri="{FF2B5EF4-FFF2-40B4-BE49-F238E27FC236}">
              <a16:creationId xmlns:a16="http://schemas.microsoft.com/office/drawing/2014/main" id="{3B9EE3C8-A004-27B6-BAB2-AC9B155C9452}"/>
            </a:ext>
          </a:extLst>
        </xdr:cNvPr>
        <xdr:cNvSpPr/>
      </xdr:nvSpPr>
      <xdr:spPr>
        <a:xfrm>
          <a:off x="15633700" y="2362200"/>
          <a:ext cx="3549650" cy="330200"/>
        </a:xfrm>
        <a:prstGeom prst="roundRect">
          <a:avLst>
            <a:gd name="adj" fmla="val 20000"/>
          </a:avLst>
        </a:prstGeom>
        <a:solidFill>
          <a:srgbClr val="0D948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[VIEW] Dropped Txns</a:t>
          </a:r>
        </a:p>
      </xdr:txBody>
    </xdr:sp>
    <xdr:clientData/>
  </xdr:twoCellAnchor>
  <xdr:twoCellAnchor>
    <xdr:from>
      <xdr:col>11</xdr:col>
      <xdr:colOff>25400</xdr:colOff>
      <xdr:row>11</xdr:row>
      <xdr:rowOff>25400</xdr:rowOff>
    </xdr:from>
    <xdr:to>
      <xdr:col>14</xdr:col>
      <xdr:colOff>3511550</xdr:colOff>
      <xdr:row>11</xdr:row>
      <xdr:rowOff>355600</xdr:rowOff>
    </xdr:to>
    <xdr:sp macro="[0]!Clear_Comparison_Dashboard" textlink="">
      <xdr:nvSpPr>
        <xdr:cNvPr id="13" name="Btn_Clear_Comparison_Dashboard">
          <a:extLst>
            <a:ext uri="{FF2B5EF4-FFF2-40B4-BE49-F238E27FC236}">
              <a16:creationId xmlns:a16="http://schemas.microsoft.com/office/drawing/2014/main" id="{662EED1F-4623-6D71-883D-BBB5004A566B}"/>
            </a:ext>
          </a:extLst>
        </xdr:cNvPr>
        <xdr:cNvSpPr/>
      </xdr:nvSpPr>
      <xdr:spPr>
        <a:xfrm>
          <a:off x="19234150" y="2362200"/>
          <a:ext cx="5924550" cy="330200"/>
        </a:xfrm>
        <a:prstGeom prst="roundRect">
          <a:avLst>
            <a:gd name="adj" fmla="val 20000"/>
          </a:avLst>
        </a:prstGeom>
        <a:solidFill>
          <a:srgbClr val="6474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Segoe UI" panose="020B0502040204020203" pitchFamily="34" charset="0"/>
            </a:rPr>
            <a:t>[RESET] Reset Dashboard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wapnil Saha" refreshedDate="46286.049841550928" createdVersion="8" refreshedVersion="8" minRefreshableVersion="3" recordCount="4" xr:uid="{B91AA978-A69F-4D74-95C9-B9BE579665DB}">
  <cacheSource type="worksheet">
    <worksheetSource ref="B3:K7" sheet="Discrepancy_Added_Txns"/>
  </cacheSource>
  <cacheFields count="10">
    <cacheField name="ECM ID" numFmtId="49">
      <sharedItems count="1">
        <s v="128411"/>
      </sharedItems>
    </cacheField>
    <cacheField name="Alert ID" numFmtId="49">
      <sharedItems count="1">
        <s v="ALERT2352075"/>
      </sharedItems>
    </cacheField>
    <cacheField name="Transaction ID" numFmtId="49">
      <sharedItems/>
    </cacheField>
    <cacheField name="Is Alerted?" numFmtId="49">
      <sharedItems/>
    </cacheField>
    <cacheField name="Transaction Date" numFmtId="164">
      <sharedItems containsSemiMixedTypes="0" containsNonDate="0" containsDate="1" containsString="0" minDate="2025-08-26T00:00:00" maxDate="2026-03-05T00:00:00"/>
    </cacheField>
    <cacheField name="Amount" numFmtId="167">
      <sharedItems containsSemiMixedTypes="0" containsString="0" containsNumber="1" minValue="671.28" maxValue="50000"/>
    </cacheField>
    <cacheField name="Account No" numFmtId="49">
      <sharedItems/>
    </cacheField>
    <cacheField name="Transaction Description" numFmtId="49">
      <sharedItems/>
    </cacheField>
    <cacheField name="Counterparty Name" numFmtId="49">
      <sharedItems count="3">
        <s v="BINH PHUNG"/>
        <s v="UZU YORKTOWN, LLC"/>
        <s v="HE RUN FA LLC"/>
      </sharedItems>
    </cacheField>
    <cacheField name="New Counterparty?" numFmtId="49">
      <sharedItems count="1"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s v="1857298743"/>
    <s v="No"/>
    <d v="2025-08-26T00:00:00"/>
    <n v="671.28"/>
    <s v="MSP8333528485"/>
    <s v="Customer Transfer"/>
    <x v="0"/>
    <x v="0"/>
  </r>
  <r>
    <x v="0"/>
    <x v="0"/>
    <s v="2060785750"/>
    <s v="No"/>
    <d v="2025-11-10T00:00:00"/>
    <n v="21067"/>
    <s v="MSP8333528485"/>
    <s v="Customer Transfer"/>
    <x v="1"/>
    <x v="0"/>
  </r>
  <r>
    <x v="0"/>
    <x v="0"/>
    <s v="2060978663"/>
    <s v="No"/>
    <d v="2025-12-04T00:00:00"/>
    <n v="32882"/>
    <s v="MSP8333528485"/>
    <s v="Customer Transfer"/>
    <x v="1"/>
    <x v="0"/>
  </r>
  <r>
    <x v="0"/>
    <x v="0"/>
    <s v="2200183776"/>
    <s v="No"/>
    <d v="2026-03-04T00:00:00"/>
    <n v="50000"/>
    <s v="MSP8333528485"/>
    <s v="Customer Transfer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63E84D-78B4-4B8F-9D58-A8EDEE2A5CD0}" name="NewCP_1" cacheId="12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New Counterparty">
  <location ref="B13:D17" firstHeaderRow="0" firstDataRow="1" firstDataCol="1" rowPageCount="3" colPageCount="1"/>
  <pivotFields count="10"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showAll="0"/>
    <pivotField showAll="0"/>
    <pivotField numFmtId="164" showAll="0"/>
    <pivotField dataField="1" numFmtId="167" showAll="0"/>
    <pivotField showAll="0"/>
    <pivotField showAll="0"/>
    <pivotField axis="axisRow" showAll="0" sortType="descending">
      <items count="4"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showAll="0">
      <items count="2">
        <item x="0"/>
        <item t="default"/>
      </items>
    </pivotField>
  </pivotFields>
  <rowFields count="1">
    <field x="8"/>
  </rowFields>
  <rowItems count="4">
    <i>
      <x v="2"/>
    </i>
    <i>
      <x v="1"/>
    </i>
    <i>
      <x/>
    </i>
    <i t="grand">
      <x/>
    </i>
  </rowItems>
  <colFields count="1">
    <field x="-2"/>
  </colFields>
  <colItems count="2">
    <i>
      <x/>
    </i>
    <i i="1">
      <x v="1"/>
    </i>
  </colItems>
  <pageFields count="3">
    <pageField fld="9" item="0" hier="-1"/>
    <pageField fld="1" item="0" hier="-1"/>
    <pageField fld="0" item="0" hier="-1"/>
  </pageFields>
  <dataFields count="2">
    <dataField name="No of Trx" fld="2" subtotal="count" baseField="0" baseItem="0"/>
    <dataField name="Sum of Transaction Amount" fld="5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1862-45CD-4FDD-9168-2B980D1A20AE}">
  <sheetPr codeName="Sheet1"/>
  <dimension ref="A1:S70"/>
  <sheetViews>
    <sheetView tabSelected="1" zoomScale="55" zoomScaleNormal="55" workbookViewId="0">
      <selection activeCell="I21" sqref="I21"/>
    </sheetView>
  </sheetViews>
  <sheetFormatPr defaultRowHeight="14.5" x14ac:dyDescent="0.35"/>
  <cols>
    <col min="1" max="1" width="3.6328125" customWidth="1"/>
    <col min="2" max="2" width="14.6328125" customWidth="1"/>
    <col min="3" max="3" width="18.6328125" customWidth="1"/>
    <col min="4" max="5" width="36.6328125" customWidth="1"/>
    <col min="6" max="7" width="56.6328125" customWidth="1"/>
    <col min="8" max="10" width="11.6328125" customWidth="1"/>
    <col min="11" max="11" width="16.6328125" customWidth="1"/>
    <col min="12" max="14" width="11.6328125" customWidth="1"/>
    <col min="15" max="15" width="50.6328125" customWidth="1"/>
    <col min="16" max="17" width="16.6328125" customWidth="1"/>
    <col min="18" max="18" width="60.6328125" customWidth="1"/>
    <col min="19" max="19" width="70.6328125" customWidth="1"/>
  </cols>
  <sheetData>
    <row r="1" spans="1:19" ht="12" customHeight="1" x14ac:dyDescent="0.35">
      <c r="A1" s="8" t="s">
        <v>17</v>
      </c>
    </row>
    <row r="2" spans="1:19" ht="12" customHeight="1" x14ac:dyDescent="0.35"/>
    <row r="3" spans="1:19" ht="12" customHeight="1" x14ac:dyDescent="0.35"/>
    <row r="4" spans="1:19" ht="32" customHeight="1" x14ac:dyDescent="0.35">
      <c r="B4" s="6" t="s">
        <v>15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20" customHeight="1" x14ac:dyDescent="0.35">
      <c r="B5" s="7" t="s">
        <v>18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10" customHeight="1" x14ac:dyDescent="0.35"/>
    <row r="7" spans="1:19" ht="22" customHeight="1" x14ac:dyDescent="0.35">
      <c r="B7" s="9" t="s">
        <v>16</v>
      </c>
      <c r="C7" s="10"/>
      <c r="D7" s="11"/>
      <c r="E7" s="9" t="s">
        <v>19</v>
      </c>
      <c r="F7" s="10"/>
      <c r="G7" s="11"/>
      <c r="H7" s="9" t="s">
        <v>20</v>
      </c>
      <c r="I7" s="10"/>
      <c r="J7" s="11"/>
      <c r="K7" s="9" t="s">
        <v>21</v>
      </c>
      <c r="L7" s="10"/>
      <c r="M7" s="11"/>
      <c r="N7" s="9" t="s">
        <v>22</v>
      </c>
      <c r="O7" s="10"/>
      <c r="P7" s="10"/>
      <c r="Q7" s="10"/>
      <c r="R7" s="10"/>
      <c r="S7" s="11"/>
    </row>
    <row r="8" spans="1:19" ht="22" customHeight="1" x14ac:dyDescent="0.35">
      <c r="B8" s="12">
        <v>1</v>
      </c>
      <c r="C8" s="13"/>
      <c r="D8" s="14"/>
      <c r="E8" s="42">
        <v>1</v>
      </c>
      <c r="F8" s="13"/>
      <c r="G8" s="14"/>
      <c r="H8" s="43">
        <v>4</v>
      </c>
      <c r="I8" s="13"/>
      <c r="J8" s="14"/>
      <c r="K8" s="44">
        <v>104620.28</v>
      </c>
      <c r="L8" s="13"/>
      <c r="M8" s="14"/>
      <c r="N8" s="45">
        <v>3</v>
      </c>
      <c r="O8" s="13"/>
      <c r="P8" s="13"/>
      <c r="Q8" s="13"/>
      <c r="R8" s="13"/>
      <c r="S8" s="14"/>
    </row>
    <row r="9" spans="1:19" ht="22" customHeight="1" x14ac:dyDescent="0.35">
      <c r="B9" s="15" t="s">
        <v>64</v>
      </c>
      <c r="C9" s="16"/>
      <c r="D9" s="17"/>
      <c r="E9" s="15" t="s">
        <v>65</v>
      </c>
      <c r="F9" s="16"/>
      <c r="G9" s="17"/>
      <c r="H9" s="15" t="s">
        <v>66</v>
      </c>
      <c r="I9" s="16"/>
      <c r="J9" s="17"/>
      <c r="K9" s="15" t="s">
        <v>62</v>
      </c>
      <c r="L9" s="16"/>
      <c r="M9" s="17"/>
      <c r="N9" s="15" t="s">
        <v>67</v>
      </c>
      <c r="O9" s="16"/>
      <c r="P9" s="16"/>
      <c r="Q9" s="16"/>
      <c r="R9" s="16"/>
      <c r="S9" s="17"/>
    </row>
    <row r="10" spans="1:19" ht="8" customHeight="1" x14ac:dyDescent="0.35"/>
    <row r="11" spans="1:19" ht="12" customHeight="1" x14ac:dyDescent="0.35"/>
    <row r="12" spans="1:19" ht="30" customHeight="1" x14ac:dyDescent="0.35"/>
    <row r="13" spans="1:19" ht="12" customHeight="1" x14ac:dyDescent="0.35"/>
    <row r="14" spans="1:19" ht="30" customHeight="1" x14ac:dyDescent="0.35">
      <c r="B14" s="1" t="s">
        <v>0</v>
      </c>
      <c r="C14" s="1" t="s">
        <v>1</v>
      </c>
      <c r="D14" s="1" t="s">
        <v>23</v>
      </c>
      <c r="E14" s="1" t="s">
        <v>24</v>
      </c>
      <c r="F14" s="1" t="s">
        <v>25</v>
      </c>
      <c r="G14" s="1" t="s">
        <v>26</v>
      </c>
      <c r="H14" s="1" t="s">
        <v>2</v>
      </c>
      <c r="I14" s="1" t="s">
        <v>3</v>
      </c>
      <c r="J14" s="1" t="s">
        <v>27</v>
      </c>
      <c r="K14" s="1" t="s">
        <v>28</v>
      </c>
      <c r="L14" s="1" t="s">
        <v>29</v>
      </c>
      <c r="M14" s="1" t="s">
        <v>30</v>
      </c>
      <c r="N14" s="1" t="s">
        <v>31</v>
      </c>
      <c r="O14" s="1" t="s">
        <v>32</v>
      </c>
      <c r="P14" s="1" t="s">
        <v>33</v>
      </c>
      <c r="Q14" s="1" t="s">
        <v>34</v>
      </c>
      <c r="R14" s="1" t="s">
        <v>4</v>
      </c>
      <c r="S14" s="1" t="s">
        <v>35</v>
      </c>
    </row>
    <row r="15" spans="1:19" ht="22" customHeight="1" x14ac:dyDescent="0.35">
      <c r="B15" s="19" t="s">
        <v>39</v>
      </c>
      <c r="C15" s="18" t="s">
        <v>40</v>
      </c>
      <c r="D15" s="18" t="s">
        <v>49</v>
      </c>
      <c r="E15" s="18" t="s">
        <v>50</v>
      </c>
      <c r="F15" s="19" t="s">
        <v>51</v>
      </c>
      <c r="G15" s="19" t="s">
        <v>52</v>
      </c>
      <c r="H15" s="24">
        <v>4</v>
      </c>
      <c r="I15" s="24">
        <v>8</v>
      </c>
      <c r="J15" s="26">
        <v>4</v>
      </c>
      <c r="K15" s="27">
        <v>104620.28</v>
      </c>
      <c r="L15" s="24">
        <v>0</v>
      </c>
      <c r="M15" s="24">
        <v>0</v>
      </c>
      <c r="N15" s="26">
        <v>3</v>
      </c>
      <c r="O15" s="28" t="s">
        <v>53</v>
      </c>
      <c r="P15" s="25">
        <v>105000</v>
      </c>
      <c r="Q15" s="25">
        <v>209620.28</v>
      </c>
      <c r="R15" s="29" t="s">
        <v>54</v>
      </c>
      <c r="S15" s="30" t="s">
        <v>63</v>
      </c>
    </row>
    <row r="16" spans="1:19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ht="14.5" customHeight="1" x14ac:dyDescent="0.35"/>
    <row r="34" ht="14.5" customHeight="1" x14ac:dyDescent="0.35"/>
    <row r="35" ht="14.5" customHeight="1" x14ac:dyDescent="0.35"/>
    <row r="36" ht="14.5" customHeight="1" x14ac:dyDescent="0.35"/>
    <row r="37" ht="14.5" customHeight="1" x14ac:dyDescent="0.35"/>
    <row r="38" ht="14.5" customHeight="1" x14ac:dyDescent="0.35"/>
    <row r="39" ht="14.5" customHeight="1" x14ac:dyDescent="0.35"/>
    <row r="40" ht="14.5" customHeight="1" x14ac:dyDescent="0.35"/>
    <row r="41" ht="14.5" customHeight="1" x14ac:dyDescent="0.35"/>
    <row r="42" ht="14.5" customHeight="1" x14ac:dyDescent="0.35"/>
    <row r="43" ht="14.5" customHeight="1" x14ac:dyDescent="0.35"/>
    <row r="44" ht="14.5" customHeight="1" x14ac:dyDescent="0.35"/>
    <row r="45" ht="14.5" customHeight="1" x14ac:dyDescent="0.35"/>
    <row r="46" ht="14.5" customHeight="1" x14ac:dyDescent="0.35"/>
    <row r="47" ht="14.5" customHeight="1" x14ac:dyDescent="0.35"/>
    <row r="48" ht="14.5" customHeight="1" x14ac:dyDescent="0.35"/>
    <row r="49" ht="14.5" customHeight="1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  <row r="57" ht="14.5" customHeight="1" x14ac:dyDescent="0.35"/>
    <row r="58" ht="14.5" customHeight="1" x14ac:dyDescent="0.35"/>
    <row r="59" ht="14.5" customHeight="1" x14ac:dyDescent="0.35"/>
    <row r="60" ht="14.5" customHeight="1" x14ac:dyDescent="0.35"/>
    <row r="61" ht="14.5" customHeight="1" x14ac:dyDescent="0.35"/>
    <row r="62" ht="14.5" customHeight="1" x14ac:dyDescent="0.35"/>
    <row r="63" ht="14.5" customHeight="1" x14ac:dyDescent="0.35"/>
    <row r="64" ht="14.5" customHeight="1" x14ac:dyDescent="0.35"/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</sheetData>
  <mergeCells count="17">
    <mergeCell ref="K9:M9"/>
    <mergeCell ref="N7:S7"/>
    <mergeCell ref="N8:S8"/>
    <mergeCell ref="N9:S9"/>
    <mergeCell ref="B9:D9"/>
    <mergeCell ref="E7:G7"/>
    <mergeCell ref="E8:G8"/>
    <mergeCell ref="E9:G9"/>
    <mergeCell ref="H7:J7"/>
    <mergeCell ref="H8:J8"/>
    <mergeCell ref="H9:J9"/>
    <mergeCell ref="B4:S4"/>
    <mergeCell ref="B5:S5"/>
    <mergeCell ref="B7:D7"/>
    <mergeCell ref="B8:D8"/>
    <mergeCell ref="K7:M7"/>
    <mergeCell ref="K8:M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3F99-7015-43C2-A00D-4E0A5DDCDEBA}">
  <sheetPr codeName="Sheet3"/>
  <dimension ref="B1:K7"/>
  <sheetViews>
    <sheetView zoomScale="70" zoomScaleNormal="70" workbookViewId="0">
      <selection activeCell="C10" sqref="C10"/>
    </sheetView>
  </sheetViews>
  <sheetFormatPr defaultRowHeight="14.5" x14ac:dyDescent="0.35"/>
  <cols>
    <col min="1" max="1" width="3.6328125" customWidth="1"/>
    <col min="2" max="2" width="14.6328125" customWidth="1"/>
    <col min="3" max="3" width="18.6328125" customWidth="1"/>
    <col min="4" max="4" width="16.6328125" customWidth="1"/>
    <col min="5" max="5" width="12.6328125" customWidth="1"/>
    <col min="6" max="6" width="14.6328125" customWidth="1"/>
    <col min="7" max="7" width="16.6328125" customWidth="1"/>
    <col min="8" max="8" width="22.6328125" customWidth="1"/>
    <col min="9" max="9" width="28.6328125" customWidth="1"/>
    <col min="10" max="10" width="34.6328125" customWidth="1"/>
    <col min="11" max="11" width="18.6328125" customWidth="1"/>
  </cols>
  <sheetData>
    <row r="1" spans="2:11" ht="28" customHeight="1" x14ac:dyDescent="0.35">
      <c r="B1" s="4" t="s">
        <v>36</v>
      </c>
      <c r="C1" s="5"/>
      <c r="D1" s="5"/>
      <c r="E1" s="5"/>
      <c r="F1" s="5"/>
      <c r="G1" s="5"/>
      <c r="H1" s="5"/>
      <c r="I1" s="5"/>
      <c r="J1" s="5"/>
      <c r="K1" s="5"/>
    </row>
    <row r="2" spans="2:11" ht="8" customHeight="1" x14ac:dyDescent="0.35"/>
    <row r="3" spans="2:11" ht="24" customHeight="1" x14ac:dyDescent="0.35">
      <c r="B3" s="2" t="s">
        <v>0</v>
      </c>
      <c r="C3" s="2" t="s">
        <v>1</v>
      </c>
      <c r="D3" s="2" t="s">
        <v>5</v>
      </c>
      <c r="E3" s="2" t="s">
        <v>6</v>
      </c>
      <c r="F3" s="2" t="s">
        <v>7</v>
      </c>
      <c r="G3" s="2" t="s">
        <v>37</v>
      </c>
      <c r="H3" s="2" t="s">
        <v>8</v>
      </c>
      <c r="I3" s="2" t="s">
        <v>9</v>
      </c>
      <c r="J3" s="2" t="s">
        <v>10</v>
      </c>
      <c r="K3" s="2" t="s">
        <v>11</v>
      </c>
    </row>
    <row r="4" spans="2:11" x14ac:dyDescent="0.35">
      <c r="B4" s="19" t="s">
        <v>39</v>
      </c>
      <c r="C4" s="18" t="s">
        <v>40</v>
      </c>
      <c r="D4" s="19" t="s">
        <v>41</v>
      </c>
      <c r="E4" s="19" t="s">
        <v>12</v>
      </c>
      <c r="F4" s="20">
        <v>45895</v>
      </c>
      <c r="G4" s="21">
        <v>671.28</v>
      </c>
      <c r="H4" s="18" t="s">
        <v>42</v>
      </c>
      <c r="I4" s="18" t="s">
        <v>14</v>
      </c>
      <c r="J4" s="22" t="s">
        <v>43</v>
      </c>
      <c r="K4" s="23" t="s">
        <v>13</v>
      </c>
    </row>
    <row r="5" spans="2:11" x14ac:dyDescent="0.35">
      <c r="B5" s="19" t="s">
        <v>39</v>
      </c>
      <c r="C5" s="18" t="s">
        <v>40</v>
      </c>
      <c r="D5" s="19" t="s">
        <v>44</v>
      </c>
      <c r="E5" s="19" t="s">
        <v>12</v>
      </c>
      <c r="F5" s="20">
        <v>45971</v>
      </c>
      <c r="G5" s="21">
        <v>21067</v>
      </c>
      <c r="H5" s="18" t="s">
        <v>42</v>
      </c>
      <c r="I5" s="18" t="s">
        <v>14</v>
      </c>
      <c r="J5" s="22" t="s">
        <v>45</v>
      </c>
      <c r="K5" s="23" t="s">
        <v>13</v>
      </c>
    </row>
    <row r="6" spans="2:11" x14ac:dyDescent="0.35">
      <c r="B6" s="19" t="s">
        <v>39</v>
      </c>
      <c r="C6" s="18" t="s">
        <v>40</v>
      </c>
      <c r="D6" s="19" t="s">
        <v>46</v>
      </c>
      <c r="E6" s="19" t="s">
        <v>12</v>
      </c>
      <c r="F6" s="20">
        <v>45995</v>
      </c>
      <c r="G6" s="21">
        <v>32882</v>
      </c>
      <c r="H6" s="18" t="s">
        <v>42</v>
      </c>
      <c r="I6" s="18" t="s">
        <v>14</v>
      </c>
      <c r="J6" s="22" t="s">
        <v>45</v>
      </c>
      <c r="K6" s="23" t="s">
        <v>13</v>
      </c>
    </row>
    <row r="7" spans="2:11" x14ac:dyDescent="0.35">
      <c r="B7" s="19" t="s">
        <v>39</v>
      </c>
      <c r="C7" s="18" t="s">
        <v>40</v>
      </c>
      <c r="D7" s="19" t="s">
        <v>47</v>
      </c>
      <c r="E7" s="19" t="s">
        <v>12</v>
      </c>
      <c r="F7" s="20">
        <v>46085</v>
      </c>
      <c r="G7" s="21">
        <v>50000</v>
      </c>
      <c r="H7" s="18" t="s">
        <v>42</v>
      </c>
      <c r="I7" s="18" t="s">
        <v>14</v>
      </c>
      <c r="J7" s="22" t="s">
        <v>48</v>
      </c>
      <c r="K7" s="23" t="s">
        <v>13</v>
      </c>
    </row>
  </sheetData>
  <autoFilter ref="B3:K7" xr:uid="{35FB3F99-7015-43C2-A00D-4E0A5DDCDEBA}"/>
  <mergeCells count="1">
    <mergeCell ref="B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361F-535A-4429-BBC2-E4CCC1C6A9A7}">
  <sheetPr codeName="Sheet2"/>
  <dimension ref="B1:J4"/>
  <sheetViews>
    <sheetView workbookViewId="0"/>
  </sheetViews>
  <sheetFormatPr defaultRowHeight="14.5" x14ac:dyDescent="0.35"/>
  <cols>
    <col min="1" max="1" width="3.6328125" customWidth="1"/>
    <col min="2" max="2" width="14.6328125" customWidth="1"/>
    <col min="3" max="3" width="18.6328125" customWidth="1"/>
    <col min="4" max="4" width="16.6328125" customWidth="1"/>
    <col min="5" max="5" width="12.6328125" customWidth="1"/>
    <col min="6" max="6" width="14.6328125" customWidth="1"/>
    <col min="7" max="7" width="16.6328125" customWidth="1"/>
    <col min="8" max="8" width="22.6328125" customWidth="1"/>
    <col min="9" max="9" width="28.6328125" customWidth="1"/>
    <col min="10" max="10" width="34.6328125" customWidth="1"/>
  </cols>
  <sheetData>
    <row r="1" spans="2:10" ht="28" customHeight="1" x14ac:dyDescent="0.35">
      <c r="B1" s="4" t="s">
        <v>38</v>
      </c>
      <c r="C1" s="5"/>
      <c r="D1" s="5"/>
      <c r="E1" s="5"/>
      <c r="F1" s="5"/>
      <c r="G1" s="5"/>
      <c r="H1" s="5"/>
      <c r="I1" s="5"/>
      <c r="J1" s="5"/>
    </row>
    <row r="2" spans="2:10" ht="8" customHeight="1" x14ac:dyDescent="0.35"/>
    <row r="3" spans="2:10" ht="24" customHeight="1" x14ac:dyDescent="0.35">
      <c r="B3" s="2" t="s">
        <v>0</v>
      </c>
      <c r="C3" s="2" t="s">
        <v>1</v>
      </c>
      <c r="D3" s="2" t="s">
        <v>5</v>
      </c>
      <c r="E3" s="2" t="s">
        <v>6</v>
      </c>
      <c r="F3" s="2" t="s">
        <v>7</v>
      </c>
      <c r="G3" s="2" t="s">
        <v>37</v>
      </c>
      <c r="H3" s="2" t="s">
        <v>8</v>
      </c>
      <c r="I3" s="2" t="s">
        <v>9</v>
      </c>
      <c r="J3" s="2" t="s">
        <v>10</v>
      </c>
    </row>
    <row r="4" spans="2:10" ht="15" x14ac:dyDescent="0.4">
      <c r="B4" s="31" t="s">
        <v>55</v>
      </c>
    </row>
  </sheetData>
  <mergeCells count="1">
    <mergeCell ref="B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FDDD-630A-43EF-9738-0E72B223584E}">
  <sheetPr codeName="Sheet4"/>
  <dimension ref="B1:G17"/>
  <sheetViews>
    <sheetView workbookViewId="0"/>
  </sheetViews>
  <sheetFormatPr defaultRowHeight="14.5" x14ac:dyDescent="0.35"/>
  <cols>
    <col min="1" max="1" width="3.6328125" customWidth="1"/>
    <col min="2" max="2" width="18.453125" bestFit="1" customWidth="1"/>
    <col min="3" max="3" width="15.1796875" bestFit="1" customWidth="1"/>
    <col min="4" max="4" width="24" bestFit="1" customWidth="1"/>
    <col min="5" max="5" width="16.6328125" customWidth="1"/>
    <col min="6" max="6" width="12.6328125" customWidth="1"/>
    <col min="7" max="7" width="70.6328125" customWidth="1"/>
  </cols>
  <sheetData>
    <row r="1" spans="2:7" ht="28" customHeight="1" x14ac:dyDescent="0.35">
      <c r="B1" s="4" t="s">
        <v>56</v>
      </c>
      <c r="C1" s="5"/>
      <c r="D1" s="5"/>
      <c r="E1" s="5"/>
      <c r="F1" s="5"/>
      <c r="G1" s="5"/>
    </row>
    <row r="3" spans="2:7" x14ac:dyDescent="0.35">
      <c r="B3" s="2" t="s">
        <v>0</v>
      </c>
      <c r="C3" s="2" t="s">
        <v>1</v>
      </c>
      <c r="D3" s="2" t="s">
        <v>27</v>
      </c>
      <c r="E3" s="2" t="s">
        <v>28</v>
      </c>
      <c r="F3" s="2" t="s">
        <v>31</v>
      </c>
      <c r="G3" s="2" t="s">
        <v>32</v>
      </c>
    </row>
    <row r="4" spans="2:7" ht="15" x14ac:dyDescent="0.4">
      <c r="B4" s="37" t="s">
        <v>39</v>
      </c>
      <c r="C4" s="32" t="s">
        <v>40</v>
      </c>
      <c r="D4" s="34">
        <v>4</v>
      </c>
      <c r="E4" s="35">
        <v>104620.28</v>
      </c>
      <c r="F4" s="36">
        <v>3</v>
      </c>
      <c r="G4" s="33" t="s">
        <v>53</v>
      </c>
    </row>
    <row r="7" spans="2:7" ht="16" x14ac:dyDescent="0.45">
      <c r="B7" s="38" t="s">
        <v>57</v>
      </c>
    </row>
    <row r="9" spans="2:7" x14ac:dyDescent="0.35">
      <c r="B9" s="39" t="s">
        <v>11</v>
      </c>
      <c r="C9" t="s">
        <v>13</v>
      </c>
    </row>
    <row r="10" spans="2:7" x14ac:dyDescent="0.35">
      <c r="B10" s="39" t="s">
        <v>1</v>
      </c>
      <c r="C10" t="s">
        <v>40</v>
      </c>
    </row>
    <row r="11" spans="2:7" x14ac:dyDescent="0.35">
      <c r="B11" s="39" t="s">
        <v>0</v>
      </c>
      <c r="C11" t="s">
        <v>39</v>
      </c>
    </row>
    <row r="13" spans="2:7" x14ac:dyDescent="0.35">
      <c r="B13" s="39" t="s">
        <v>61</v>
      </c>
      <c r="C13" t="s">
        <v>58</v>
      </c>
      <c r="D13" t="s">
        <v>59</v>
      </c>
    </row>
    <row r="14" spans="2:7" x14ac:dyDescent="0.35">
      <c r="B14" s="3" t="s">
        <v>45</v>
      </c>
      <c r="C14" s="40">
        <v>2</v>
      </c>
      <c r="D14" s="41">
        <v>53949</v>
      </c>
    </row>
    <row r="15" spans="2:7" x14ac:dyDescent="0.35">
      <c r="B15" s="3" t="s">
        <v>48</v>
      </c>
      <c r="C15" s="40">
        <v>1</v>
      </c>
      <c r="D15" s="41">
        <v>50000</v>
      </c>
    </row>
    <row r="16" spans="2:7" x14ac:dyDescent="0.35">
      <c r="B16" s="3" t="s">
        <v>43</v>
      </c>
      <c r="C16" s="40">
        <v>1</v>
      </c>
      <c r="D16" s="41">
        <v>671.28</v>
      </c>
    </row>
    <row r="17" spans="2:4" x14ac:dyDescent="0.35">
      <c r="B17" s="3" t="s">
        <v>60</v>
      </c>
      <c r="C17" s="40">
        <v>4</v>
      </c>
      <c r="D17" s="41">
        <v>104620.28</v>
      </c>
    </row>
  </sheetData>
  <mergeCells count="1">
    <mergeCell ref="B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Comparison Dashboard</vt:lpstr>
      <vt:lpstr>Discrepancy_Added_Txns</vt:lpstr>
      <vt:lpstr>Discrepancy_Dropped_Txns</vt:lpstr>
      <vt:lpstr>New_CP_Pivots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Swapnil Saha</dc:creator>
  <cp:lastModifiedBy>Swapnil Saha</cp:lastModifiedBy>
  <dcterms:created xsi:type="dcterms:W3CDTF">2026-09-18T15:00:54Z</dcterms:created>
  <dcterms:modified xsi:type="dcterms:W3CDTF">2026-09-20T19:42:16Z</dcterms:modified>
</cp:coreProperties>
</file>