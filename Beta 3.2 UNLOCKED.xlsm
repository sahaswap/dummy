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cfsb-my.sharepoint.com/personal/ssaha_cfsb_com/Documents/Desktop/"/>
    </mc:Choice>
  </mc:AlternateContent>
  <xr:revisionPtr revIDLastSave="13836" documentId="11_11213107CA3180E9AA8E033233A3A38B725FED56" xr6:coauthVersionLast="47" xr6:coauthVersionMax="47" xr10:uidLastSave="{402A086B-8099-4AAA-9020-3C48470A04EF}"/>
  <workbookProtection workbookAlgorithmName="SHA-512" workbookHashValue="Z4civGkCzh8jgGZiS/eTErRA0EtHsb1QKNJUw8TwepQcoTfQ1rB3QAaIRoL33ApCE6da4L1ISfGRu2tEEpYnbA==" workbookSaltValue="UACFAr8czN3eDKV24tJvvg==" workbookSpinCount="100000" lockStructure="1"/>
  <bookViews>
    <workbookView xWindow="-110" yWindow="-110" windowWidth="19420" windowHeight="11500" firstSheet="3" activeTab="3" xr2:uid="{00000000-000D-0000-FFFF-FFFF00000000}"/>
  </bookViews>
  <sheets>
    <sheet name="Sheet1" sheetId="1" r:id="rId1"/>
    <sheet name="Search Matrix" sheetId="18" r:id="rId2"/>
    <sheet name="Backend_Settings" sheetId="2" r:id="rId3"/>
    <sheet name="ConsolidatedData" sheetId="3" r:id="rId4"/>
    <sheet name="Audit_Log" sheetId="4" r:id="rId5"/>
    <sheet name="Sheet7" sheetId="5" r:id="rId6"/>
    <sheet name="Rule_DB" sheetId="6" r:id="rId7"/>
    <sheet name="Program_Library" sheetId="7" r:id="rId8"/>
    <sheet name="Template_DB" sheetId="8" r:id="rId9"/>
    <sheet name="Language_Bits" sheetId="9" r:id="rId10"/>
  </sheets>
  <functionGroups builtInGroupCount="19"/>
  <externalReferences>
    <externalReference r:id="rId11"/>
  </externalReferences>
  <definedNames>
    <definedName name="_xleta.ADDRESS" hidden="1" xlm="1">#NAME?</definedName>
    <definedName name="_xleta.AND" hidden="1" xlm="1">#NAME?</definedName>
    <definedName name="_xleta.COUNT" hidden="1" xlm="1">#NAME?</definedName>
    <definedName name="_xleta.FIND" hidden="1" xlm="1">#NAME?</definedName>
    <definedName name="_xleta.MIN" hidden="1" xlm="1">#NAME?</definedName>
    <definedName name="_xleta.SHEET" hidden="1" xlm="1">#NAME?</definedName>
    <definedName name="_xleta.XLOOKUP" hidden="1" xlm="1">#NAME?</definedName>
    <definedName name="_xlpm.AlertText" hidden="1" xlm="1">#NAME?</definedName>
    <definedName name="_xlpm.AllAlerts" hidden="1" xlm="1">#NAME?</definedName>
    <definedName name="_xlpm.RuleCodes" hidden="1" xlm="1">#NAME?</definedName>
    <definedName name="_xlpm.SplitNames" hidden="1" xlm="1">#NAME?</definedName>
    <definedName name="Crypto">Template_DB!$A$5:$A$6</definedName>
    <definedName name="ScenarioOptions" localSheetId="1">Sheet7!$Z$1</definedName>
    <definedName name="ScenarioOptions">Sheet7!$Z$1</definedName>
    <definedName name="TemplatesRFI" localSheetId="1">[1]Sheet7!$E$8:$E$10</definedName>
    <definedName name="TemplatesRFI">Sheet7!$E$8:$E$10</definedName>
    <definedName name="TemplatesStandard" localSheetId="1">[1]Sheet7!$D$8:$D$10</definedName>
    <definedName name="TemplatesStandard">Sheet7!$D$8:$D$10</definedName>
    <definedName name="Wise">Sheet7!$Z$1</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4" i="3" l="1"/>
  <c r="AQ3" i="3"/>
  <c r="AQ2" i="3"/>
  <c r="F36" i="18"/>
  <c r="A36" i="18"/>
  <c r="F35" i="18"/>
  <c r="M35" i="18" s="1"/>
  <c r="A35" i="18"/>
  <c r="F34" i="18"/>
  <c r="D34" i="18" s="1"/>
  <c r="A34" i="18"/>
  <c r="F33" i="18"/>
  <c r="D33" i="18" s="1"/>
  <c r="A33" i="18"/>
  <c r="F32" i="18"/>
  <c r="M32" i="18" s="1"/>
  <c r="A32" i="18"/>
  <c r="F31" i="18"/>
  <c r="M31" i="18" s="1"/>
  <c r="A31" i="18"/>
  <c r="F30" i="18"/>
  <c r="A30" i="18"/>
  <c r="F29" i="18"/>
  <c r="M29" i="18" s="1"/>
  <c r="A29" i="18"/>
  <c r="F28" i="18"/>
  <c r="D28" i="18" s="1"/>
  <c r="A28" i="18"/>
  <c r="F27" i="18"/>
  <c r="G27" i="18" s="1"/>
  <c r="H27" i="18" s="1"/>
  <c r="I27" i="18" s="1"/>
  <c r="J27" i="18" s="1"/>
  <c r="K27" i="18" s="1"/>
  <c r="L27" i="18" s="1"/>
  <c r="C27" i="18" s="1"/>
  <c r="A27" i="18"/>
  <c r="F26" i="18"/>
  <c r="A26" i="18"/>
  <c r="F25" i="18"/>
  <c r="A25" i="18"/>
  <c r="F24" i="18"/>
  <c r="M24" i="18" s="1"/>
  <c r="A24" i="18"/>
  <c r="F23" i="18"/>
  <c r="M23" i="18" s="1"/>
  <c r="A23" i="18"/>
  <c r="F22" i="18"/>
  <c r="A22" i="18"/>
  <c r="F21" i="18"/>
  <c r="G21" i="18" s="1"/>
  <c r="H21" i="18" s="1"/>
  <c r="I21" i="18" s="1"/>
  <c r="J21" i="18" s="1"/>
  <c r="K21" i="18" s="1"/>
  <c r="L21" i="18" s="1"/>
  <c r="C21" i="18" s="1"/>
  <c r="A21" i="18"/>
  <c r="F20" i="18"/>
  <c r="A20" i="18"/>
  <c r="F19" i="18"/>
  <c r="M19" i="18" s="1"/>
  <c r="A19" i="18"/>
  <c r="F18" i="18"/>
  <c r="A18" i="18"/>
  <c r="F17" i="18"/>
  <c r="M17" i="18" s="1"/>
  <c r="A17" i="18"/>
  <c r="F16" i="18"/>
  <c r="A16" i="18"/>
  <c r="F15" i="18"/>
  <c r="G15" i="18" s="1"/>
  <c r="H15" i="18" s="1"/>
  <c r="I15" i="18" s="1"/>
  <c r="J15" i="18" s="1"/>
  <c r="K15" i="18" s="1"/>
  <c r="L15" i="18" s="1"/>
  <c r="C15" i="18" s="1"/>
  <c r="A15" i="18"/>
  <c r="F14" i="18"/>
  <c r="A14" i="18"/>
  <c r="F13" i="18"/>
  <c r="G13" i="18" s="1"/>
  <c r="H13" i="18" s="1"/>
  <c r="I13" i="18" s="1"/>
  <c r="J13" i="18" s="1"/>
  <c r="K13" i="18" s="1"/>
  <c r="L13" i="18" s="1"/>
  <c r="C13" i="18" s="1"/>
  <c r="A13" i="18"/>
  <c r="F12" i="18"/>
  <c r="A12" i="18"/>
  <c r="F11" i="18"/>
  <c r="M11" i="18" s="1"/>
  <c r="A11" i="18"/>
  <c r="F10" i="18"/>
  <c r="A10" i="18"/>
  <c r="F9" i="18"/>
  <c r="A9" i="18"/>
  <c r="F8" i="18"/>
  <c r="A8" i="18"/>
  <c r="F7" i="18"/>
  <c r="M7" i="18" s="1"/>
  <c r="A7" i="18"/>
  <c r="F6" i="18"/>
  <c r="A6" i="18"/>
  <c r="F5" i="18"/>
  <c r="G5" i="18" s="1"/>
  <c r="H5" i="18" s="1"/>
  <c r="I5" i="18" s="1"/>
  <c r="J5" i="18" s="1"/>
  <c r="K5" i="18" s="1"/>
  <c r="L5" i="18" s="1"/>
  <c r="C5" i="18" s="1"/>
  <c r="A5" i="18"/>
  <c r="F4" i="18"/>
  <c r="A4" i="18"/>
  <c r="F3" i="18"/>
  <c r="M3" i="18" s="1"/>
  <c r="A3" i="18"/>
  <c r="F2" i="18"/>
  <c r="A2" i="18"/>
  <c r="G35" i="18" l="1"/>
  <c r="H35" i="18" s="1"/>
  <c r="I35" i="18" s="1"/>
  <c r="J35" i="18" s="1"/>
  <c r="K35" i="18" s="1"/>
  <c r="L35" i="18" s="1"/>
  <c r="C35" i="18" s="1"/>
  <c r="M15" i="18"/>
  <c r="M21" i="18"/>
  <c r="G23" i="18"/>
  <c r="H23" i="18" s="1"/>
  <c r="I23" i="18" s="1"/>
  <c r="J23" i="18" s="1"/>
  <c r="K23" i="18" s="1"/>
  <c r="L23" i="18" s="1"/>
  <c r="C23" i="18" s="1"/>
  <c r="M25" i="18"/>
  <c r="M13" i="18"/>
  <c r="G33" i="18"/>
  <c r="H33" i="18" s="1"/>
  <c r="I33" i="18" s="1"/>
  <c r="J33" i="18" s="1"/>
  <c r="K33" i="18" s="1"/>
  <c r="L33" i="18" s="1"/>
  <c r="C33" i="18" s="1"/>
  <c r="M33" i="18"/>
  <c r="M27" i="18"/>
  <c r="N27" i="18" s="1"/>
  <c r="G9" i="18"/>
  <c r="H9" i="18" s="1"/>
  <c r="I9" i="18" s="1"/>
  <c r="J9" i="18" s="1"/>
  <c r="K9" i="18" s="1"/>
  <c r="L9" i="18" s="1"/>
  <c r="C9" i="18" s="1"/>
  <c r="G31" i="18"/>
  <c r="H31" i="18" s="1"/>
  <c r="I31" i="18" s="1"/>
  <c r="J31" i="18" s="1"/>
  <c r="K31" i="18" s="1"/>
  <c r="L31" i="18" s="1"/>
  <c r="C31" i="18" s="1"/>
  <c r="M9" i="18"/>
  <c r="M36" i="18"/>
  <c r="D29" i="18"/>
  <c r="G17" i="18"/>
  <c r="H17" i="18" s="1"/>
  <c r="I17" i="18" s="1"/>
  <c r="J17" i="18" s="1"/>
  <c r="K17" i="18" s="1"/>
  <c r="L17" i="18" s="1"/>
  <c r="C17" i="18" s="1"/>
  <c r="M28" i="18"/>
  <c r="M30" i="18"/>
  <c r="D27" i="18"/>
  <c r="G25" i="18"/>
  <c r="H25" i="18" s="1"/>
  <c r="I25" i="18" s="1"/>
  <c r="J25" i="18" s="1"/>
  <c r="K25" i="18" s="1"/>
  <c r="L25" i="18" s="1"/>
  <c r="C25" i="18" s="1"/>
  <c r="G29" i="18"/>
  <c r="H29" i="18" s="1"/>
  <c r="I29" i="18" s="1"/>
  <c r="J29" i="18" s="1"/>
  <c r="K29" i="18" s="1"/>
  <c r="L29" i="18" s="1"/>
  <c r="C29" i="18" s="1"/>
  <c r="M34" i="18"/>
  <c r="G19" i="18"/>
  <c r="H19" i="18" s="1"/>
  <c r="I19" i="18" s="1"/>
  <c r="J19" i="18" s="1"/>
  <c r="K19" i="18" s="1"/>
  <c r="L19" i="18" s="1"/>
  <c r="C19" i="18" s="1"/>
  <c r="M26" i="18"/>
  <c r="G7" i="18"/>
  <c r="H7" i="18" s="1"/>
  <c r="I7" i="18" s="1"/>
  <c r="J7" i="18" s="1"/>
  <c r="K7" i="18" s="1"/>
  <c r="L7" i="18" s="1"/>
  <c r="C7" i="18" s="1"/>
  <c r="G11" i="18"/>
  <c r="H11" i="18" s="1"/>
  <c r="I11" i="18" s="1"/>
  <c r="J11" i="18" s="1"/>
  <c r="K11" i="18" s="1"/>
  <c r="L11" i="18" s="1"/>
  <c r="C11" i="18" s="1"/>
  <c r="G3" i="18"/>
  <c r="H3" i="18" s="1"/>
  <c r="I3" i="18" s="1"/>
  <c r="J3" i="18" s="1"/>
  <c r="K3" i="18" s="1"/>
  <c r="L3" i="18" s="1"/>
  <c r="C3" i="18" s="1"/>
  <c r="M5" i="18"/>
  <c r="M10" i="18"/>
  <c r="G10" i="18"/>
  <c r="H10" i="18" s="1"/>
  <c r="I10" i="18" s="1"/>
  <c r="J10" i="18" s="1"/>
  <c r="K10" i="18" s="1"/>
  <c r="L10" i="18" s="1"/>
  <c r="C10" i="18" s="1"/>
  <c r="M4" i="18"/>
  <c r="G4" i="18"/>
  <c r="H4" i="18" s="1"/>
  <c r="I4" i="18" s="1"/>
  <c r="J4" i="18" s="1"/>
  <c r="K4" i="18" s="1"/>
  <c r="L4" i="18" s="1"/>
  <c r="C4" i="18" s="1"/>
  <c r="M8" i="18"/>
  <c r="G8" i="18"/>
  <c r="H8" i="18" s="1"/>
  <c r="I8" i="18" s="1"/>
  <c r="J8" i="18" s="1"/>
  <c r="K8" i="18" s="1"/>
  <c r="L8" i="18" s="1"/>
  <c r="C8" i="18" s="1"/>
  <c r="M16" i="18"/>
  <c r="G16" i="18"/>
  <c r="H16" i="18" s="1"/>
  <c r="I16" i="18" s="1"/>
  <c r="J16" i="18" s="1"/>
  <c r="K16" i="18" s="1"/>
  <c r="L16" i="18" s="1"/>
  <c r="C16" i="18" s="1"/>
  <c r="N32" i="18"/>
  <c r="D32" i="18" s="1"/>
  <c r="M20" i="18"/>
  <c r="G20" i="18"/>
  <c r="H20" i="18" s="1"/>
  <c r="I20" i="18" s="1"/>
  <c r="J20" i="18" s="1"/>
  <c r="K20" i="18" s="1"/>
  <c r="L20" i="18" s="1"/>
  <c r="C20" i="18" s="1"/>
  <c r="M2" i="18"/>
  <c r="G2" i="18"/>
  <c r="H2" i="18" s="1"/>
  <c r="I2" i="18" s="1"/>
  <c r="J2" i="18" s="1"/>
  <c r="K2" i="18" s="1"/>
  <c r="L2" i="18" s="1"/>
  <c r="C2" i="18" s="1"/>
  <c r="M6" i="18"/>
  <c r="G6" i="18"/>
  <c r="H6" i="18" s="1"/>
  <c r="I6" i="18" s="1"/>
  <c r="J6" i="18" s="1"/>
  <c r="K6" i="18" s="1"/>
  <c r="L6" i="18" s="1"/>
  <c r="C6" i="18" s="1"/>
  <c r="M22" i="18"/>
  <c r="G22" i="18"/>
  <c r="H22" i="18" s="1"/>
  <c r="I22" i="18" s="1"/>
  <c r="J22" i="18" s="1"/>
  <c r="K22" i="18" s="1"/>
  <c r="L22" i="18" s="1"/>
  <c r="C22" i="18" s="1"/>
  <c r="M18" i="18"/>
  <c r="N19" i="18" s="1"/>
  <c r="D19" i="18" s="1"/>
  <c r="G18" i="18"/>
  <c r="H18" i="18" s="1"/>
  <c r="I18" i="18" s="1"/>
  <c r="J18" i="18" s="1"/>
  <c r="K18" i="18" s="1"/>
  <c r="L18" i="18" s="1"/>
  <c r="C18" i="18" s="1"/>
  <c r="M12" i="18"/>
  <c r="G12" i="18"/>
  <c r="H12" i="18" s="1"/>
  <c r="I12" i="18" s="1"/>
  <c r="J12" i="18" s="1"/>
  <c r="K12" i="18" s="1"/>
  <c r="L12" i="18" s="1"/>
  <c r="C12" i="18" s="1"/>
  <c r="M14" i="18"/>
  <c r="G14" i="18"/>
  <c r="H14" i="18" s="1"/>
  <c r="I14" i="18" s="1"/>
  <c r="J14" i="18" s="1"/>
  <c r="K14" i="18" s="1"/>
  <c r="L14" i="18" s="1"/>
  <c r="C14" i="18" s="1"/>
  <c r="G24" i="18"/>
  <c r="H24" i="18" s="1"/>
  <c r="I24" i="18" s="1"/>
  <c r="J24" i="18" s="1"/>
  <c r="K24" i="18" s="1"/>
  <c r="L24" i="18" s="1"/>
  <c r="C24" i="18" s="1"/>
  <c r="G26" i="18"/>
  <c r="H26" i="18" s="1"/>
  <c r="I26" i="18" s="1"/>
  <c r="J26" i="18" s="1"/>
  <c r="K26" i="18" s="1"/>
  <c r="L26" i="18" s="1"/>
  <c r="C26" i="18" s="1"/>
  <c r="G28" i="18"/>
  <c r="H28" i="18" s="1"/>
  <c r="I28" i="18" s="1"/>
  <c r="J28" i="18" s="1"/>
  <c r="K28" i="18" s="1"/>
  <c r="L28" i="18" s="1"/>
  <c r="C28" i="18" s="1"/>
  <c r="G30" i="18"/>
  <c r="H30" i="18" s="1"/>
  <c r="I30" i="18" s="1"/>
  <c r="J30" i="18" s="1"/>
  <c r="K30" i="18" s="1"/>
  <c r="L30" i="18" s="1"/>
  <c r="C30" i="18" s="1"/>
  <c r="G32" i="18"/>
  <c r="H32" i="18" s="1"/>
  <c r="I32" i="18" s="1"/>
  <c r="J32" i="18" s="1"/>
  <c r="K32" i="18" s="1"/>
  <c r="L32" i="18" s="1"/>
  <c r="C32" i="18" s="1"/>
  <c r="G34" i="18"/>
  <c r="H34" i="18" s="1"/>
  <c r="I34" i="18" s="1"/>
  <c r="J34" i="18" s="1"/>
  <c r="K34" i="18" s="1"/>
  <c r="L34" i="18" s="1"/>
  <c r="C34" i="18" s="1"/>
  <c r="G36" i="18"/>
  <c r="H36" i="18" s="1"/>
  <c r="I36" i="18" s="1"/>
  <c r="J36" i="18" s="1"/>
  <c r="K36" i="18" s="1"/>
  <c r="L36" i="18" s="1"/>
  <c r="C36" i="18" s="1"/>
  <c r="N7" i="18"/>
  <c r="D7" i="18" s="1"/>
  <c r="N17" i="18"/>
  <c r="D17" i="18" s="1"/>
  <c r="N35" i="18" l="1"/>
  <c r="D35" i="18" s="1"/>
  <c r="N33" i="18"/>
  <c r="N34" i="18"/>
  <c r="N29" i="18"/>
  <c r="N30" i="18"/>
  <c r="D30" i="18" s="1"/>
  <c r="N36" i="18"/>
  <c r="D36" i="18" s="1"/>
  <c r="N28" i="18"/>
  <c r="N31" i="18"/>
  <c r="D31" i="18" s="1"/>
  <c r="N10" i="18"/>
  <c r="D10" i="18" s="1"/>
  <c r="N8" i="18"/>
  <c r="D8" i="18" s="1"/>
  <c r="N11" i="18"/>
  <c r="D11" i="18" s="1"/>
  <c r="N25" i="18"/>
  <c r="D25" i="18" s="1"/>
  <c r="N23" i="18"/>
  <c r="D23" i="18" s="1"/>
  <c r="N26" i="18"/>
  <c r="D26" i="18" s="1"/>
  <c r="N24" i="18"/>
  <c r="D24" i="18" s="1"/>
  <c r="N22" i="18"/>
  <c r="D22" i="18" s="1"/>
  <c r="N21" i="18"/>
  <c r="D21" i="18" s="1"/>
  <c r="N15" i="18"/>
  <c r="D15" i="18" s="1"/>
  <c r="N13" i="18"/>
  <c r="D13" i="18" s="1"/>
  <c r="N12" i="18"/>
  <c r="D12" i="18" s="1"/>
  <c r="N14" i="18"/>
  <c r="D14" i="18" s="1"/>
  <c r="N16" i="18"/>
  <c r="D16" i="18" s="1"/>
  <c r="N9" i="18"/>
  <c r="D9" i="18" s="1"/>
  <c r="N20" i="18"/>
  <c r="D20" i="18" s="1"/>
  <c r="N18" i="18"/>
  <c r="D18" i="18" s="1"/>
  <c r="N5" i="18"/>
  <c r="D5" i="18" s="1"/>
  <c r="N3" i="18"/>
  <c r="D3" i="18" s="1"/>
  <c r="N4" i="18"/>
  <c r="D4" i="18" s="1"/>
  <c r="N2" i="18"/>
  <c r="D2" i="18" s="1"/>
  <c r="N6" i="18"/>
  <c r="D6" i="18" s="1"/>
  <c r="R27" i="1" l="1"/>
  <c r="P27" i="1"/>
  <c r="C49" i="6" l="1"/>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33" i="6"/>
  <c r="B33" i="6"/>
  <c r="C32" i="6"/>
  <c r="B32" i="6"/>
  <c r="C31" i="6"/>
  <c r="B31" i="6"/>
  <c r="C30" i="6"/>
  <c r="B30" i="6"/>
  <c r="C29" i="6"/>
  <c r="B29" i="6"/>
  <c r="C28" i="6"/>
  <c r="B28" i="6"/>
  <c r="C27" i="6"/>
  <c r="B27" i="6"/>
  <c r="C26" i="6"/>
  <c r="B26" i="6"/>
  <c r="C25" i="6"/>
  <c r="B25" i="6"/>
  <c r="C24" i="6"/>
  <c r="B24" i="6"/>
  <c r="C23" i="6"/>
  <c r="B23" i="6"/>
  <c r="C22" i="6"/>
  <c r="B22" i="6"/>
  <c r="C21" i="6"/>
  <c r="B21" i="6"/>
  <c r="C20" i="6"/>
  <c r="B20" i="6"/>
  <c r="C19" i="6"/>
  <c r="B19" i="6"/>
  <c r="C18" i="6"/>
  <c r="B18" i="6"/>
  <c r="C17" i="6"/>
  <c r="B17" i="6"/>
  <c r="C16" i="6"/>
  <c r="B16" i="6"/>
  <c r="C15" i="6"/>
  <c r="B15" i="6"/>
  <c r="C14" i="6"/>
  <c r="B14" i="6"/>
  <c r="C13" i="6"/>
  <c r="B13" i="6"/>
  <c r="C12" i="6"/>
  <c r="B12" i="6"/>
  <c r="C11" i="6"/>
  <c r="B11" i="6"/>
  <c r="C10" i="6"/>
  <c r="B10" i="6"/>
  <c r="C9" i="6"/>
  <c r="B9" i="6"/>
  <c r="C8" i="6"/>
  <c r="B8" i="6"/>
  <c r="C7" i="6"/>
  <c r="B7" i="6"/>
  <c r="C6" i="6"/>
  <c r="B6" i="6"/>
  <c r="C5" i="6"/>
  <c r="B5" i="6"/>
  <c r="C4" i="6"/>
  <c r="B4" i="6"/>
  <c r="C3" i="6"/>
  <c r="B3" i="6"/>
  <c r="C2" i="6"/>
  <c r="B2" i="6"/>
  <c r="K29" i="5"/>
  <c r="K28" i="5"/>
  <c r="K27" i="5" a="1"/>
  <c r="K27" i="5" s="1"/>
  <c r="K26" i="5" a="1"/>
  <c r="K26" i="5" s="1"/>
  <c r="K25" i="5"/>
  <c r="K24" i="5"/>
  <c r="K22" i="5"/>
  <c r="K21" i="5"/>
  <c r="K20" i="5"/>
  <c r="K19" i="5"/>
  <c r="K18" i="5"/>
  <c r="K17" i="5"/>
  <c r="K16" i="5"/>
  <c r="K15" i="5"/>
  <c r="K8" i="5"/>
  <c r="K7" i="5"/>
  <c r="K6" i="5"/>
  <c r="K5" i="5"/>
  <c r="K4" i="5"/>
  <c r="K3" i="5" a="1"/>
  <c r="K3" i="5" s="1"/>
  <c r="K2" i="5"/>
  <c r="T27" i="1"/>
  <c r="O27" i="1"/>
  <c r="L27" i="1"/>
  <c r="K14" i="5" a="1"/>
  <c r="K11" i="5"/>
  <c r="K10" i="5"/>
  <c r="K12" i="5"/>
  <c r="K13" i="5"/>
  <c r="K23" i="5" l="1" a="1"/>
  <c r="K23" i="5" s="1"/>
  <c r="K9" i="5"/>
  <c r="K14" i="5"/>
</calcChain>
</file>

<file path=xl/sharedStrings.xml><?xml version="1.0" encoding="utf-8"?>
<sst xmlns="http://schemas.openxmlformats.org/spreadsheetml/2006/main" count="2407" uniqueCount="1355">
  <si>
    <t>Action Panel</t>
  </si>
  <si>
    <t>Alert Related Information</t>
  </si>
  <si>
    <t>Decision</t>
  </si>
  <si>
    <t>Template</t>
  </si>
  <si>
    <t>Program Name</t>
  </si>
  <si>
    <t>Escalation Scenario</t>
  </si>
  <si>
    <t>ECM Case</t>
  </si>
  <si>
    <t>Alert ID</t>
  </si>
  <si>
    <t>Customer/Focal Entity Information</t>
  </si>
  <si>
    <t>Customer Name</t>
  </si>
  <si>
    <t>Customer Address</t>
  </si>
  <si>
    <t>Counterparty Information</t>
  </si>
  <si>
    <t>Add-Ons</t>
  </si>
  <si>
    <t>CounterParty #s</t>
  </si>
  <si>
    <t>Counterparty Name</t>
  </si>
  <si>
    <t>Counterparty Address</t>
  </si>
  <si>
    <t>CounterParty 1</t>
  </si>
  <si>
    <t>CounterParty 2</t>
  </si>
  <si>
    <t>CounterParty 3</t>
  </si>
  <si>
    <t>CounterParty 4</t>
  </si>
  <si>
    <t>CounterParty 5</t>
  </si>
  <si>
    <t>CounterParty 6</t>
  </si>
  <si>
    <t>Country Name</t>
  </si>
  <si>
    <t>ISOCode2</t>
  </si>
  <si>
    <t>ISOCode3</t>
  </si>
  <si>
    <t>CountryName</t>
  </si>
  <si>
    <t>IsoCode2</t>
  </si>
  <si>
    <t>IsoCode3</t>
  </si>
  <si>
    <t>RiskLevel</t>
  </si>
  <si>
    <t>RiskScore</t>
  </si>
  <si>
    <t>AFGHANISTAN</t>
  </si>
  <si>
    <t>AF</t>
  </si>
  <si>
    <t>AFG</t>
  </si>
  <si>
    <t>Prohibited</t>
  </si>
  <si>
    <t>ALAND ISLANDS</t>
  </si>
  <si>
    <t>AX</t>
  </si>
  <si>
    <t>Medium</t>
  </si>
  <si>
    <t>ALBANIA</t>
  </si>
  <si>
    <t>AL</t>
  </si>
  <si>
    <t>ALB</t>
  </si>
  <si>
    <t>High</t>
  </si>
  <si>
    <t>ALGERIA</t>
  </si>
  <si>
    <t>DZ</t>
  </si>
  <si>
    <t>DZA</t>
  </si>
  <si>
    <t>AMERICAN SAMOA</t>
  </si>
  <si>
    <t>AS</t>
  </si>
  <si>
    <t>ASM</t>
  </si>
  <si>
    <t>ANDORRA</t>
  </si>
  <si>
    <t>AD</t>
  </si>
  <si>
    <t>AND</t>
  </si>
  <si>
    <t>ANGOLA</t>
  </si>
  <si>
    <t>AO</t>
  </si>
  <si>
    <t>AGO</t>
  </si>
  <si>
    <t>ANGUILLA</t>
  </si>
  <si>
    <t>AI</t>
  </si>
  <si>
    <t>ANTARCTICA</t>
  </si>
  <si>
    <t>AQ</t>
  </si>
  <si>
    <t>ATA</t>
  </si>
  <si>
    <t>Low</t>
  </si>
  <si>
    <t>ANTIGUA</t>
  </si>
  <si>
    <t>AG</t>
  </si>
  <si>
    <t>ATG</t>
  </si>
  <si>
    <t>ARGENTINA</t>
  </si>
  <si>
    <t>AR</t>
  </si>
  <si>
    <t>ARG</t>
  </si>
  <si>
    <t>ARMENIA</t>
  </si>
  <si>
    <t>AM</t>
  </si>
  <si>
    <t>ARM</t>
  </si>
  <si>
    <t>ARUBA</t>
  </si>
  <si>
    <t>AW</t>
  </si>
  <si>
    <t>ABW</t>
  </si>
  <si>
    <t>AUSTRALIA</t>
  </si>
  <si>
    <t>AU</t>
  </si>
  <si>
    <t>AUSTRIA</t>
  </si>
  <si>
    <t>AT</t>
  </si>
  <si>
    <t>AUT</t>
  </si>
  <si>
    <t>AZERBAIJAN</t>
  </si>
  <si>
    <t>AZ</t>
  </si>
  <si>
    <t>AZE</t>
  </si>
  <si>
    <t>BAHAMAS</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</si>
  <si>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</si>
  <si>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</si>
  <si>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</si>
  <si>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</si>
  <si>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</si>
  <si>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</si>
  <si>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</si>
  <si>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</si>
  <si>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</si>
  <si>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</si>
  <si>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</si>
  <si>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</si>
  <si>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</si>
  <si>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</si>
  <si>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</si>
  <si>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</si>
  <si>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</si>
  <si>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</si>
  <si>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</si>
  <si>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</si>
  <si>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</si>
  <si>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</si>
  <si>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</si>
  <si>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</si>
  <si>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</si>
  <si>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</si>
  <si>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</si>
  <si>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</si>
  <si>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</si>
  <si>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t>
  </si>
  <si>
    <t>BO</t>
  </si>
  <si>
    <t>BOL</t>
  </si>
  <si>
    <t>BONAIRE SINT EUSTATIUS AND SABA</t>
  </si>
  <si>
    <t>BQ</t>
  </si>
  <si>
    <t>BOSNIAHERZ</t>
  </si>
  <si>
    <t>BA</t>
  </si>
  <si>
    <t>BIH</t>
  </si>
  <si>
    <t>BOTSWANA</t>
  </si>
  <si>
    <t>BW</t>
  </si>
  <si>
    <t>BWA</t>
  </si>
  <si>
    <t>BOUVET ISLAND</t>
  </si>
  <si>
    <t>BV</t>
  </si>
  <si>
    <t>BVT</t>
  </si>
  <si>
    <t>BR IND OC TER</t>
  </si>
  <si>
    <t>IO</t>
  </si>
  <si>
    <t>BRAZIL</t>
  </si>
  <si>
    <t>BR</t>
  </si>
  <si>
    <t>BRA</t>
  </si>
  <si>
    <t>BRUNEI</t>
  </si>
  <si>
    <t>BN</t>
  </si>
  <si>
    <t>BRN</t>
  </si>
  <si>
    <t>BULGARIA</t>
  </si>
  <si>
    <t>BG</t>
  </si>
  <si>
    <t>BGR</t>
  </si>
  <si>
    <t>BURKINA FASO</t>
  </si>
  <si>
    <t>BF</t>
  </si>
  <si>
    <t>BFA</t>
  </si>
  <si>
    <t>BURUNDI</t>
  </si>
  <si>
    <t>BI</t>
  </si>
  <si>
    <t>BDI</t>
  </si>
  <si>
    <t>CAMBODIA</t>
  </si>
  <si>
    <t>KH</t>
  </si>
  <si>
    <t>KHM</t>
  </si>
  <si>
    <t>CAMEROON</t>
  </si>
  <si>
    <t>CM</t>
  </si>
  <si>
    <t>CMR</t>
  </si>
  <si>
    <t>CANADA</t>
  </si>
  <si>
    <t>CA</t>
  </si>
  <si>
    <t>CAN</t>
  </si>
  <si>
    <t>CAPE VERDE</t>
  </si>
  <si>
    <t>CV</t>
  </si>
  <si>
    <t>CPV</t>
  </si>
  <si>
    <t>CAYMAN ISLANDS</t>
  </si>
  <si>
    <t>KY</t>
  </si>
  <si>
    <t>CYM</t>
  </si>
  <si>
    <t>CENT AFR</t>
  </si>
  <si>
    <t>CF</t>
  </si>
  <si>
    <t>CAF</t>
  </si>
  <si>
    <t>CHAD</t>
  </si>
  <si>
    <t>TD</t>
  </si>
  <si>
    <t>TCD</t>
  </si>
  <si>
    <t>CHILE</t>
  </si>
  <si>
    <t>CL</t>
  </si>
  <si>
    <t>CHL</t>
  </si>
  <si>
    <t>CHINA</t>
  </si>
  <si>
    <t>CN</t>
  </si>
  <si>
    <t>CHN</t>
  </si>
  <si>
    <t>CHRISTMAS ISLAND</t>
  </si>
  <si>
    <t>CX</t>
  </si>
  <si>
    <t>CXR</t>
  </si>
  <si>
    <t>COCOS ISLANDS</t>
  </si>
  <si>
    <t>CC</t>
  </si>
  <si>
    <t>CCK</t>
  </si>
  <si>
    <t>COLOMBIA</t>
  </si>
  <si>
    <t>CO</t>
  </si>
  <si>
    <t>COL</t>
  </si>
  <si>
    <t>COMOROS</t>
  </si>
  <si>
    <t>KM</t>
  </si>
  <si>
    <t>COM</t>
  </si>
  <si>
    <t>CONGO KINSHASA</t>
  </si>
  <si>
    <t>CD</t>
  </si>
  <si>
    <t>COD</t>
  </si>
  <si>
    <t>CONGOBRAZZAVILLE</t>
  </si>
  <si>
    <t>CG</t>
  </si>
  <si>
    <t>COG</t>
  </si>
  <si>
    <t>COOK ISLANDS</t>
  </si>
  <si>
    <t>CK</t>
  </si>
  <si>
    <t>COK</t>
  </si>
  <si>
    <t>COSTA RICA</t>
  </si>
  <si>
    <t>CR</t>
  </si>
  <si>
    <t>CRI</t>
  </si>
  <si>
    <t>COTE DIVOIRY</t>
  </si>
  <si>
    <t>CI</t>
  </si>
  <si>
    <t>CIV</t>
  </si>
  <si>
    <t>CROATIA</t>
  </si>
  <si>
    <t>HR</t>
  </si>
  <si>
    <t>HRV</t>
  </si>
  <si>
    <t>CUBA</t>
  </si>
  <si>
    <t>CU</t>
  </si>
  <si>
    <t>CUB</t>
  </si>
  <si>
    <t>CURAAO</t>
  </si>
  <si>
    <t>CW</t>
  </si>
  <si>
    <t>CUW</t>
  </si>
  <si>
    <t>CYPRUS</t>
  </si>
  <si>
    <t>CY</t>
  </si>
  <si>
    <t>CYP</t>
  </si>
  <si>
    <t>CZECH REPUBLIC</t>
  </si>
  <si>
    <t>CZ</t>
  </si>
  <si>
    <t>CZE</t>
  </si>
  <si>
    <t>DENMARK</t>
  </si>
  <si>
    <t>DK</t>
  </si>
  <si>
    <t>DNK</t>
  </si>
  <si>
    <t>DJIBOUTI</t>
  </si>
  <si>
    <t>DJ</t>
  </si>
  <si>
    <t>DJI</t>
  </si>
  <si>
    <t>DOMINICA</t>
  </si>
  <si>
    <t>DM</t>
  </si>
  <si>
    <t>DMA</t>
  </si>
  <si>
    <t>DOMINICAN</t>
  </si>
  <si>
    <t>DO</t>
  </si>
  <si>
    <t>DOM</t>
  </si>
  <si>
    <t>ECUADOR</t>
  </si>
  <si>
    <t>EC</t>
  </si>
  <si>
    <t>ECU</t>
  </si>
  <si>
    <t>EGYPT</t>
  </si>
  <si>
    <t>EG</t>
  </si>
  <si>
    <t>EGY</t>
  </si>
  <si>
    <t>EL SALVADOR</t>
  </si>
  <si>
    <t>SV</t>
  </si>
  <si>
    <t>SLV</t>
  </si>
  <si>
    <t>EQU GUINEA</t>
  </si>
  <si>
    <t>GQ</t>
  </si>
  <si>
    <t>GNQ</t>
  </si>
  <si>
    <t>ERITREA</t>
  </si>
  <si>
    <t>ER</t>
  </si>
  <si>
    <t>ERI</t>
  </si>
  <si>
    <t>ESTONIA</t>
  </si>
  <si>
    <t>EE</t>
  </si>
  <si>
    <t>EST</t>
  </si>
  <si>
    <t>ETHIOPIA</t>
  </si>
  <si>
    <t>ET</t>
  </si>
  <si>
    <t>ETH</t>
  </si>
  <si>
    <t>FALKLAND ISLAND</t>
  </si>
  <si>
    <t>FK</t>
  </si>
  <si>
    <t>FLK</t>
  </si>
  <si>
    <t>FAROE ISLANDS</t>
  </si>
  <si>
    <t>FO</t>
  </si>
  <si>
    <t>FRO</t>
  </si>
  <si>
    <t>FIJI</t>
  </si>
  <si>
    <t>FJ</t>
  </si>
  <si>
    <t>FJI</t>
  </si>
  <si>
    <t>FINLAND</t>
  </si>
  <si>
    <t>FI</t>
  </si>
  <si>
    <t>FIN</t>
  </si>
  <si>
    <t>FR POLYNESIA</t>
  </si>
  <si>
    <t>PF</t>
  </si>
  <si>
    <t>PYF</t>
  </si>
  <si>
    <t>FR S TERRIT</t>
  </si>
  <si>
    <t>TF</t>
  </si>
  <si>
    <t>ATF</t>
  </si>
  <si>
    <t>FRANCE</t>
  </si>
  <si>
    <t>FR</t>
  </si>
  <si>
    <t>FRA</t>
  </si>
  <si>
    <t>FRENCH GUIANA</t>
  </si>
  <si>
    <t>GF</t>
  </si>
  <si>
    <t>GUF</t>
  </si>
  <si>
    <t>GABON</t>
  </si>
  <si>
    <t>GA</t>
  </si>
  <si>
    <t>GAB</t>
  </si>
  <si>
    <t>GAMBIA</t>
  </si>
  <si>
    <t>GM</t>
  </si>
  <si>
    <t>GMB</t>
  </si>
  <si>
    <t>GEORGIA</t>
  </si>
  <si>
    <t>GE</t>
  </si>
  <si>
    <t>GEO</t>
  </si>
  <si>
    <t>GERMANY</t>
  </si>
  <si>
    <t>DE</t>
  </si>
  <si>
    <t>DEU</t>
  </si>
  <si>
    <t>GHANA</t>
  </si>
  <si>
    <t>GH</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</si>
  <si>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</si>
  <si>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</si>
  <si>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</si>
  <si>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</si>
  <si>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</si>
  <si>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</si>
  <si>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</si>
  <si>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</si>
  <si>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</si>
  <si>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</si>
  <si>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</si>
  <si>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</si>
  <si>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</si>
  <si>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</si>
  <si>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</si>
  <si>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</si>
  <si>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</si>
  <si>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</si>
  <si>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</si>
  <si>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</si>
  <si>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</si>
  <si>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</si>
  <si>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</si>
  <si>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</si>
  <si>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GUINEA</t>
  </si>
  <si>
    <t>GN</t>
  </si>
  <si>
    <t>GIN</t>
  </si>
  <si>
    <t>GUINEABISSAU</t>
  </si>
  <si>
    <t>GW</t>
  </si>
  <si>
    <t>GNB</t>
  </si>
  <si>
    <t>GUYANA</t>
  </si>
  <si>
    <t>GY</t>
  </si>
  <si>
    <t>GUY</t>
  </si>
  <si>
    <t>HAITI</t>
  </si>
  <si>
    <t>HT</t>
  </si>
  <si>
    <t>HTI</t>
  </si>
  <si>
    <t>HEARD AND MCDONALD</t>
  </si>
  <si>
    <t>HM</t>
  </si>
  <si>
    <t>HMD</t>
  </si>
  <si>
    <t>HONDURAS</t>
  </si>
  <si>
    <t>HN</t>
  </si>
  <si>
    <t>HND</t>
  </si>
  <si>
    <t>HONG KONG</t>
  </si>
  <si>
    <t>HK</t>
  </si>
  <si>
    <t>HKG</t>
  </si>
  <si>
    <t>HUNGARY</t>
  </si>
  <si>
    <t>HU</t>
  </si>
  <si>
    <t>HUN</t>
  </si>
  <si>
    <t>ICELAND</t>
  </si>
  <si>
    <t>IS</t>
  </si>
  <si>
    <t>ISL</t>
  </si>
  <si>
    <t>INDIA</t>
  </si>
  <si>
    <t>IN</t>
  </si>
  <si>
    <t>IND</t>
  </si>
  <si>
    <t>INDONESIA</t>
  </si>
  <si>
    <t>ID</t>
  </si>
  <si>
    <t>IDN</t>
  </si>
  <si>
    <t>INVALID</t>
  </si>
  <si>
    <t>ZY</t>
  </si>
  <si>
    <t>ZYL</t>
  </si>
  <si>
    <t>IRAN</t>
  </si>
  <si>
    <t>IR</t>
  </si>
  <si>
    <t>IRN</t>
  </si>
  <si>
    <t>IRAQ</t>
  </si>
  <si>
    <t>IQ</t>
  </si>
  <si>
    <t>IRQ</t>
  </si>
  <si>
    <t>IRELAND</t>
  </si>
  <si>
    <t>IE</t>
  </si>
  <si>
    <t>IRL</t>
  </si>
  <si>
    <t>ISLE OF MAN</t>
  </si>
  <si>
    <t>IM</t>
  </si>
  <si>
    <t>IMN</t>
  </si>
  <si>
    <t>ISRAEL</t>
  </si>
  <si>
    <t>IL</t>
  </si>
  <si>
    <t>ISR</t>
  </si>
  <si>
    <t>ITALY</t>
  </si>
  <si>
    <t>IT</t>
  </si>
  <si>
    <t>ITA</t>
  </si>
  <si>
    <t>JAMAICA</t>
  </si>
  <si>
    <t>JM</t>
  </si>
  <si>
    <t>JAM</t>
  </si>
  <si>
    <t>JAPAN</t>
  </si>
  <si>
    <t>JP</t>
  </si>
  <si>
    <t>JPN</t>
  </si>
  <si>
    <t>JERSEY</t>
  </si>
  <si>
    <t>JE</t>
  </si>
  <si>
    <t>JEY</t>
  </si>
  <si>
    <t>JORDAN</t>
  </si>
  <si>
    <t>JO</t>
  </si>
  <si>
    <t>JOR</t>
  </si>
  <si>
    <t>KAZAKSTAN</t>
  </si>
  <si>
    <t>KZ</t>
  </si>
  <si>
    <t>KAZ</t>
  </si>
  <si>
    <t>KENYA</t>
  </si>
  <si>
    <t>KE</t>
  </si>
  <si>
    <t>KEN</t>
  </si>
  <si>
    <t>KIRIBATI</t>
  </si>
  <si>
    <t>KI</t>
  </si>
  <si>
    <t>KIR</t>
  </si>
  <si>
    <t>KOREA</t>
  </si>
  <si>
    <t>KP</t>
  </si>
  <si>
    <t>KOR</t>
  </si>
  <si>
    <t>KOREA REP OF</t>
  </si>
  <si>
    <t>KR</t>
  </si>
  <si>
    <t>PRK</t>
  </si>
  <si>
    <t>KOSOVO</t>
  </si>
  <si>
    <t>KV</t>
  </si>
  <si>
    <t>XK</t>
  </si>
  <si>
    <t>XKX</t>
  </si>
  <si>
    <t>KUWAIT</t>
  </si>
  <si>
    <t>KW</t>
  </si>
  <si>
    <t>KWT</t>
  </si>
  <si>
    <t>KYRGYZSTAN</t>
  </si>
  <si>
    <t>KG</t>
  </si>
  <si>
    <t>KGZ</t>
  </si>
  <si>
    <t>LAO</t>
  </si>
  <si>
    <t>LA</t>
  </si>
  <si>
    <t>LATVIA</t>
  </si>
  <si>
    <t>LV</t>
  </si>
  <si>
    <t>LVA</t>
  </si>
  <si>
    <t>LEBANON</t>
  </si>
  <si>
    <t>LB</t>
  </si>
  <si>
    <t>LBN</t>
  </si>
  <si>
    <t>LESOTHO</t>
  </si>
  <si>
    <t>LS</t>
  </si>
  <si>
    <t>LSO</t>
  </si>
  <si>
    <t>LIBERIA</t>
  </si>
  <si>
    <t>LR</t>
  </si>
  <si>
    <t>LBR</t>
  </si>
  <si>
    <t>LIBYA</t>
  </si>
  <si>
    <t>LY</t>
  </si>
  <si>
    <t>LBY</t>
  </si>
  <si>
    <t>LIECHTENSTEIN</t>
  </si>
  <si>
    <t>LI</t>
  </si>
  <si>
    <t>LIE</t>
  </si>
  <si>
    <t>LITHUANIA</t>
  </si>
  <si>
    <t>LT</t>
  </si>
  <si>
    <t>LTU</t>
  </si>
  <si>
    <t>LUXEMBOURG</t>
  </si>
  <si>
    <t>LU</t>
  </si>
  <si>
    <t>LUX</t>
  </si>
  <si>
    <t>MACAU</t>
  </si>
  <si>
    <t>MO</t>
  </si>
  <si>
    <t>MAC</t>
  </si>
  <si>
    <t>MACEDONIA</t>
  </si>
  <si>
    <t>MK</t>
  </si>
  <si>
    <t>MKD</t>
  </si>
  <si>
    <t>MADAGASCAR</t>
  </si>
  <si>
    <t>MG</t>
  </si>
  <si>
    <t>MDG</t>
  </si>
  <si>
    <t>MALAWI</t>
  </si>
  <si>
    <t>MW</t>
  </si>
  <si>
    <t>MWI</t>
  </si>
  <si>
    <t>MALAYSIA</t>
  </si>
  <si>
    <t>MY</t>
  </si>
  <si>
    <t>MYS</t>
  </si>
  <si>
    <t>MALDIVES</t>
  </si>
  <si>
    <t>MV</t>
  </si>
  <si>
    <t>MDV</t>
  </si>
  <si>
    <t>MALI</t>
  </si>
  <si>
    <t>ML</t>
  </si>
  <si>
    <t>MLI</t>
  </si>
  <si>
    <t>MALTA</t>
  </si>
  <si>
    <t>MT</t>
  </si>
  <si>
    <t>MLT</t>
  </si>
  <si>
    <t>MARSHALL IS</t>
  </si>
  <si>
    <t>MH</t>
  </si>
  <si>
    <t>MHL</t>
  </si>
  <si>
    <t>MARTINIQUE</t>
  </si>
  <si>
    <t>MQ</t>
  </si>
  <si>
    <t>MTQ</t>
  </si>
  <si>
    <t>MAURITANIA</t>
  </si>
  <si>
    <t>MR</t>
  </si>
  <si>
    <t>MRT</t>
  </si>
  <si>
    <t>MAURITIUS</t>
  </si>
  <si>
    <t>MU</t>
  </si>
  <si>
    <t>MUS</t>
  </si>
  <si>
    <t>MAYOTTE</t>
  </si>
  <si>
    <t>YT</t>
  </si>
  <si>
    <t>MYT</t>
  </si>
  <si>
    <t>MEXICO</t>
  </si>
  <si>
    <t>MX</t>
  </si>
  <si>
    <t>MEX</t>
  </si>
  <si>
    <t>MICRONESIA</t>
  </si>
  <si>
    <t>FM</t>
  </si>
  <si>
    <t>FSM</t>
  </si>
  <si>
    <t>MOLDOVA REP OF</t>
  </si>
  <si>
    <t>MD</t>
  </si>
  <si>
    <t>MDA</t>
  </si>
  <si>
    <t>MONACO</t>
  </si>
  <si>
    <t>MC</t>
  </si>
  <si>
    <t>MCO</t>
  </si>
  <si>
    <t>MONGOLIA</t>
  </si>
  <si>
    <t>MN</t>
  </si>
  <si>
    <t>MNG</t>
  </si>
  <si>
    <t>MONSERRAT</t>
  </si>
  <si>
    <t>MS</t>
  </si>
  <si>
    <t>MSR</t>
  </si>
  <si>
    <t>MONTENEGRO</t>
  </si>
  <si>
    <t>ME</t>
  </si>
  <si>
    <t>MNE</t>
  </si>
  <si>
    <t>MOROCCO</t>
  </si>
  <si>
    <t>MA</t>
  </si>
  <si>
    <t>MAR</t>
  </si>
  <si>
    <t>MOZAMBIQUE</t>
  </si>
  <si>
    <t>MZ</t>
  </si>
  <si>
    <t>MOZ</t>
  </si>
  <si>
    <t>MYANMAR</t>
  </si>
  <si>
    <t>MM</t>
  </si>
  <si>
    <t>MMR</t>
  </si>
  <si>
    <t>N MARIANA IS</t>
  </si>
  <si>
    <t>MP</t>
  </si>
  <si>
    <t>MNP</t>
  </si>
  <si>
    <t>NAMIBIA</t>
  </si>
  <si>
    <t>NA</t>
  </si>
  <si>
    <t>NAM</t>
  </si>
  <si>
    <t>NAURU</t>
  </si>
  <si>
    <t>NR</t>
  </si>
  <si>
    <t>NRU</t>
  </si>
  <si>
    <t>NEPAL</t>
  </si>
  <si>
    <t>NP</t>
  </si>
  <si>
    <t>NPL</t>
  </si>
  <si>
    <t>NETHERLANDS</t>
  </si>
  <si>
    <t>NL</t>
  </si>
  <si>
    <t>NLD</t>
  </si>
  <si>
    <t>NETHERLANDS ANTILLES</t>
  </si>
  <si>
    <t>AN</t>
  </si>
  <si>
    <t>NEW CALEDONIA</t>
  </si>
  <si>
    <t>NC</t>
  </si>
  <si>
    <t>NCL</t>
  </si>
  <si>
    <t>NICARAGUA</t>
  </si>
  <si>
    <t>NI</t>
  </si>
  <si>
    <t>NIC</t>
  </si>
  <si>
    <t>NIGER</t>
  </si>
  <si>
    <t>NE</t>
  </si>
  <si>
    <t>NER</t>
  </si>
  <si>
    <t>NIGERIA</t>
  </si>
  <si>
    <t>NG</t>
  </si>
  <si>
    <t>NGA</t>
  </si>
  <si>
    <t>NIUE</t>
  </si>
  <si>
    <t>NU</t>
  </si>
  <si>
    <t>NIU</t>
  </si>
  <si>
    <t>NORFOLK ISLAND</t>
  </si>
  <si>
    <t>NF</t>
  </si>
  <si>
    <t>NFK</t>
  </si>
  <si>
    <t>NORWAY</t>
  </si>
  <si>
    <t>NO</t>
  </si>
  <si>
    <t>NOR</t>
  </si>
  <si>
    <t>NZ</t>
  </si>
  <si>
    <t>NZL</t>
  </si>
  <si>
    <t>OMAN</t>
  </si>
  <si>
    <t>OM</t>
  </si>
  <si>
    <t>OMN</t>
  </si>
  <si>
    <t>PAKISTAN</t>
  </si>
  <si>
    <t>PK</t>
  </si>
  <si>
    <t>PAK</t>
  </si>
  <si>
    <t>PALAU</t>
  </si>
  <si>
    <t>PW</t>
  </si>
  <si>
    <t>PLW</t>
  </si>
  <si>
    <t>PANAMA</t>
  </si>
  <si>
    <t>PA</t>
  </si>
  <si>
    <t>PAN</t>
  </si>
  <si>
    <t>PAP NEW GUINEA</t>
  </si>
  <si>
    <t>PG</t>
  </si>
  <si>
    <t>PNG</t>
  </si>
  <si>
    <t>PARAGUAY</t>
  </si>
  <si>
    <t>PY</t>
  </si>
  <si>
    <t>PRY</t>
  </si>
  <si>
    <t>PERU</t>
  </si>
  <si>
    <t>PE</t>
  </si>
  <si>
    <t>PER</t>
  </si>
  <si>
    <t>PHILIPPINES</t>
  </si>
  <si>
    <t>PH</t>
  </si>
  <si>
    <t>PHL</t>
  </si>
  <si>
    <t>PITCAIRN</t>
  </si>
  <si>
    <t>PN</t>
  </si>
  <si>
    <t>PCN</t>
  </si>
  <si>
    <t>POLAND</t>
  </si>
  <si>
    <t>PL</t>
  </si>
  <si>
    <t>POL</t>
  </si>
  <si>
    <t>PORTUGAL</t>
  </si>
  <si>
    <t>PT</t>
  </si>
  <si>
    <t>PRT</t>
  </si>
  <si>
    <t>PUERTO RICO</t>
  </si>
  <si>
    <t>PR</t>
  </si>
  <si>
    <t>PRI</t>
  </si>
  <si>
    <t>QATAR</t>
  </si>
  <si>
    <t>QA</t>
  </si>
  <si>
    <t>QAT</t>
  </si>
  <si>
    <t>REUNION</t>
  </si>
  <si>
    <t>RE</t>
  </si>
  <si>
    <t>REU</t>
  </si>
  <si>
    <t>ROMANIA</t>
  </si>
  <si>
    <t>RO</t>
  </si>
  <si>
    <t>ROU</t>
  </si>
  <si>
    <t>RUSSIAN FED</t>
  </si>
  <si>
    <t>RU</t>
  </si>
  <si>
    <t>RUS</t>
  </si>
  <si>
    <t>RWANDA</t>
  </si>
  <si>
    <t>RW</t>
  </si>
  <si>
    <t>RWA</t>
  </si>
  <si>
    <t>S GEORGIA</t>
  </si>
  <si>
    <t>GS</t>
  </si>
  <si>
    <t>SGS</t>
  </si>
  <si>
    <t>SAINT BARTHLEMY</t>
  </si>
  <si>
    <t>BL</t>
  </si>
  <si>
    <t>SAINT MARTIN FRENCH PART</t>
  </si>
  <si>
    <t>MF</t>
  </si>
  <si>
    <t>MAF</t>
  </si>
  <si>
    <t>SAMOA</t>
  </si>
  <si>
    <t>WS</t>
  </si>
  <si>
    <t>WSM</t>
  </si>
  <si>
    <t>SAN MARINO</t>
  </si>
  <si>
    <t>SM</t>
  </si>
  <si>
    <t>SMR</t>
  </si>
  <si>
    <t>SAO TOME</t>
  </si>
  <si>
    <t>ST</t>
  </si>
  <si>
    <t>STP</t>
  </si>
  <si>
    <t>SAUDI ARABIA</t>
  </si>
  <si>
    <t>SA</t>
  </si>
  <si>
    <t>SAU</t>
  </si>
  <si>
    <t>SENEGAL</t>
  </si>
  <si>
    <t>SN</t>
  </si>
  <si>
    <t>SEN</t>
  </si>
  <si>
    <t>SERBIA</t>
  </si>
  <si>
    <t>RS</t>
  </si>
  <si>
    <t>SRB</t>
  </si>
  <si>
    <t>SEYCHELLES</t>
  </si>
  <si>
    <t>SC</t>
  </si>
  <si>
    <t>SYC</t>
  </si>
  <si>
    <t>SIERRA LEONE</t>
  </si>
  <si>
    <t>SL</t>
  </si>
  <si>
    <t>SLE</t>
  </si>
  <si>
    <t>SINGAPORE</t>
  </si>
  <si>
    <t>SG</t>
  </si>
  <si>
    <t>SGP</t>
  </si>
  <si>
    <t>SINT MAARTEN DUTCH PART</t>
  </si>
  <si>
    <t>SX</t>
  </si>
  <si>
    <t>SXM</t>
  </si>
  <si>
    <t>SLOVAKIA</t>
  </si>
  <si>
    <t>SK</t>
  </si>
  <si>
    <t>SVK</t>
  </si>
  <si>
    <t>SLOVENIA</t>
  </si>
  <si>
    <t>SI</t>
  </si>
  <si>
    <t>SVN</t>
  </si>
  <si>
    <t>SOLOMON ISLANDS</t>
  </si>
  <si>
    <t>SB</t>
  </si>
  <si>
    <t>SLB</t>
  </si>
  <si>
    <t>SOMALIA</t>
  </si>
  <si>
    <t>SO</t>
  </si>
  <si>
    <t>SOM</t>
  </si>
  <si>
    <t>SOUTH AFRICA</t>
  </si>
  <si>
    <t>ZA</t>
  </si>
  <si>
    <t>ZAF</t>
  </si>
  <si>
    <t>SOUTH SUDAN</t>
  </si>
  <si>
    <t>SS</t>
  </si>
  <si>
    <t>SSD</t>
  </si>
  <si>
    <t>SPAIN</t>
  </si>
  <si>
    <t>ES</t>
  </si>
  <si>
    <t>ESP</t>
  </si>
  <si>
    <t>SRI LANKA</t>
  </si>
  <si>
    <t>LK</t>
  </si>
  <si>
    <t>LKA</t>
  </si>
  <si>
    <t>ST HELENA</t>
  </si>
  <si>
    <t>SH</t>
  </si>
  <si>
    <t>SHN</t>
  </si>
  <si>
    <t>ST KITTS NEVIS</t>
  </si>
  <si>
    <t>KN</t>
  </si>
  <si>
    <t>KNA</t>
  </si>
  <si>
    <t>ST LUCIA</t>
  </si>
  <si>
    <t>LC</t>
  </si>
  <si>
    <t>LCA</t>
  </si>
  <si>
    <t>ST PIERRE</t>
  </si>
  <si>
    <t>PM</t>
  </si>
  <si>
    <t>SPM</t>
  </si>
  <si>
    <t>ST VINCENT</t>
  </si>
  <si>
    <t>VC</t>
  </si>
  <si>
    <t>VCT</t>
  </si>
  <si>
    <t>STATE OF PALESTINE</t>
  </si>
  <si>
    <t>PS</t>
  </si>
  <si>
    <t>PSE</t>
  </si>
  <si>
    <t>SUDAN</t>
  </si>
  <si>
    <t>SD</t>
  </si>
  <si>
    <t>SDN</t>
  </si>
  <si>
    <t>SURINAME</t>
  </si>
  <si>
    <t>SR</t>
  </si>
  <si>
    <t>SUR</t>
  </si>
  <si>
    <t>SVALBARD</t>
  </si>
  <si>
    <t>SJ</t>
  </si>
  <si>
    <t>SJM</t>
  </si>
  <si>
    <t>SWAZILAND</t>
  </si>
  <si>
    <t>SZ</t>
  </si>
  <si>
    <t>SWZ</t>
  </si>
  <si>
    <t>SWEDEN</t>
  </si>
  <si>
    <t>SE</t>
  </si>
  <si>
    <t>SWE</t>
  </si>
  <si>
    <t>SWITZERLAND</t>
  </si>
  <si>
    <t>CH</t>
  </si>
  <si>
    <t>CHE</t>
  </si>
  <si>
    <t>SYRIA</t>
  </si>
  <si>
    <t>SY</t>
  </si>
  <si>
    <t>SYR</t>
  </si>
  <si>
    <t>TAIWAN</t>
  </si>
  <si>
    <t>TW</t>
  </si>
  <si>
    <t>TWN</t>
  </si>
  <si>
    <t>TAJIKISTAN</t>
  </si>
  <si>
    <t>TJ</t>
  </si>
  <si>
    <t>TJK</t>
  </si>
  <si>
    <t>TANZANIA</t>
  </si>
  <si>
    <t>TZ</t>
  </si>
  <si>
    <t>TZA</t>
  </si>
  <si>
    <t>THAILAND</t>
  </si>
  <si>
    <t>TH</t>
  </si>
  <si>
    <t>THA</t>
  </si>
  <si>
    <t>TIMORLESTE</t>
  </si>
  <si>
    <t>TL</t>
  </si>
  <si>
    <t>TLS</t>
  </si>
  <si>
    <t>TOGO</t>
  </si>
  <si>
    <t>TG</t>
  </si>
  <si>
    <t>TGO</t>
  </si>
  <si>
    <t>TOKELAU</t>
  </si>
  <si>
    <t>TK</t>
  </si>
  <si>
    <t>TKL</t>
  </si>
  <si>
    <t>TONGA</t>
  </si>
  <si>
    <t>TO</t>
  </si>
  <si>
    <t>TON</t>
  </si>
  <si>
    <t>TRINIDAD TOBAGO</t>
  </si>
  <si>
    <t>TT</t>
  </si>
  <si>
    <t>TTO</t>
  </si>
  <si>
    <t>TUNISIA</t>
  </si>
  <si>
    <t>TN</t>
  </si>
  <si>
    <t>TUN</t>
  </si>
  <si>
    <t>TURKEY</t>
  </si>
  <si>
    <t>TR</t>
  </si>
  <si>
    <t>TUR</t>
  </si>
  <si>
    <t>TURKMENISTAN</t>
  </si>
  <si>
    <t>TM</t>
  </si>
  <si>
    <t>TKM</t>
  </si>
  <si>
    <t>TURKS  CAICOS</t>
  </si>
  <si>
    <t>TC</t>
  </si>
  <si>
    <t>TCA</t>
  </si>
  <si>
    <t>TUVALU</t>
  </si>
  <si>
    <t>TV</t>
  </si>
  <si>
    <t>TUV</t>
  </si>
  <si>
    <t>UAE</t>
  </si>
  <si>
    <t>AE</t>
  </si>
  <si>
    <t>ARE</t>
  </si>
  <si>
    <t>UGANDA</t>
  </si>
  <si>
    <t>UG</t>
  </si>
  <si>
    <t>UGA</t>
  </si>
  <si>
    <t>UKRAINE</t>
  </si>
  <si>
    <t>UA</t>
  </si>
  <si>
    <t>UKR</t>
  </si>
  <si>
    <t>UNITED KINGDOM</t>
  </si>
  <si>
    <t>GB</t>
  </si>
  <si>
    <t>GBR</t>
  </si>
  <si>
    <t>UNKNOWN COUNTRY</t>
  </si>
  <si>
    <t>ZZ</t>
  </si>
  <si>
    <t>URUGUAY</t>
  </si>
  <si>
    <t>UY</t>
  </si>
  <si>
    <t>URY</t>
  </si>
  <si>
    <t>US MINOR OUT ISLAND</t>
  </si>
  <si>
    <t>UM</t>
  </si>
  <si>
    <t>UMI</t>
  </si>
  <si>
    <t>USA</t>
  </si>
  <si>
    <t>US</t>
  </si>
  <si>
    <t>UZBEKISTAN</t>
  </si>
  <si>
    <t>UZ</t>
  </si>
  <si>
    <t>UZB</t>
  </si>
  <si>
    <t>VANUATU</t>
  </si>
  <si>
    <t>VU</t>
  </si>
  <si>
    <t>VUT</t>
  </si>
  <si>
    <t>VATICAN</t>
  </si>
  <si>
    <t>VA</t>
  </si>
  <si>
    <t>VENEZUALA</t>
  </si>
  <si>
    <t>VE</t>
  </si>
  <si>
    <t>VEN</t>
  </si>
  <si>
    <t>VIETNAM</t>
  </si>
  <si>
    <t>VN</t>
  </si>
  <si>
    <t>VNM</t>
  </si>
  <si>
    <t>VIRGIN ISLANDSBRITISH</t>
  </si>
  <si>
    <t>VG</t>
  </si>
  <si>
    <t>VGB</t>
  </si>
  <si>
    <t>VIRGIN ISLANDSUS</t>
  </si>
  <si>
    <t>VI</t>
  </si>
  <si>
    <t>VIR</t>
  </si>
  <si>
    <t>WALLIS FUTUNA</t>
  </si>
  <si>
    <t>WF</t>
  </si>
  <si>
    <t>WLF</t>
  </si>
  <si>
    <t>WESTERN SAHARA</t>
  </si>
  <si>
    <t>EH</t>
  </si>
  <si>
    <t>ESH</t>
  </si>
  <si>
    <t>YEMEN</t>
  </si>
  <si>
    <t>YE</t>
  </si>
  <si>
    <t>YEM</t>
  </si>
  <si>
    <t>ZAMBIA</t>
  </si>
  <si>
    <t>ZM</t>
  </si>
  <si>
    <t>ZMB</t>
  </si>
  <si>
    <t>ZIMBABWE</t>
  </si>
  <si>
    <t>ZW</t>
  </si>
  <si>
    <t>ZWB</t>
  </si>
  <si>
    <t>Flow_1</t>
  </si>
  <si>
    <t>ms-powerautomate:/console/flow/run?workflowid=2e5455ef-1291-4211-aeb2-9558d2c49e6d</t>
  </si>
  <si>
    <t>Flow_Merge</t>
  </si>
  <si>
    <t>ms-powerautomate:/console/flow/run?environmentid=Default-9e17c3e3-ba51-4656-9767-5ba4c8c34f4b&amp;workflowid=f6eccbfd-02ab-4ac1-a749-9cb8dd3b8201&amp;source=Other</t>
  </si>
  <si>
    <t>Transaction ID</t>
  </si>
  <si>
    <t>Velocity Alert ID</t>
  </si>
  <si>
    <t>Alert Information</t>
  </si>
  <si>
    <t>Alert Type</t>
  </si>
  <si>
    <t>Is Alerted Transaction?</t>
  </si>
  <si>
    <t>Account No</t>
  </si>
  <si>
    <t>Ref No</t>
  </si>
  <si>
    <t>Transaction Code</t>
  </si>
  <si>
    <t>Transaction Code Description</t>
  </si>
  <si>
    <t>Currency</t>
  </si>
  <si>
    <t>Transaction Amount</t>
  </si>
  <si>
    <t>Transaction Date</t>
  </si>
  <si>
    <t>Dr Cr</t>
  </si>
  <si>
    <t>Beneficiary ID</t>
  </si>
  <si>
    <t>Beneficiary Name</t>
  </si>
  <si>
    <t>Beneficiary First Name</t>
  </si>
  <si>
    <t>Beneficiary Last Name</t>
  </si>
  <si>
    <t>Beneficiary Middle Name</t>
  </si>
  <si>
    <t>Beneficiary Address</t>
  </si>
  <si>
    <t>Beneficiary Country</t>
  </si>
  <si>
    <t>Beneficiary Type</t>
  </si>
  <si>
    <t>Beneficiary Corporation Or Individual Flag</t>
  </si>
  <si>
    <t>Originator ID</t>
  </si>
  <si>
    <t>Originator Name</t>
  </si>
  <si>
    <t>Originator First Name</t>
  </si>
  <si>
    <t>Originator Last Name</t>
  </si>
  <si>
    <t>Originator Middle Name</t>
  </si>
  <si>
    <t>Originator Address</t>
  </si>
  <si>
    <t>Originator Country</t>
  </si>
  <si>
    <t>Originator Corporation Or Individual Flag</t>
  </si>
  <si>
    <t>Counterparty</t>
  </si>
  <si>
    <t>Yes</t>
  </si>
  <si>
    <t>USD</t>
  </si>
  <si>
    <t>CreditParty</t>
  </si>
  <si>
    <t>Date &amp; Time</t>
  </si>
  <si>
    <t>Analyst ID</t>
  </si>
  <si>
    <t>ECM Case ID</t>
  </si>
  <si>
    <t>Total Entities</t>
  </si>
  <si>
    <t>Total Searches</t>
  </si>
  <si>
    <t>Time Taken</t>
  </si>
  <si>
    <t>Tool Version</t>
  </si>
  <si>
    <t>Error Diagnostic</t>
  </si>
  <si>
    <t>ssaha</t>
  </si>
  <si>
    <t>1 minute(s) and 59 second(s)</t>
  </si>
  <si>
    <t>2.4.1</t>
  </si>
  <si>
    <t>1 minute(s) and 9 second(s)</t>
  </si>
  <si>
    <t>4 minute(s) and 33 second(s)</t>
  </si>
  <si>
    <t>2.4.4</t>
  </si>
  <si>
    <t>5 minute(s) and 45 second(s)</t>
  </si>
  <si>
    <t>2.4.5</t>
  </si>
  <si>
    <t>6 minute(s) and 2 second(s)</t>
  </si>
  <si>
    <t>4 minute(s) and 16 second(s)</t>
  </si>
  <si>
    <t>56 second(s)</t>
  </si>
  <si>
    <t>48 second(s)</t>
  </si>
  <si>
    <t>1 minute(s) and 0 second(s)</t>
  </si>
  <si>
    <t>4 minute(s) and 29 second(s)</t>
  </si>
  <si>
    <t>2.5.0</t>
  </si>
  <si>
    <t>3 minute(s) and 11 second(s)</t>
  </si>
  <si>
    <t>4 minute(s) and 34 second(s)</t>
  </si>
  <si>
    <t>2.5.2</t>
  </si>
  <si>
    <t>6 minute(s) and 24 second(s)</t>
  </si>
  <si>
    <t>2.5.3</t>
  </si>
  <si>
    <t>6 minute(s) and 20 second(s)</t>
  </si>
  <si>
    <t>4 minute(s) and 44 second(s)</t>
  </si>
  <si>
    <t>2.5.5</t>
  </si>
  <si>
    <t>4 minute(s) and 47 second(s)</t>
  </si>
  <si>
    <t>2.5.6</t>
  </si>
  <si>
    <t>6 minute(s) and 58 second(s)</t>
  </si>
  <si>
    <t>2.5.7</t>
  </si>
  <si>
    <t>4 minute(s) and 20 second(s)</t>
  </si>
  <si>
    <t>2.5.9</t>
  </si>
  <si>
    <t>5 minute(s) and 24 second(s)</t>
  </si>
  <si>
    <t>3 minute(s) and 50 second(s)</t>
  </si>
  <si>
    <t>2.5.10</t>
  </si>
  <si>
    <t>2 minute(s) and 7 second(s)</t>
  </si>
  <si>
    <t>2.5.11</t>
  </si>
  <si>
    <t>3 minute(s) and 34 second(s)</t>
  </si>
  <si>
    <t>2.5.12</t>
  </si>
  <si>
    <t>49 second(s)</t>
  </si>
  <si>
    <t>4 minute(s) and 45 second(s)</t>
  </si>
  <si>
    <t>3 minute(s) and 10 second(s)</t>
  </si>
  <si>
    <t>1 minute(s) and 20 second(s)</t>
  </si>
  <si>
    <t>1 minute(s) and 26 second(s)</t>
  </si>
  <si>
    <t>2 minute(s) and 59 second(s)</t>
  </si>
  <si>
    <t>3 minute(s) and 56 second(s)</t>
  </si>
  <si>
    <t>3 minute(s) and 49 second(s)</t>
  </si>
  <si>
    <t>1 minute(s) and 49 second(s)</t>
  </si>
  <si>
    <t>3 minute(s) and 29 second(s)</t>
  </si>
  <si>
    <t>51 second(s)</t>
  </si>
  <si>
    <t>1 minute(s) and 39 second(s)</t>
  </si>
  <si>
    <t>1 minute(s) and 22 second(s)</t>
  </si>
  <si>
    <t>1 minute(s) and 10 second(s)</t>
  </si>
  <si>
    <t>1 minute(s) and 35 second(s)</t>
  </si>
  <si>
    <t>3 minute(s) and 4 second(s)</t>
  </si>
  <si>
    <t>1 minute(s) and 52 second(s)</t>
  </si>
  <si>
    <t>2 minute(s) and 58 second(s)</t>
  </si>
  <si>
    <t>3 minute(s) and 0 second(s)</t>
  </si>
  <si>
    <t>6 minute(s) and 8 second(s)</t>
  </si>
  <si>
    <t>8 minute(s) and 48 second(s)</t>
  </si>
  <si>
    <t>1 minute(s) and 38 second(s)</t>
  </si>
  <si>
    <t>5 minute(s) and 10 second(s)</t>
  </si>
  <si>
    <t>5 minute(s) and 21 second(s)</t>
  </si>
  <si>
    <t>1 minute(s) and 7 second(s)</t>
  </si>
  <si>
    <t>1 minute(s) and 46 second(s)</t>
  </si>
  <si>
    <t>3 minute(s) and 45 second(s)</t>
  </si>
  <si>
    <t>2 minute(s) and 19 second(s)</t>
  </si>
  <si>
    <t>4 minute(s) and 21 second(s)</t>
  </si>
  <si>
    <t>4 minute(s) and 10 second(s)</t>
  </si>
  <si>
    <t>ERROR</t>
  </si>
  <si>
    <t>Err 424: Object required [src: AML_Macro]</t>
  </si>
  <si>
    <t>5 minute(s) and 11 second(s)</t>
  </si>
  <si>
    <t>8 minute(s) and 46 second(s)</t>
  </si>
  <si>
    <t>2 minute(s) and 27 second(s)</t>
  </si>
  <si>
    <t>1 minute(s) and 24 second(s)</t>
  </si>
  <si>
    <t>1 minute(s) and 12 second(s)</t>
  </si>
  <si>
    <t>1 minute(s) and 28 second(s)</t>
  </si>
  <si>
    <t>4 minute(s) and 9 second(s)</t>
  </si>
  <si>
    <t>2 minute(s) and 55 second(s)</t>
  </si>
  <si>
    <t>1 minute(s) and 45 second(s)</t>
  </si>
  <si>
    <t>1 minute(s) and 14 second(s)</t>
  </si>
  <si>
    <t>2 minute(s) and 43 second(s)</t>
  </si>
  <si>
    <t>55 second(s)</t>
  </si>
  <si>
    <t>59 second(s)</t>
  </si>
  <si>
    <t>1 minute(s) and 36 second(s)</t>
  </si>
  <si>
    <t>53 second(s)</t>
  </si>
  <si>
    <t>1 minute(s) and 31 second(s)</t>
  </si>
  <si>
    <t>3 minute(s) and 17 second(s)</t>
  </si>
  <si>
    <t>1 minute(s) and 41 second(s)</t>
  </si>
  <si>
    <t>2 minute(s) and 24 second(s)</t>
  </si>
  <si>
    <t>Err -2147221080: Method 'Cells' of object '_Worksheet' failed [src: AML_Macro]</t>
  </si>
  <si>
    <t>2 minute(s) and 25 second(s)</t>
  </si>
  <si>
    <t>4 minute(s) and 25 second(s)</t>
  </si>
  <si>
    <t>1 minute(s) and 2 second(s)</t>
  </si>
  <si>
    <t>2 minute(s) and 34 second(s)</t>
  </si>
  <si>
    <t>1 minute(s) and 18 second(s)</t>
  </si>
  <si>
    <t>2 minute(s) and 26 second(s)</t>
  </si>
  <si>
    <t>2 minute(s) and 6 second(s)</t>
  </si>
  <si>
    <t>2 minute(s) and 17 second(s)</t>
  </si>
  <si>
    <t>2 minute(s) and 31 second(s)</t>
  </si>
  <si>
    <t>3 minute(s) and 39 second(s)</t>
  </si>
  <si>
    <t>3 minute(s) and 1 second(s)</t>
  </si>
  <si>
    <t>Product</t>
  </si>
  <si>
    <t>Input_Combined</t>
  </si>
  <si>
    <t>Escalation - Scenarios</t>
  </si>
  <si>
    <t>Template Tag</t>
  </si>
  <si>
    <t>Excel Data/Formula</t>
  </si>
  <si>
    <t>Escalation</t>
  </si>
  <si>
    <t>Wise</t>
  </si>
  <si>
    <t>Escalation_Wise</t>
  </si>
  <si>
    <t>Options</t>
  </si>
  <si>
    <t>[Escalation Narrative]</t>
  </si>
  <si>
    <t>Fluz</t>
  </si>
  <si>
    <t>Escalation_Fluz</t>
  </si>
  <si>
    <t>GREYED OUT</t>
  </si>
  <si>
    <t>[MASTER_SHELL]</t>
  </si>
  <si>
    <t>Crypto</t>
  </si>
  <si>
    <t>Escalation_Crypto</t>
  </si>
  <si>
    <t>[Subject Name]</t>
  </si>
  <si>
    <t>Non-Escalation</t>
  </si>
  <si>
    <t>Closure</t>
  </si>
  <si>
    <t>Non-Escalation_Closure</t>
  </si>
  <si>
    <t>[ECM ID]</t>
  </si>
  <si>
    <t>Non-Escalation_Crypto Closure</t>
  </si>
  <si>
    <t>[Alert ID]</t>
  </si>
  <si>
    <t>[Location]</t>
  </si>
  <si>
    <t>Input Power Automate URL</t>
  </si>
  <si>
    <t>[Counterparties]</t>
  </si>
  <si>
    <t xml:space="preserve">Instructions: Analysts to only update 'Blue' Cells and use the action button per their requirements. 'Utility Tool: User Manual V1.0' to be used for further step-by-step instructions. </t>
  </si>
  <si>
    <t>Airwallex</t>
  </si>
  <si>
    <t>[Monthly Average]</t>
  </si>
  <si>
    <t>Common</t>
  </si>
  <si>
    <t>[Num Trans]</t>
  </si>
  <si>
    <t>[Total Amount]</t>
  </si>
  <si>
    <t>[Start Date]</t>
  </si>
  <si>
    <t>[End Date]</t>
  </si>
  <si>
    <t>[Account Numbers]</t>
  </si>
  <si>
    <t>[Program Description]</t>
  </si>
  <si>
    <t>[Program Name]</t>
  </si>
  <si>
    <t>[CP 1]</t>
  </si>
  <si>
    <t>[CP 2]</t>
  </si>
  <si>
    <t>[CP 3]</t>
  </si>
  <si>
    <t>[CP 4]</t>
  </si>
  <si>
    <t>[CP 5]</t>
  </si>
  <si>
    <t>[CP 6]</t>
  </si>
  <si>
    <t>[Rule Name]</t>
  </si>
  <si>
    <t>[Min Amount]</t>
  </si>
  <si>
    <t>[Max Amount]</t>
  </si>
  <si>
    <t>[Cr]</t>
  </si>
  <si>
    <t>[Dr]</t>
  </si>
  <si>
    <t>[Num Cr]</t>
  </si>
  <si>
    <t>[Num Dr]</t>
  </si>
  <si>
    <t>Rule Code Rule Name</t>
  </si>
  <si>
    <t>Rule Code</t>
  </si>
  <si>
    <t>Rule Name</t>
  </si>
  <si>
    <t>RULE02 Large value card transactions for purchase</t>
  </si>
  <si>
    <t>RULE03 Large value cash withdrawals against card - Weekly</t>
  </si>
  <si>
    <t>RULE03A Large value cash withdrawals against card - Monthly</t>
  </si>
  <si>
    <t>RULE04 Repeated small value cash withdrawals against card</t>
  </si>
  <si>
    <t>RULE05 Large repetitive card usage at the same merchant</t>
  </si>
  <si>
    <t>RULE06 High value cash deposits in a month</t>
  </si>
  <si>
    <t>RULE07 High value cash withdrawals in a month</t>
  </si>
  <si>
    <t>RULE10 Sudden high value transaction for the client</t>
  </si>
  <si>
    <t>RULE11 Structuring: Splitting of cash withdrawal just below $10,000 in multiple accounts in a day</t>
  </si>
  <si>
    <t>RULE12 Structuring: Splitting cash deposits just below $10,000 in multiple accounts in a day</t>
  </si>
  <si>
    <t>RULE14 Frequent low cash deposits</t>
  </si>
  <si>
    <t>RULE15 Frequent low cash withdrawals</t>
  </si>
  <si>
    <t>RULE20 Early withdrawal of CD's</t>
  </si>
  <si>
    <t>RULE21 High value inward remittance</t>
  </si>
  <si>
    <t>RULE24 Alerts on Foreign Inward remittance of beyond a threshold limit</t>
  </si>
  <si>
    <t>RULE27A Many to One ACH</t>
  </si>
  <si>
    <t>RULE27A1 Many to One RDFI ACH</t>
  </si>
  <si>
    <t>RULE27A2 Many to One High Volume ACH</t>
  </si>
  <si>
    <t>RULE27B Many to one fund transfer - Wires</t>
  </si>
  <si>
    <t>RULE27C Many to one fund transfer - ACH E-Corp</t>
  </si>
  <si>
    <t>RULE27D Pseudo Debit Many to One</t>
  </si>
  <si>
    <t>RULE28A One to many fund transfer - ACH</t>
  </si>
  <si>
    <t>RULE28B One to many fund transfer - Wires</t>
  </si>
  <si>
    <t>RULE28C One to many fund transfer - ACH E-Corp</t>
  </si>
  <si>
    <t>RULE28D Pseudo Debit One to Many</t>
  </si>
  <si>
    <t>RULE30 High value transactions with a country with high ML risk</t>
  </si>
  <si>
    <t>RULE31 Inward and outward ACH of same amount on same day</t>
  </si>
  <si>
    <t>RULE37 Opening and closing of loan accounts within short period</t>
  </si>
  <si>
    <t>RULE43 High value cash transactions inconsistent with profile</t>
  </si>
  <si>
    <t>RULE45 High value transactions by high-risk customers compared to profile.</t>
  </si>
  <si>
    <t>RULE50 Cash Deposit of total $10,000 or above in a day</t>
  </si>
  <si>
    <t>RULE51 Cash withdrawal of total $10,000 or above in a day</t>
  </si>
  <si>
    <t>RULE54 Deviation from historical behaviors-All</t>
  </si>
  <si>
    <t>RULE54A1 Deviation from historical behaviors-Prepaid Consumer</t>
  </si>
  <si>
    <t>RULE54A2 Deviation from historical behaviors-Prepaid Corporate</t>
  </si>
  <si>
    <t>RULE56 Pattern of "funding" in pre-pay card and rapid "spending" - min pre-load "spend"</t>
  </si>
  <si>
    <t>RULE76 Structuring patterns for IN wires between certain amounts.</t>
  </si>
  <si>
    <t>RULE79 Incoming Activity from High Risk Jurisdiction</t>
  </si>
  <si>
    <t>RULE79A Incoming HR Jurisdiction High Volume Program</t>
  </si>
  <si>
    <t>RULE79B Incoming Activity from Prohibited Jurisdiction</t>
  </si>
  <si>
    <t>RULE80 Outgoing Activity to High-Risk Jurisdiction</t>
  </si>
  <si>
    <t>RULE80A Outgoing Activity to High-Risk Jurisdiction-TransferWise</t>
  </si>
  <si>
    <t>RULE80B Outgoing Activity to Prohibited Jurisdiction</t>
  </si>
  <si>
    <t>RULE85 Transactions Involving Restricted or Prohibited Industries</t>
  </si>
  <si>
    <t>RULE86 Incoming wires from High-Risk Business</t>
  </si>
  <si>
    <t>RULE87 Outgoing Wires from High-Risk Business</t>
  </si>
  <si>
    <t>RULE88 Frequent low cash deposits</t>
  </si>
  <si>
    <t>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</si>
  <si>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Airwallex Hong Kong Ltd</t>
  </si>
  <si>
    <t>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</si>
  <si>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Alviere</t>
  </si>
  <si>
    <t>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</si>
  <si>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ArroFi</t>
  </si>
  <si>
    <t>ArroFi offers credit-building tools via a secured credit card known as the Arro Card. CFSB serves as the card issuer and processes financial transactions for the Arro program.</t>
  </si>
  <si>
    <t>Balance Technologies</t>
  </si>
  <si>
    <t>Balance Technologies provides digital B2B payment solutions for merchants and marketplaces. CFSB issues business debit cards under the Balance program.</t>
  </si>
  <si>
    <t>Bambu</t>
  </si>
  <si>
    <t>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</si>
  <si>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Banco XP</t>
  </si>
  <si>
    <t>Banco XP, through XP Investments US, offers investment and financial services to Brazilian clients. CFSB issues consumer debit cards as part of the Banco XP program.</t>
  </si>
  <si>
    <t xml:space="preserve">CardCash </t>
  </si>
  <si>
    <t>CardCash operates a platform for buying and selling discounted gift cards. CFSB processes ACH settlements to load funds to the CardCash platform.</t>
  </si>
  <si>
    <t xml:space="preserve">CFG Global </t>
  </si>
  <si>
    <t>CFG Global provides foreign exchange and treasury solutions for corporate clients. CFSB facilitates outgoing domestic and international transfers at the direction of CFG Global.</t>
  </si>
  <si>
    <t xml:space="preserve">Chipper Cash </t>
  </si>
  <si>
    <t>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</si>
  <si>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</si>
  <si>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</si>
  <si>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Clearshift</t>
  </si>
  <si>
    <t>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</si>
  <si>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Cogni</t>
  </si>
  <si>
    <t>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</si>
  <si>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Comun</t>
  </si>
  <si>
    <t>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</si>
  <si>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Credit Sesame/SesameCash</t>
  </si>
  <si>
    <t>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</si>
  <si>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Crypto.com (Foris Inc/Foris Dax Inc)</t>
  </si>
  <si>
    <t>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</si>
  <si>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Currencycloud</t>
  </si>
  <si>
    <t>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</si>
  <si>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</si>
  <si>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</si>
  <si>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Currenxie, Ltd</t>
  </si>
  <si>
    <t>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</si>
  <si>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DollarSmart Global PTE LTD</t>
  </si>
  <si>
    <t>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</si>
  <si>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</si>
  <si>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</si>
  <si>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</si>
  <si>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</si>
  <si>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</si>
  <si>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</si>
  <si>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Euro Exchange International Bank</t>
  </si>
  <si>
    <t>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</si>
  <si>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</si>
  <si>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</si>
  <si>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Experian</t>
  </si>
  <si>
    <t>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</si>
  <si>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</si>
  <si>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</si>
  <si>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</si>
  <si>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</si>
  <si>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FLUZ</t>
  </si>
  <si>
    <t>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</si>
  <si>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</si>
  <si>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GenialAI provides audit automation tools for accounting professionals. CFSB issues debit cards tied to Genial’s user services.</t>
  </si>
  <si>
    <t>Global M2C (Skyee)</t>
  </si>
  <si>
    <t>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</si>
  <si>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</si>
  <si>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Global66 offers international money transfers for individuals in Latin America. CFSB processes ACH and wire remittances on behalf of Global66 customers.</t>
  </si>
  <si>
    <t>GoCardless LTD</t>
  </si>
  <si>
    <t>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</si>
  <si>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GoHenry</t>
  </si>
  <si>
    <t>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</si>
  <si>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Greenlight Financial Technology, Inc (Greenlight)</t>
  </si>
  <si>
    <t>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</si>
  <si>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</si>
  <si>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</si>
  <si>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Hamro Patro</t>
  </si>
  <si>
    <t xml:space="preserve"> Hamro Patro is a Nepalese platform offering digital content and financial tools. CFSB supports relevant payment services, including card issuance.</t>
  </si>
  <si>
    <t>Harbour and Hills</t>
  </si>
  <si>
    <t>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</si>
  <si>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Highnote</t>
  </si>
  <si>
    <t>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</si>
  <si>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</si>
  <si>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</si>
  <si>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</si>
  <si>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</si>
  <si>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IPAYLINKS US INC</t>
  </si>
  <si>
    <t>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</si>
  <si>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</si>
  <si>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</si>
  <si>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</si>
  <si>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</si>
  <si>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Keeta</t>
  </si>
  <si>
    <t>Keeta provides real-time cross-border payments using blockchain-based infrastructure. CFSB issues debit cards to support consumer access to funds.</t>
  </si>
  <si>
    <t>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</si>
  <si>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</si>
  <si>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LianLian Global</t>
  </si>
  <si>
    <t>LianLian Global supports cross-border eCommerce payments for sellers on platforms like Amazon and Shopify. CFSB facilitates ACH and wire settlements.</t>
  </si>
  <si>
    <t xml:space="preserve">Liberty Cooperative Credit Union (LCCU) </t>
  </si>
  <si>
    <t>LCCU is a credit union based in Anguilla. CFSB supports debit card issuance to members through the credit union.</t>
  </si>
  <si>
    <t>MAJORITY</t>
  </si>
  <si>
    <t>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</si>
  <si>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Marygold &amp; Co</t>
  </si>
  <si>
    <t>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</si>
  <si>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</si>
  <si>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</si>
  <si>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MSBB Money Ltd</t>
  </si>
  <si>
    <t>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</si>
  <si>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</si>
  <si>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</si>
  <si>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</si>
  <si>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Neosurf offers prepaid vouchers for online purchases without bank accounts. CFSB supports voucher redemption and remittance processing.</t>
  </si>
  <si>
    <t>NIUM</t>
  </si>
  <si>
    <t>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</si>
  <si>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</si>
  <si>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Nomad provides U.S. bank accounts and debit cards to Brazilian customers. CFSB issues Nomad branded debit cards and facilitates currency exchange remittances.</t>
  </si>
  <si>
    <t xml:space="preserve">Pana </t>
  </si>
  <si>
    <t>Pana is a digital financial service provider for the U.S. Latino community. CFSB supports debit card issuance and remittances.</t>
  </si>
  <si>
    <t>Panda Remit</t>
  </si>
  <si>
    <t>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</si>
  <si>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</si>
  <si>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PayFacto provides payment gateway services and point-of-sale solutions. CFSB supports merchant acquiring services and POS settlement.</t>
  </si>
  <si>
    <t>Payoneer Inc.</t>
  </si>
  <si>
    <t>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</si>
  <si>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</si>
  <si>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</si>
  <si>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</si>
  <si>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</si>
  <si>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</si>
  <si>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PaymentEarth provides international payments and FX risk management tools. CFSB facilitates ACH and wire transfers per PaymentEarth instructions.</t>
  </si>
  <si>
    <t>Placid Transfers Corp</t>
  </si>
  <si>
    <t>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</si>
  <si>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</si>
  <si>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Pomelo offers remittance services and credit-building tools through a prepaid card. CFSB facilitates card issuance and international remittance processing.</t>
  </si>
  <si>
    <t>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</si>
  <si>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</si>
  <si>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Pronto Money Transfer Inc</t>
  </si>
  <si>
    <t>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</si>
  <si>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</si>
  <si>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</si>
  <si>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</si>
  <si>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</si>
  <si>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</si>
  <si>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SentBe offers low-cost remittance services focused on South Korea and APAC. CFSB processes international wires and ACH transfers for SentBe users.</t>
  </si>
  <si>
    <t>Skrill</t>
  </si>
  <si>
    <t>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</si>
  <si>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</si>
  <si>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Speedchain provides real-time spend and payment management tools for businesses. CFSB supports domestic payment settlement and card issuance under Speedchain programs.</t>
  </si>
  <si>
    <t>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</si>
  <si>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</si>
  <si>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</si>
  <si>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</si>
  <si>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</si>
  <si>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URemit is a remittance platform serving over 130 countries. CFSB facilitates domestic and international payments on behalf of URemit customers.</t>
  </si>
  <si>
    <t xml:space="preserve">Unlimit </t>
  </si>
  <si>
    <t>Unlimit offers global payment infrastructure supporting card, wallet, and crypto payments. CFSB facilitates ACH and wire settlements on behalf of Unlimit clients.</t>
  </si>
  <si>
    <t>VertoFX</t>
  </si>
  <si>
    <t>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</si>
  <si>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Vitesse PSP Origination</t>
  </si>
  <si>
    <t>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</si>
  <si>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WAVE MONEY</t>
  </si>
  <si>
    <t>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</si>
  <si>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</si>
  <si>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</si>
  <si>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</si>
  <si>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WireBarley provides affordable international remittance services, especially within the AsiaPacific region. CFSB facilitates global remittance flows and card funding.</t>
  </si>
  <si>
    <t>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</si>
  <si>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</si>
  <si>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Zolve</t>
  </si>
  <si>
    <t>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</si>
  <si>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Template Key</t>
  </si>
  <si>
    <t>Template Body</t>
  </si>
  <si>
    <t>Crypto_Escalation</t>
  </si>
  <si>
    <t>Crypto_Non_Escalation</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</si>
  <si>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</si>
  <si>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RFI_Wise</t>
  </si>
  <si>
    <t>RFI_Airwallex</t>
  </si>
  <si>
    <t>RFI_Common</t>
  </si>
  <si>
    <t>Scenario Key</t>
  </si>
  <si>
    <t>Narrative Template</t>
  </si>
  <si>
    <t>Wise_Escalation_E-Commerce_Yes_Moderate</t>
  </si>
  <si>
    <t>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</si>
  <si>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Wise_Escalation_E-Commerce_No_Moderate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</si>
  <si>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</si>
  <si>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Wise_Escalation_Vendor/Payroll_Yes_Moderate</t>
  </si>
  <si>
    <t>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</si>
  <si>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Wise_Escalation_Vendor/Payroll_No_Moderate</t>
  </si>
  <si>
    <t>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</si>
  <si>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Wise_Escalation_Same-Name_Yes_Moderate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</si>
  <si>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</si>
  <si>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Wise_Escalation_Same-Name_No_Moderate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</si>
  <si>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</si>
  <si>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Wise_Escalation_General Business_Yes_Moderate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</si>
  <si>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</si>
  <si>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Wise_Escalation_General Business_No_Moderate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</si>
  <si>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</si>
  <si>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</si>
  <si>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</si>
  <si>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test</t>
  </si>
  <si>
    <t xml:space="preserve">			Financial Crimes Compliance Unit
			AML / TM Department
To: rfi@wise.com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</si>
  <si>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			Financial Crimes Compliance Unit
			AML / TM Department
To: external.rfi@airwallex.com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</si>
  <si>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			Financial Crimes Compliance Unit
			AML / TM Department
To: [Program Contact from list]
Cc: AMLRequests@cfsb.com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</si>
  <si>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received [Num Trans] wire transfers totaling $[Total Amount], with individual transaction amounts ranging from [Min Amount] to [Max Amount]. These wires were received from [Counterparties]. [Counterparty Name] with an address in [Country] sent [Num Trans] wire(s) totaling $[Total] to [Subject Name]. [Repeat block per additional counterparty.] [List each high-risk jurisdiction by name] is/are classified as a high-risk jurisdiction(s). [Edit as per case-to-case basis]
[If clustering present:] Multiple transactions were conducted on the same or near-consecutive days. Specifically, [Counterparty Name] sent [Num Trans] wires totaling $[Amount] on [Date(s)]. [Repeat block per clustering event per counterparty.] [Edit as per case-to-case basis]
[If round/high dollar amounts:] Transaction amounts were for high and/or round dollar values.
Internal records indicate that [Subject Name] operates in [Industry/Business Activity].
Open-source due diligence (“OSDD”) identified this entity's website identified [Subject Name]'s website at [Website URL] and a [business registration record / government-issued identification record] in [Country]. Per open sources, [Subject Name] is a [Entity Type, e.g., private limited liability company / individual] [established in / born in / residing in] [Country] on/as of [Incorporation Date / Date of Birth] and [active in / employed in / associated with] [Industry / Employer / Business Activity]. OSDD conducted on [Counterparties] did not identify conclusive information regarding [this entity's / this individual's / these entities' / these individuals'] business profile(s) [or / and] background(s). Therefore, the source of funds and purpose of the transactions remain unknown. [Edit as per case-to-case basis]
No negative news has been identified on [Subject Name] and its counterparties.
Based on this investigation, [Subject Name] appears engaged in potentially questionable activity indicative of a pattern of high volume and high dollar transactions with counterparties with unidentified business profiles and located in high-risk jurisdictions indicates potentially suspicious EFT/wire transfers with unknown source of funds.</t>
  </si>
  <si>
    <t>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Suspicion concerning the source of funds, Other: High Volume
3. Total Suspicious Dollar Amount: $[Total Amount] (rounded to nearest dollar)
4. Date Range of Suspicious Activity: [Start Date] through [End Date]
5. Associated Program Partner: [Program Name]
6. Financial Institution and Account Number: CFSB, [Account Numbers]
Based on CFSB's knowledge, [Subject Name] is an indirect customer of CFSB and is instead a client of [Program Name] program. [Program Description]
Between [Start Date] and [End Date], [Subject Name] conducted [Num Trans] transactions totaling $[Total Amount], all of which were conducted with [Counterparties]. The activity included repeated rapid same-day or near-consecutive day point of sale purchases at various [Counterparties] locations across multiple [states / countries / jurisdictions]. For example, on [Date 1], [Subject Name] conducted [Num Trans] transactions totaling $[Amount 1] at [Counterparties] locations in [Location 1] and [Location 2], representing a high volume of activity within a single day. This pattern occurred numerous times throughout the review period, with transactions taking place at [Counterparties] locations across [List of States / Countries / Jurisdictions]. [Edit as per case-to-case basis]
Open-source due diligence (“OSDD”) [was unable to identify / identified] [Subject Name]'s [occupation / employment / business activity], [thus raising concerns regarding the source of funding / and no concerns regarding the source of funding were identified]. No additional negative news or sanctions-related concerns were identified. [Edit as per case-to-case basis]
Based on this investigation, [Subject Name] appears engaged in potentially questionable activity involving a high volume of activity occurring across the same day or consecutive days with additional concerns related to the source of the funding of the activity.</t>
  </si>
  <si>
    <t>ALERT REVIEW SUMMARY
[ECM ID]_[Alert ID] has been investigated in a targeted review of the Crypto program. As such, this review consists of alerted accounts and transactions tied solely to this customer's use of the program.
Program: [Program Name]
Customer: [Subject Name]
Customer accounts: [Account Numbers] (Open/Close Date)
Review Period: [Start Date] through [End Date]
Aggregate value of Alerts: $[Total Amount]
Associated Alerts: [Alert ID]
Rule(s) Triggered: [Rule Name]
[Alert ID] has/have been investigated in a targeted review of the [Program Name]program. As such, this review consists of alerted accounts and transactions tied solely to this customer's use of the program.
________________________________________
PROGRAM DESCRIPTION
Based on CFSB's knowledge, [Subject Name] is an indirect customer of CFSB and is instead a client of [Program Name]program.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</si>
  <si>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43 second(s)</t>
  </si>
  <si>
    <t/>
  </si>
  <si>
    <t>6 minute(s) and 10 second(s)</t>
  </si>
  <si>
    <t>5 minute(s) and 39 second(s)</t>
  </si>
  <si>
    <t>2 minute(s) and 10 second(s)</t>
  </si>
  <si>
    <t>3 minute(s) and 33 second(s)</t>
  </si>
  <si>
    <t>2 minute(s) and 51 second(s)</t>
  </si>
  <si>
    <t>5 minute(s) and 19 second(s)</t>
  </si>
  <si>
    <t>1 minute(s) and 34 second(s)</t>
  </si>
  <si>
    <t>2 minute(s) and 20 second(s)</t>
  </si>
  <si>
    <t>2 minute(s) and 11 second(s)</t>
  </si>
  <si>
    <t>2 minute(s) and 46 second(s)</t>
  </si>
  <si>
    <t>3 minute(s) and 38 second(s)</t>
  </si>
  <si>
    <t>1 minute(s) and 15 second(s)</t>
  </si>
  <si>
    <t>1 minute(s) and 44 second(s)</t>
  </si>
  <si>
    <t>3 minute(s) and 37 second(s)</t>
  </si>
  <si>
    <t>5 minute(s) and 57 second(s)</t>
  </si>
  <si>
    <t>2 minute(s) and 33 second(s)</t>
  </si>
  <si>
    <t>2 minute(s) and 53 second(s)</t>
  </si>
  <si>
    <t>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High-frequency transactions to unknown counterparties.
3. Total Suspicious Dollar Amount: $[Total Amount]
4. Date Range of Suspicious Activity: [Start Date] through [End Date]
5. Associated Program Partner: [Program Name]
Fluz is designed for routine prepaid spending that reflects normal consumer or business purchase behavior and is not intended for large, repeated loads and redemptions within short timeframes. A rapid load and spend pattern involving high aggregate amounts on the same or consecutive days departs from expected use patterns and raises suspicion that the product may be used as a fund movement or value cycling mechanism rather than as a payment tool.
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
A review of the alerted transactions (and in scope transactions) was conducted covering the period from [Start Date] to [End Date]. The review yielded the following results:
Between [Start Date] and [End Date], [Subject Name] sent [Num Trans] transactions totaling $[Total Amount], which are indicative of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 including [Counterparties]. [Edit as per case-to-case basis]
Furthermore, the actual beneficiary remains unknown, and due diligence has failed to identify any occupational details or a verifiable source of income for the customer. The transactions were sent in round dollar amounts majorly, which is inconsistent with expected Fluz prepaid purchase behavior and suggests potentially suspicious activity or misuse of the platform. Based on the above information, the alert is recommended for further review. [Edit as per case-to-case basis]
The focal entity, [Subject Name], is [Age] years old (DOB: [DOB]) and is located at [Location].
Due diligence did not yield conclusive information on [Subject Name]. The lack of identifiable information on the Subject, while transacting at such high values and volumes, further compounds the concern raised by the value, volume, and structure of the transactions observed. Additionally, no derogatory information was identified through negative media or sanctions searches.
It is noted that between [Start Date] and [End Date], [Subject Name] sent [Num Trans] transactions totaling $[Total Amount], wherein the customer debited an average amount of $[Monthly Average] across the transactions, primarily in amounts ranging from [Min Amount] to [Max Amount]. These transactions were often sent in round dollars and involved the movement of funds through payment service provider, [Counterparties]. The rapid spending pattern in high aggregate amounts is inconsistent with the [Program Name] prepaid purchase behavior and suggests potentially suspicious behavior, or misuse of the platform. Furthermore, the actual beneficiary remains unknown, and external due diligence has failed to identify any occupational details or a verifiable source of income for the customer. [Edit as per case-to-case basis]
Given the structured transaction pattern and the inability to establish a clear economic purpose, this case is recommended to be escalated and warrants further investigation.</t>
  </si>
  <si>
    <t>2 minute(s) and 28 second(s)</t>
  </si>
  <si>
    <t>2 minute(s) and 56 second(s)</t>
  </si>
  <si>
    <t>27 second(s)</t>
  </si>
  <si>
    <t>35 second(s)</t>
  </si>
  <si>
    <t>6 minute(s) and 13 second(s)</t>
  </si>
  <si>
    <t>4 minute(s) and 50 second(s)</t>
  </si>
  <si>
    <t>1 minute(s) and 53 second(s)</t>
  </si>
  <si>
    <t>4 minute(s) and 27 second(s)</t>
  </si>
  <si>
    <t>1 minute(s) and 47 second(s)</t>
  </si>
  <si>
    <t>5 minute(s) and 48 second(s)</t>
  </si>
  <si>
    <t>5 minute(s) and 26 second(s)</t>
  </si>
  <si>
    <t>4 minute(s) and 12 second(s)</t>
  </si>
  <si>
    <t>7 minute(s) and 18 second(s)</t>
  </si>
  <si>
    <t>8 minute(s) and 31 second(s)</t>
  </si>
  <si>
    <t>3 minute(s) and 40 second(s)</t>
  </si>
  <si>
    <t>6 minute(s) and 5 second(s)</t>
  </si>
  <si>
    <t>5 minute(s) and 17 second(s)</t>
  </si>
  <si>
    <t>5 minute(s) and 52 second(s)</t>
  </si>
  <si>
    <t>4 minute(s) and 17 second(s)</t>
  </si>
  <si>
    <t>3 minute(s) and 23 second(s)</t>
  </si>
  <si>
    <t>4 minute(s) and 30 second(s)</t>
  </si>
  <si>
    <t>3 minute(s) and 6 second(s)</t>
  </si>
  <si>
    <t>4 minute(s) and 31 second(s)</t>
  </si>
  <si>
    <t>3 minute(s) and 43 second(s)</t>
  </si>
  <si>
    <t>3 minute(s) and 42 second(s)</t>
  </si>
  <si>
    <t>1 minute(s) and 40 second(s)</t>
  </si>
  <si>
    <t>1 minute(s) and 23 second(s)</t>
  </si>
  <si>
    <t>39 second(s)</t>
  </si>
  <si>
    <t>1 minute(s) and 56 second(s)</t>
  </si>
  <si>
    <t>28 second(s)</t>
  </si>
  <si>
    <t>CAPTCHA Flagged</t>
  </si>
  <si>
    <t>2.6.0</t>
  </si>
  <si>
    <t>16 minute(s) and 41 second(s)</t>
  </si>
  <si>
    <t>Party Type1</t>
  </si>
  <si>
    <t>Party Name1</t>
  </si>
  <si>
    <t>Party Address1</t>
  </si>
  <si>
    <t>Party Type2</t>
  </si>
  <si>
    <t>Party Name2</t>
  </si>
  <si>
    <t>Party Address2</t>
  </si>
  <si>
    <t>ALERT REVIEW SUMMARY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</si>
  <si>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5 minute(s) and 28 second(s)</t>
  </si>
  <si>
    <t>33 second(s)</t>
  </si>
  <si>
    <t>1 minute(s) and 6 second(s)</t>
  </si>
  <si>
    <t>1 minute(s) and 3 second(s)</t>
  </si>
  <si>
    <t>Customer / Counterparty</t>
  </si>
  <si>
    <t>Type of Search</t>
  </si>
  <si>
    <t>Naming Convention</t>
  </si>
  <si>
    <t>Google name</t>
  </si>
  <si>
    <t>Address</t>
  </si>
  <si>
    <t>Name + Address</t>
  </si>
  <si>
    <t>Negative News, page 1</t>
  </si>
  <si>
    <t>Negative News, page 2</t>
  </si>
  <si>
    <t>Link</t>
  </si>
  <si>
    <t>Raw URL</t>
  </si>
  <si>
    <t>Open URL</t>
  </si>
  <si>
    <t>PDF Risk Class</t>
  </si>
  <si>
    <t>Excel Risk Class</t>
  </si>
  <si>
    <t>PDFRisk</t>
  </si>
  <si>
    <t>N/A</t>
  </si>
  <si>
    <t>Riskc Score</t>
  </si>
  <si>
    <t>1 minute(s) and 4 second(s)</t>
  </si>
  <si>
    <t>2 minute(s) and 12 second(s)</t>
  </si>
  <si>
    <t>Party Type3</t>
  </si>
  <si>
    <t>Party Name3</t>
  </si>
  <si>
    <t>Party Address3</t>
  </si>
  <si>
    <t>Party Type4</t>
  </si>
  <si>
    <t>Party Name4</t>
  </si>
  <si>
    <t>Party Address4</t>
  </si>
  <si>
    <t>Many to one fund transfer - Wires</t>
  </si>
  <si>
    <t>Fed_C_CTRC</t>
  </si>
  <si>
    <t>Customer Transfer</t>
  </si>
  <si>
    <t>CdtrAgt</t>
  </si>
  <si>
    <t>DbtrAgt</t>
  </si>
  <si>
    <t>InstdAgt</t>
  </si>
  <si>
    <t xml:space="preserve">  </t>
  </si>
  <si>
    <t xml:space="preserve">                    </t>
  </si>
  <si>
    <t>InstgAgt</t>
  </si>
  <si>
    <t xml:space="preserve">  COMMUNITY FSB</t>
  </si>
  <si>
    <t xml:space="preserve">  JPMORGAN CHASE BANK</t>
  </si>
  <si>
    <t xml:space="preserve">NEW YORK NY 10004 US                    </t>
  </si>
  <si>
    <t>1 minute(s) and 50 second(s)</t>
  </si>
  <si>
    <t xml:space="preserve">COMMUNITY FEDERAL SAVINGS BANK NEW YORK NY 10019 US                   </t>
  </si>
  <si>
    <t>3 minute(s) and 12 second(s)</t>
  </si>
  <si>
    <t>3 minute(s) and 16 second(s)</t>
  </si>
  <si>
    <t>ALERT2350097</t>
  </si>
  <si>
    <t>TONIK SOBCZAK, ZIEBA SP.K.</t>
  </si>
  <si>
    <t>Tonik Sobczak, Zieba Sp.K.</t>
  </si>
  <si>
    <t>JANA KOCHANOWSKIEGO 4 LOK. 4 POZNAN, 60-844, Poland</t>
  </si>
  <si>
    <t>2290814969</t>
  </si>
  <si>
    <t>MSP8311619788</t>
  </si>
  <si>
    <t>bc336502-9a47-41ac-9f6f-856377d86c4b</t>
  </si>
  <si>
    <t>TONIK</t>
  </si>
  <si>
    <t>30 W. 26TH STREET NEW YORK NY 10010 US                 US</t>
  </si>
  <si>
    <t>2907339567</t>
  </si>
  <si>
    <t>EMANATE AI INC.</t>
  </si>
  <si>
    <t>2261 MARKET STREET SAN FRANCISCO CA 94114- US                 US</t>
  </si>
  <si>
    <t>2342158005</t>
  </si>
  <si>
    <t>460de60c-4dc7-47d6-8437-ff9010a6c6a0</t>
  </si>
  <si>
    <t>TONIK SOBCZAK ZIEBA SPOLKA KOMANDYT</t>
  </si>
  <si>
    <t>UL JANA KOCHANOWSKIEGO 4 LOK 4 POZNAN 60844 PL                 RS</t>
  </si>
  <si>
    <t>591896118</t>
  </si>
  <si>
    <t>DATA4CURE, INC.</t>
  </si>
  <si>
    <t>201 BROADWAY STE 430 CAMBRIDGE MA 02139-1955 US                 US</t>
  </si>
  <si>
    <t>2342195709</t>
  </si>
  <si>
    <t>b8e88ac4-dedd-42d0-bb13-7acf629beb22</t>
  </si>
  <si>
    <t>3/US                  US</t>
  </si>
  <si>
    <t>6682046471</t>
  </si>
  <si>
    <t>WINDING AI INC</t>
  </si>
  <si>
    <t>2/1887 WHITNEY MESA DR 2/NUM 5338 3/US/HENDERSON NV 89014-2069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</si>
</sst>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6" x14ac:knownFonts="1">
    <font>
      <sz val="11"/>
      <color theme="1"/>
      <name val="Calibri"/>
      <family val="2"/>
      <scheme val="minor"/>
    </font>
    <font>
      <sz val="11"/>
      <color theme="1"/>
      <name val="Calibri"/>
      <family val="2"/>
    </font>
    <font>
      <u/>
      <sz val="11"/>
      <color theme="10"/>
      <name val="Calibri"/>
      <family val="2"/>
      <scheme val="minor"/>
    </font>
    <font>
      <sz val="11"/>
      <name val="Calibri"/>
      <family val="2"/>
      <scheme val="minor"/>
    </font>
    <font>
      <b/>
      <u/>
      <sz val="12"/>
      <color theme="1"/>
      <name val="Calibri"/>
      <family val="2"/>
    </font>
    <font>
      <b/>
      <sz val="12"/>
      <color theme="1"/>
      <name val="Calibri"/>
      <family val="2"/>
    </font>
    <font>
      <sz val="12"/>
      <color theme="1"/>
      <name val="Calibri"/>
      <family val="2"/>
    </font>
    <font>
      <u/>
      <sz val="12"/>
      <color theme="1"/>
      <name val="Calibri"/>
      <family val="2"/>
    </font>
    <font>
      <b/>
      <u/>
      <sz val="11"/>
      <color theme="1"/>
      <name val="Calibri"/>
      <family val="2"/>
    </font>
    <font>
      <b/>
      <sz val="13"/>
      <color theme="0"/>
      <name val="Segoe UI"/>
      <family val="2"/>
    </font>
    <font>
      <b/>
      <i/>
      <sz val="8.5"/>
      <color theme="0"/>
      <name val="Segoe UI"/>
      <family val="2"/>
    </font>
    <font>
      <b/>
      <i/>
      <sz val="11"/>
      <color theme="3" tint="-0.499984740745262"/>
      <name val="Calibri"/>
      <family val="2"/>
      <scheme val="minor"/>
    </font>
    <font>
      <sz val="12"/>
      <color theme="1"/>
      <name val="Aptos"/>
      <family val="2"/>
    </font>
    <font>
      <b/>
      <i/>
      <sz val="8.5"/>
      <name val="Segoe UI"/>
      <family val="2"/>
    </font>
    <font>
      <b/>
      <i/>
      <u/>
      <sz val="9"/>
      <name val="Segoe UI"/>
      <family val="2"/>
    </font>
    <font>
      <sz val="8"/>
      <name val="Segoe UI"/>
      <family val="2"/>
    </font>
    <font>
      <sz val="8.5"/>
      <name val="Calibri"/>
      <family val="2"/>
      <scheme val="minor"/>
    </font>
    <font>
      <b/>
      <i/>
      <u/>
      <sz val="9"/>
      <color rgb="FF666699"/>
      <name val="Segoe UI"/>
      <family val="2"/>
    </font>
    <font>
      <b/>
      <i/>
      <sz val="9"/>
      <color rgb="FF002060"/>
      <name val="Segoe UI"/>
      <family val="2"/>
    </font>
    <font>
      <b/>
      <i/>
      <sz val="12"/>
      <color theme="0"/>
      <name val="Segoe UI"/>
      <family val="2"/>
    </font>
    <font>
      <b/>
      <i/>
      <sz val="9"/>
      <color theme="1"/>
      <name val="Segoe UI"/>
      <family val="2"/>
    </font>
    <font>
      <b/>
      <i/>
      <sz val="10"/>
      <color theme="0"/>
      <name val="Segoe UI"/>
      <family val="2"/>
    </font>
    <font>
      <b/>
      <sz val="16"/>
      <color rgb="FF002060"/>
      <name val="Segoe UI"/>
      <family val="2"/>
    </font>
    <font>
      <b/>
      <i/>
      <sz val="9"/>
      <name val="Segoe UI"/>
      <family val="2"/>
    </font>
    <font>
      <sz val="11"/>
      <color theme="0"/>
      <name val="Calibri"/>
      <family val="2"/>
      <scheme val="minor"/>
    </font>
    <font>
      <b/>
      <sz val="11"/>
      <name val="Calibri"/>
      <family val="2"/>
      <scheme val="minor"/>
    </font>
    <font>
      <i/>
      <sz val="10"/>
      <name val="Segoe UI"/>
      <family val="2"/>
    </font>
    <font>
      <b/>
      <sz val="11"/>
      <color rgb="FFFFFFFF"/>
      <name val="Calibri"/>
      <family val="2"/>
      <scheme val="minor"/>
    </font>
    <font>
      <b/>
      <sz val="11"/>
      <color rgb="FFFFFFFF"/>
      <name val="Arial"/>
      <family val="2"/>
    </font>
    <font>
      <sz val="10"/>
      <name val="Arial"/>
      <family val="2"/>
    </font>
    <font>
      <sz val="11"/>
      <color theme="1"/>
      <name val="Calibri"/>
      <family val="2"/>
      <charset val="1"/>
    </font>
    <font>
      <sz val="11"/>
      <color theme="1"/>
      <name val="Calibri"/>
      <family val="2"/>
      <scheme val="minor"/>
    </font>
    <font>
      <b/>
      <sz val="11"/>
      <color theme="1"/>
      <name val="Calibri"/>
      <family val="2"/>
      <scheme val="minor"/>
    </font>
    <font>
      <b/>
      <sz val="9"/>
      <color rgb="FF000000"/>
      <name val="Segoe UI"/>
    </font>
    <font>
      <sz val="8"/>
      <color rgb="FF000000"/>
      <name val="Segoe UI"/>
    </font>
    <font>
      <sz val="11"/>
      <name val="Calibri"/>
    </font>
  </fonts>
  <fills count="20">
    <fill>
      <patternFill patternType="none"/>
    </fill>
    <fill>
      <patternFill patternType="gray125"/>
    </fill>
    <fill>
      <patternFill patternType="solid">
        <fgColor rgb="FFD3D3D3"/>
        <bgColor rgb="FFD3D3D3"/>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rgb="FFFFFF00"/>
        <bgColor indexed="64"/>
      </patternFill>
    </fill>
    <fill>
      <patternFill patternType="solid">
        <fgColor theme="4"/>
      </patternFill>
    </fill>
    <fill>
      <patternFill patternType="solid">
        <fgColor theme="3" tint="0.79998168889431442"/>
        <bgColor indexed="64"/>
      </patternFill>
    </fill>
    <fill>
      <patternFill patternType="solid">
        <fgColor rgb="FF00467F"/>
        <bgColor indexed="64"/>
      </patternFill>
    </fill>
    <fill>
      <patternFill patternType="lightTrellis">
        <bgColor theme="0" tint="-0.14999847407452621"/>
      </patternFill>
    </fill>
    <fill>
      <patternFill patternType="solid">
        <fgColor rgb="FF00467F"/>
        <bgColor rgb="FF002060"/>
      </patternFill>
    </fill>
    <fill>
      <patternFill patternType="solid">
        <fgColor rgb="FFDCE6F1"/>
        <bgColor rgb="FFDAE3F3"/>
      </patternFill>
    </fill>
    <fill>
      <patternFill patternType="solid">
        <fgColor rgb="FFD6DCE4"/>
        <bgColor indexed="64"/>
      </patternFill>
    </fill>
  </fills>
  <borders count="69">
    <border>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D3D3D3"/>
      </left>
      <right style="thin">
        <color rgb="FFD3D3D3"/>
      </right>
      <top style="thin">
        <color rgb="FFD3D3D3"/>
      </top>
      <bottom style="thin">
        <color rgb="FFD3D3D3"/>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style="thin">
        <color rgb="FF002060"/>
      </right>
      <top style="thin">
        <color rgb="FF002060"/>
      </top>
      <bottom style="thin">
        <color rgb="FF002060"/>
      </bottom>
      <diagonal/>
    </border>
    <border>
      <left/>
      <right style="thin">
        <color rgb="FF002060"/>
      </right>
      <top style="thin">
        <color rgb="FF002060"/>
      </top>
      <bottom style="thin">
        <color rgb="FF002060"/>
      </bottom>
      <diagonal/>
    </border>
    <border>
      <left style="medium">
        <color rgb="FF002060"/>
      </left>
      <right style="thin">
        <color rgb="FF002060"/>
      </right>
      <top style="medium">
        <color rgb="FF002060"/>
      </top>
      <bottom style="thin">
        <color rgb="FF002060"/>
      </bottom>
      <diagonal/>
    </border>
    <border>
      <left style="medium">
        <color rgb="FF002060"/>
      </left>
      <right style="thin">
        <color rgb="FF002060"/>
      </right>
      <top style="thin">
        <color rgb="FF002060"/>
      </top>
      <bottom style="thin">
        <color rgb="FF002060"/>
      </bottom>
      <diagonal/>
    </border>
    <border>
      <left style="thin">
        <color rgb="FF002060"/>
      </left>
      <right style="medium">
        <color rgb="FF002060"/>
      </right>
      <top style="thin">
        <color rgb="FF002060"/>
      </top>
      <bottom style="thin">
        <color rgb="FF002060"/>
      </bottom>
      <diagonal/>
    </border>
    <border>
      <left style="medium">
        <color rgb="FF002060"/>
      </left>
      <right style="thin">
        <color rgb="FF002060"/>
      </right>
      <top style="thin">
        <color rgb="FF002060"/>
      </top>
      <bottom style="medium">
        <color rgb="FF002060"/>
      </bottom>
      <diagonal/>
    </border>
    <border>
      <left style="thin">
        <color rgb="FF002060"/>
      </left>
      <right style="thin">
        <color rgb="FF002060"/>
      </right>
      <top style="thin">
        <color rgb="FF002060"/>
      </top>
      <bottom style="medium">
        <color rgb="FF002060"/>
      </bottom>
      <diagonal/>
    </border>
    <border>
      <left style="thin">
        <color rgb="FF002060"/>
      </left>
      <right style="medium">
        <color rgb="FF002060"/>
      </right>
      <top style="thin">
        <color rgb="FF002060"/>
      </top>
      <bottom style="medium">
        <color rgb="FF002060"/>
      </bottom>
      <diagonal/>
    </border>
    <border>
      <left/>
      <right style="thin">
        <color rgb="FF002060"/>
      </right>
      <top style="thin">
        <color rgb="FF002060"/>
      </top>
      <bottom style="medium">
        <color rgb="FF002060"/>
      </bottom>
      <diagonal/>
    </border>
    <border>
      <left/>
      <right style="thin">
        <color indexed="64"/>
      </right>
      <top style="thin">
        <color indexed="64"/>
      </top>
      <bottom style="medium">
        <color rgb="FF002060"/>
      </bottom>
      <diagonal/>
    </border>
    <border>
      <left style="medium">
        <color rgb="FF002060"/>
      </left>
      <right style="medium">
        <color rgb="FF002060"/>
      </right>
      <top style="thin">
        <color rgb="FF002060"/>
      </top>
      <bottom style="thin">
        <color rgb="FF002060"/>
      </bottom>
      <diagonal/>
    </border>
    <border>
      <left style="medium">
        <color rgb="FF002060"/>
      </left>
      <right style="medium">
        <color rgb="FF002060"/>
      </right>
      <top style="thin">
        <color rgb="FF002060"/>
      </top>
      <bottom style="medium">
        <color rgb="FF002060"/>
      </bottom>
      <diagonal/>
    </border>
    <border>
      <left style="medium">
        <color rgb="FF002060"/>
      </left>
      <right style="thin">
        <color rgb="FF002060"/>
      </right>
      <top/>
      <bottom style="thin">
        <color rgb="FF002060"/>
      </bottom>
      <diagonal/>
    </border>
    <border>
      <left style="thin">
        <color rgb="FF002060"/>
      </left>
      <right style="thin">
        <color rgb="FF002060"/>
      </right>
      <top/>
      <bottom style="thin">
        <color rgb="FF002060"/>
      </bottom>
      <diagonal/>
    </border>
    <border>
      <left style="thin">
        <color rgb="FF002060"/>
      </left>
      <right style="medium">
        <color rgb="FF002060"/>
      </right>
      <top/>
      <bottom style="thin">
        <color rgb="FF002060"/>
      </bottom>
      <diagonal/>
    </border>
    <border>
      <left style="medium">
        <color rgb="FF002060"/>
      </left>
      <right style="medium">
        <color rgb="FF002060"/>
      </right>
      <top/>
      <bottom style="thin">
        <color rgb="FF002060"/>
      </bottom>
      <diagonal/>
    </border>
    <border>
      <left/>
      <right style="thin">
        <color rgb="FF002060"/>
      </right>
      <top/>
      <bottom style="thin">
        <color rgb="FF002060"/>
      </bottom>
      <diagonal/>
    </border>
    <border>
      <left/>
      <right/>
      <top style="thin">
        <color rgb="FF002060"/>
      </top>
      <bottom style="thin">
        <color rgb="FF002060"/>
      </bottom>
      <diagonal/>
    </border>
    <border>
      <left/>
      <right style="medium">
        <color rgb="FF002060"/>
      </right>
      <top style="thin">
        <color rgb="FF002060"/>
      </top>
      <bottom style="thin">
        <color rgb="FF00206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medium">
        <color rgb="FF002060"/>
      </left>
      <right style="thin">
        <color indexed="64"/>
      </right>
      <top style="medium">
        <color rgb="FF002060"/>
      </top>
      <bottom style="medium">
        <color rgb="FF002060"/>
      </bottom>
      <diagonal/>
    </border>
    <border>
      <left/>
      <right style="thin">
        <color indexed="64"/>
      </right>
      <top style="medium">
        <color indexed="64"/>
      </top>
      <bottom/>
      <diagonal/>
    </border>
    <border>
      <left style="thin">
        <color rgb="FF002060"/>
      </left>
      <right style="thin">
        <color indexed="64"/>
      </right>
      <top style="medium">
        <color indexed="64"/>
      </top>
      <bottom/>
      <diagonal/>
    </border>
    <border>
      <left/>
      <right style="medium">
        <color indexed="64"/>
      </right>
      <top style="medium">
        <color indexed="64"/>
      </top>
      <bottom/>
      <diagonal/>
    </border>
    <border>
      <left/>
      <right/>
      <top/>
      <bottom style="thin">
        <color rgb="FF002060"/>
      </bottom>
      <diagonal/>
    </border>
    <border>
      <left style="medium">
        <color rgb="FF002060"/>
      </left>
      <right style="medium">
        <color rgb="FF002060"/>
      </right>
      <top style="medium">
        <color rgb="FF002060"/>
      </top>
      <bottom/>
      <diagonal/>
    </border>
    <border>
      <left/>
      <right/>
      <top style="medium">
        <color rgb="FF002060"/>
      </top>
      <bottom style="thin">
        <color rgb="FF002060"/>
      </bottom>
      <diagonal/>
    </border>
    <border>
      <left/>
      <right style="thin">
        <color rgb="FF002060"/>
      </right>
      <top style="medium">
        <color rgb="FF002060"/>
      </top>
      <bottom style="thin">
        <color rgb="FF002060"/>
      </bottom>
      <diagonal/>
    </border>
    <border>
      <left/>
      <right/>
      <top style="medium">
        <color indexed="64"/>
      </top>
      <bottom/>
      <diagonal/>
    </border>
    <border>
      <left/>
      <right/>
      <top style="medium">
        <color indexed="64"/>
      </top>
      <bottom style="thin">
        <color indexed="64"/>
      </bottom>
      <diagonal/>
    </border>
    <border>
      <left/>
      <right/>
      <top style="thin">
        <color indexed="64"/>
      </top>
      <bottom style="medium">
        <color rgb="FF002060"/>
      </bottom>
      <diagonal/>
    </border>
    <border>
      <left/>
      <right/>
      <top style="thin">
        <color rgb="FF002060"/>
      </top>
      <bottom style="medium">
        <color rgb="FF002060"/>
      </bottom>
      <diagonal/>
    </border>
    <border>
      <left/>
      <right style="thin">
        <color indexed="64"/>
      </right>
      <top style="medium">
        <color rgb="FF002060"/>
      </top>
      <bottom style="medium">
        <color rgb="FF002060"/>
      </bottom>
      <diagonal/>
    </border>
    <border>
      <left style="thin">
        <color indexed="64"/>
      </left>
      <right/>
      <top style="medium">
        <color indexed="64"/>
      </top>
      <bottom style="medium">
        <color rgb="FF002060"/>
      </bottom>
      <diagonal/>
    </border>
    <border>
      <left/>
      <right style="thin">
        <color indexed="64"/>
      </right>
      <top style="medium">
        <color indexed="64"/>
      </top>
      <bottom style="medium">
        <color rgb="FF002060"/>
      </bottom>
      <diagonal/>
    </border>
    <border>
      <left style="thin">
        <color indexed="64"/>
      </left>
      <right/>
      <top style="medium">
        <color rgb="FF002060"/>
      </top>
      <bottom style="medium">
        <color rgb="FF002060"/>
      </bottom>
      <diagonal/>
    </border>
  </borders>
  <cellStyleXfs count="5">
    <xf numFmtId="0" fontId="0" fillId="0" borderId="0"/>
    <xf numFmtId="0" fontId="2" fillId="0" borderId="0"/>
    <xf numFmtId="0" fontId="24" fillId="13" borderId="0"/>
    <xf numFmtId="0" fontId="30" fillId="0" borderId="0"/>
    <xf numFmtId="9" fontId="31" fillId="0" borderId="0" applyFont="0" applyFill="0" applyBorder="0" applyAlignment="0" applyProtection="0"/>
  </cellStyleXfs>
  <cellXfs count="187">
    <xf numFmtId="0" fontId="0" fillId="0" borderId="0" xfId="0"/>
    <xf numFmtId="0" fontId="3" fillId="0" borderId="0" xfId="0"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vertical="center"/>
    </xf>
    <xf numFmtId="0" fontId="4" fillId="0" borderId="12" xfId="0" applyFont="1" applyBorder="1" applyAlignment="1">
      <alignment vertical="center"/>
    </xf>
    <xf numFmtId="0" fontId="6" fillId="0" borderId="10" xfId="0" applyFont="1" applyBorder="1" applyAlignment="1">
      <alignment vertical="center"/>
    </xf>
    <xf numFmtId="0" fontId="7" fillId="0" borderId="13" xfId="0" applyFont="1" applyBorder="1" applyAlignment="1">
      <alignment vertical="center"/>
    </xf>
    <xf numFmtId="0" fontId="6" fillId="0" borderId="9" xfId="0" applyFont="1" applyBorder="1" applyAlignment="1">
      <alignment vertical="center"/>
    </xf>
    <xf numFmtId="0" fontId="4" fillId="0" borderId="13" xfId="0" applyFont="1" applyBorder="1" applyAlignment="1">
      <alignment vertical="center"/>
    </xf>
    <xf numFmtId="0" fontId="2" fillId="0" borderId="9" xfId="1" applyBorder="1" applyAlignment="1">
      <alignment vertical="center"/>
    </xf>
    <xf numFmtId="0" fontId="1" fillId="0" borderId="9" xfId="0" applyFont="1" applyBorder="1" applyAlignment="1">
      <alignment vertical="center"/>
    </xf>
    <xf numFmtId="0" fontId="8" fillId="0" borderId="13" xfId="0" applyFont="1" applyBorder="1" applyAlignment="1">
      <alignment vertical="center"/>
    </xf>
    <xf numFmtId="0" fontId="4" fillId="0" borderId="14" xfId="0" applyFont="1" applyBorder="1" applyAlignment="1">
      <alignment vertical="center"/>
    </xf>
    <xf numFmtId="0" fontId="6" fillId="0" borderId="8" xfId="0" applyFont="1" applyBorder="1" applyAlignment="1">
      <alignment vertical="center" wrapText="1"/>
    </xf>
    <xf numFmtId="0" fontId="5" fillId="0" borderId="8" xfId="0" applyFont="1" applyBorder="1" applyAlignment="1">
      <alignment vertical="center" wrapText="1"/>
    </xf>
    <xf numFmtId="0" fontId="0" fillId="3" borderId="15" xfId="0" applyFill="1" applyBorder="1" applyAlignment="1">
      <alignment horizontal="center" vertical="center" wrapText="1"/>
    </xf>
    <xf numFmtId="0" fontId="3" fillId="3" borderId="16" xfId="0" applyFont="1" applyFill="1" applyBorder="1" applyAlignment="1">
      <alignment horizontal="center" vertical="center" wrapText="1"/>
    </xf>
    <xf numFmtId="0" fontId="0" fillId="4" borderId="3" xfId="0" applyFill="1" applyBorder="1" applyAlignment="1">
      <alignment horizontal="center" vertical="center" wrapText="1"/>
    </xf>
    <xf numFmtId="0" fontId="3" fillId="4" borderId="5" xfId="0" applyFont="1" applyFill="1" applyBorder="1" applyAlignment="1">
      <alignment horizontal="center" vertical="center" wrapText="1"/>
    </xf>
    <xf numFmtId="0" fontId="0" fillId="4" borderId="6" xfId="0" applyFill="1" applyBorder="1" applyAlignment="1">
      <alignment horizontal="center" vertical="center" wrapText="1"/>
    </xf>
    <xf numFmtId="0" fontId="3" fillId="4" borderId="7" xfId="0" applyFont="1" applyFill="1" applyBorder="1" applyAlignment="1">
      <alignment horizontal="center" vertical="center" wrapText="1"/>
    </xf>
    <xf numFmtId="0" fontId="0" fillId="4" borderId="17" xfId="0" applyFill="1" applyBorder="1" applyAlignment="1">
      <alignment horizontal="center" vertical="center" wrapText="1"/>
    </xf>
    <xf numFmtId="0" fontId="3" fillId="4" borderId="18" xfId="0" applyFont="1" applyFill="1" applyBorder="1" applyAlignment="1">
      <alignment horizontal="center" vertical="center" wrapText="1"/>
    </xf>
    <xf numFmtId="0" fontId="0" fillId="5" borderId="3" xfId="0" applyFill="1" applyBorder="1" applyAlignment="1">
      <alignment horizontal="center" vertical="center" wrapText="1"/>
    </xf>
    <xf numFmtId="0" fontId="3" fillId="5" borderId="5" xfId="0" applyFont="1" applyFill="1" applyBorder="1" applyAlignment="1">
      <alignment horizontal="center" vertical="center" wrapText="1"/>
    </xf>
    <xf numFmtId="0" fontId="0" fillId="5" borderId="2" xfId="0" applyFill="1" applyBorder="1" applyAlignment="1">
      <alignment horizontal="center" vertical="center" wrapText="1"/>
    </xf>
    <xf numFmtId="0" fontId="3" fillId="5" borderId="1" xfId="0" applyFont="1" applyFill="1" applyBorder="1" applyAlignment="1">
      <alignment horizontal="center" vertical="center" wrapText="1"/>
    </xf>
    <xf numFmtId="0" fontId="0" fillId="0" borderId="0" xfId="0" applyAlignment="1">
      <alignment vertical="top" wrapText="1"/>
    </xf>
    <xf numFmtId="0" fontId="12" fillId="0" borderId="0" xfId="0" applyFont="1" applyAlignment="1">
      <alignment vertical="center"/>
    </xf>
    <xf numFmtId="0" fontId="0" fillId="8" borderId="0" xfId="0" applyFill="1" applyAlignment="1" applyProtection="1">
      <alignment horizontal="center" vertical="center"/>
      <protection locked="0"/>
    </xf>
    <xf numFmtId="0" fontId="3" fillId="0" borderId="46" xfId="0" applyFont="1" applyBorder="1"/>
    <xf numFmtId="0" fontId="3" fillId="0" borderId="43" xfId="0" applyFont="1" applyBorder="1"/>
    <xf numFmtId="0" fontId="3" fillId="0" borderId="44" xfId="0" applyFont="1" applyBorder="1"/>
    <xf numFmtId="0" fontId="0" fillId="0" borderId="0" xfId="0" applyProtection="1">
      <protection locked="0"/>
    </xf>
    <xf numFmtId="0" fontId="11" fillId="6" borderId="0" xfId="0"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11" fillId="6" borderId="0" xfId="0" applyFont="1" applyFill="1" applyAlignment="1">
      <alignment horizontal="center" vertical="center"/>
    </xf>
    <xf numFmtId="0" fontId="0" fillId="0" borderId="0" xfId="0" applyAlignment="1">
      <alignment horizontal="left"/>
    </xf>
    <xf numFmtId="0" fontId="0" fillId="12" borderId="3" xfId="0" applyFill="1" applyBorder="1"/>
    <xf numFmtId="0" fontId="0" fillId="12" borderId="4" xfId="0" applyFill="1" applyBorder="1"/>
    <xf numFmtId="0" fontId="0" fillId="12" borderId="5" xfId="0" applyFill="1" applyBorder="1"/>
    <xf numFmtId="0" fontId="0" fillId="0" borderId="6" xfId="0" applyBorder="1"/>
    <xf numFmtId="0" fontId="0" fillId="0" borderId="49" xfId="0" applyBorder="1"/>
    <xf numFmtId="0" fontId="0" fillId="0" borderId="7" xfId="0" applyBorder="1"/>
    <xf numFmtId="0" fontId="0" fillId="0" borderId="50" xfId="0" applyBorder="1"/>
    <xf numFmtId="0" fontId="3" fillId="0" borderId="0" xfId="0" applyFont="1"/>
    <xf numFmtId="0" fontId="14" fillId="0" borderId="0" xfId="0" applyFont="1" applyAlignment="1">
      <alignment horizontal="center"/>
    </xf>
    <xf numFmtId="0" fontId="3" fillId="0" borderId="0" xfId="0" applyFont="1" applyAlignment="1">
      <alignment horizontal="center" vertical="center"/>
    </xf>
    <xf numFmtId="0" fontId="13" fillId="0" borderId="0" xfId="0" applyFont="1" applyAlignment="1">
      <alignment horizontal="center" wrapText="1"/>
    </xf>
    <xf numFmtId="0" fontId="15" fillId="0" borderId="0" xfId="0" applyFont="1" applyAlignment="1">
      <alignment horizontal="center" vertical="center" wrapText="1"/>
    </xf>
    <xf numFmtId="0" fontId="15" fillId="0" borderId="0" xfId="0" applyFont="1" applyAlignment="1">
      <alignment horizontal="center" wrapText="1"/>
    </xf>
    <xf numFmtId="0" fontId="3" fillId="0" borderId="0" xfId="0" applyFont="1" applyAlignment="1">
      <alignment horizontal="center" wrapText="1"/>
    </xf>
    <xf numFmtId="0" fontId="3" fillId="0" borderId="0" xfId="0" applyFont="1" applyAlignment="1">
      <alignment horizontal="center"/>
    </xf>
    <xf numFmtId="0" fontId="17" fillId="0" borderId="0" xfId="0" applyFont="1" applyAlignment="1">
      <alignment horizontal="center"/>
    </xf>
    <xf numFmtId="0" fontId="3" fillId="9" borderId="20" xfId="0" applyFont="1" applyFill="1" applyBorder="1" applyAlignment="1">
      <alignment horizontal="center" vertical="center"/>
    </xf>
    <xf numFmtId="0" fontId="3" fillId="9" borderId="21" xfId="0" applyFont="1" applyFill="1" applyBorder="1" applyAlignment="1">
      <alignment horizontal="center" vertical="center"/>
    </xf>
    <xf numFmtId="0" fontId="3" fillId="9" borderId="22" xfId="0" applyFont="1" applyFill="1" applyBorder="1" applyAlignment="1">
      <alignment horizontal="center" vertical="center"/>
    </xf>
    <xf numFmtId="0" fontId="3" fillId="0" borderId="31" xfId="0" applyFont="1" applyBorder="1"/>
    <xf numFmtId="0" fontId="3" fillId="0" borderId="30" xfId="0" applyFont="1" applyBorder="1"/>
    <xf numFmtId="0" fontId="3" fillId="0" borderId="34" xfId="0" applyFont="1" applyBorder="1"/>
    <xf numFmtId="0" fontId="3" fillId="9" borderId="23" xfId="0" applyFont="1" applyFill="1" applyBorder="1" applyAlignment="1">
      <alignment horizontal="center" vertical="center"/>
    </xf>
    <xf numFmtId="0" fontId="3" fillId="9" borderId="0" xfId="0" applyFont="1" applyFill="1" applyAlignment="1">
      <alignment horizontal="center" vertical="center"/>
    </xf>
    <xf numFmtId="0" fontId="3" fillId="9" borderId="24" xfId="0" applyFont="1" applyFill="1" applyBorder="1" applyAlignment="1">
      <alignment horizontal="center" vertical="center"/>
    </xf>
    <xf numFmtId="0" fontId="3" fillId="9" borderId="25" xfId="0" applyFont="1" applyFill="1" applyBorder="1" applyAlignment="1">
      <alignment horizontal="center" vertical="center"/>
    </xf>
    <xf numFmtId="0" fontId="3" fillId="9" borderId="26" xfId="0" applyFont="1" applyFill="1" applyBorder="1" applyAlignment="1">
      <alignment horizontal="center" vertical="center"/>
    </xf>
    <xf numFmtId="0" fontId="3" fillId="9" borderId="27" xfId="0" applyFont="1" applyFill="1" applyBorder="1" applyAlignment="1">
      <alignment horizontal="center" vertical="center"/>
    </xf>
    <xf numFmtId="0" fontId="3" fillId="0" borderId="38" xfId="0" applyFont="1" applyBorder="1"/>
    <xf numFmtId="0" fontId="3" fillId="0" borderId="36" xfId="0" applyFont="1" applyBorder="1"/>
    <xf numFmtId="0" fontId="3" fillId="0" borderId="37" xfId="0" applyFont="1" applyBorder="1"/>
    <xf numFmtId="0" fontId="3" fillId="0" borderId="0" xfId="0" applyFont="1" applyAlignment="1">
      <alignment vertical="center"/>
    </xf>
    <xf numFmtId="2" fontId="3" fillId="0" borderId="0" xfId="0" applyNumberFormat="1" applyFont="1" applyAlignment="1">
      <alignment vertical="center"/>
    </xf>
    <xf numFmtId="0" fontId="16" fillId="0" borderId="0" xfId="0" applyFont="1"/>
    <xf numFmtId="22" fontId="0" fillId="0" borderId="0" xfId="0" applyNumberFormat="1"/>
    <xf numFmtId="0" fontId="25" fillId="8" borderId="49" xfId="2" applyFont="1" applyFill="1" applyBorder="1" applyAlignment="1">
      <alignment horizontal="center" vertical="center"/>
    </xf>
    <xf numFmtId="0" fontId="0" fillId="0" borderId="49" xfId="0" applyBorder="1" applyAlignment="1">
      <alignment horizontal="center" vertical="center"/>
    </xf>
    <xf numFmtId="0" fontId="26" fillId="7" borderId="51" xfId="2" applyFont="1" applyFill="1" applyBorder="1" applyAlignment="1">
      <alignment vertical="center"/>
    </xf>
    <xf numFmtId="0" fontId="27" fillId="15" borderId="0" xfId="0" applyFont="1" applyFill="1"/>
    <xf numFmtId="0" fontId="21" fillId="7" borderId="55" xfId="2" applyFont="1" applyFill="1" applyBorder="1" applyAlignment="1">
      <alignment horizontal="center" vertical="center"/>
    </xf>
    <xf numFmtId="0" fontId="30" fillId="0" borderId="0" xfId="3"/>
    <xf numFmtId="0" fontId="2" fillId="0" borderId="0" xfId="1"/>
    <xf numFmtId="9" fontId="3" fillId="0" borderId="0" xfId="4" applyFont="1"/>
    <xf numFmtId="9" fontId="15" fillId="0" borderId="0" xfId="4" applyFont="1" applyAlignment="1">
      <alignment horizontal="center" vertical="center" wrapText="1"/>
    </xf>
    <xf numFmtId="9" fontId="23" fillId="10" borderId="45" xfId="4" applyFont="1" applyFill="1" applyBorder="1" applyAlignment="1">
      <alignment horizontal="center" vertical="center"/>
    </xf>
    <xf numFmtId="9" fontId="15" fillId="8" borderId="40" xfId="4" applyFont="1" applyFill="1" applyBorder="1" applyAlignment="1" applyProtection="1">
      <alignment horizontal="center" vertical="center" wrapText="1"/>
      <protection locked="0"/>
    </xf>
    <xf numFmtId="9" fontId="15" fillId="8" borderId="41" xfId="4" applyFont="1" applyFill="1" applyBorder="1" applyAlignment="1" applyProtection="1">
      <alignment horizontal="center" vertical="center" wrapText="1"/>
      <protection locked="0"/>
    </xf>
    <xf numFmtId="9" fontId="3" fillId="0" borderId="0" xfId="4" applyFont="1" applyAlignment="1">
      <alignment vertical="center"/>
    </xf>
    <xf numFmtId="9" fontId="21" fillId="7" borderId="56" xfId="4" applyFont="1" applyFill="1" applyBorder="1" applyAlignment="1">
      <alignment horizontal="center" vertical="center"/>
    </xf>
    <xf numFmtId="9" fontId="25" fillId="14" borderId="52" xfId="4" applyFont="1" applyFill="1" applyBorder="1" applyAlignment="1" applyProtection="1">
      <alignment horizontal="center" vertical="center"/>
      <protection hidden="1"/>
    </xf>
    <xf numFmtId="0" fontId="3" fillId="0" borderId="0" xfId="0" applyFont="1" applyAlignment="1" applyProtection="1">
      <alignment vertical="center"/>
      <protection locked="0"/>
    </xf>
    <xf numFmtId="0" fontId="3" fillId="0" borderId="0" xfId="0" applyFont="1" applyProtection="1">
      <protection locked="0"/>
    </xf>
    <xf numFmtId="9" fontId="3" fillId="0" borderId="0" xfId="4" applyFont="1" applyAlignment="1" applyProtection="1">
      <alignment vertical="center"/>
      <protection locked="0"/>
    </xf>
    <xf numFmtId="9" fontId="3" fillId="0" borderId="0" xfId="4" applyFont="1" applyProtection="1">
      <protection locked="0"/>
    </xf>
    <xf numFmtId="0" fontId="25" fillId="14" borderId="53" xfId="0" applyFont="1" applyFill="1" applyBorder="1" applyAlignment="1" applyProtection="1">
      <alignment horizontal="center" vertical="center"/>
      <protection hidden="1"/>
    </xf>
    <xf numFmtId="0" fontId="29" fillId="18" borderId="49" xfId="3" applyFont="1" applyFill="1" applyBorder="1" applyAlignment="1">
      <alignment horizontal="center" vertical="center"/>
    </xf>
    <xf numFmtId="0" fontId="29" fillId="0" borderId="49" xfId="3" applyFont="1" applyBorder="1" applyAlignment="1">
      <alignment horizontal="center" vertical="center"/>
    </xf>
    <xf numFmtId="0" fontId="28" fillId="17" borderId="3" xfId="3" applyFont="1" applyFill="1" applyBorder="1" applyAlignment="1">
      <alignment horizontal="center" vertical="center" wrapText="1"/>
    </xf>
    <xf numFmtId="0" fontId="28" fillId="17" borderId="4" xfId="3" applyFont="1" applyFill="1" applyBorder="1" applyAlignment="1">
      <alignment horizontal="center" vertical="center" wrapText="1"/>
    </xf>
    <xf numFmtId="0" fontId="28" fillId="17" borderId="5" xfId="3" applyFont="1" applyFill="1" applyBorder="1" applyAlignment="1">
      <alignment horizontal="center" vertical="center" wrapText="1"/>
    </xf>
    <xf numFmtId="0" fontId="30" fillId="0" borderId="0" xfId="3" applyAlignment="1">
      <alignment horizontal="center" vertical="center"/>
    </xf>
    <xf numFmtId="0" fontId="29" fillId="18" borderId="6" xfId="3" applyFont="1" applyFill="1" applyBorder="1" applyAlignment="1">
      <alignment horizontal="center" vertical="center"/>
    </xf>
    <xf numFmtId="0" fontId="29" fillId="0" borderId="6" xfId="3" applyFont="1" applyBorder="1" applyAlignment="1">
      <alignment horizontal="center" vertical="center"/>
    </xf>
    <xf numFmtId="0" fontId="29" fillId="18" borderId="7" xfId="3" applyFont="1" applyFill="1" applyBorder="1" applyAlignment="1">
      <alignment horizontal="center" vertical="center"/>
    </xf>
    <xf numFmtId="0" fontId="29" fillId="0" borderId="7" xfId="3" applyFont="1" applyBorder="1" applyAlignment="1">
      <alignment horizontal="center" vertical="center"/>
    </xf>
    <xf numFmtId="0" fontId="29" fillId="18" borderId="2" xfId="3" applyFont="1" applyFill="1" applyBorder="1" applyAlignment="1">
      <alignment horizontal="center" vertical="center"/>
    </xf>
    <xf numFmtId="0" fontId="29" fillId="18" borderId="50" xfId="3" applyFont="1" applyFill="1" applyBorder="1" applyAlignment="1">
      <alignment horizontal="center" vertical="center"/>
    </xf>
    <xf numFmtId="0" fontId="22" fillId="0" borderId="0" xfId="0" quotePrefix="1" applyFont="1" applyAlignment="1">
      <alignment horizontal="center" vertical="center"/>
    </xf>
    <xf numFmtId="0" fontId="3" fillId="0" borderId="0" xfId="0" applyFont="1"/>
    <xf numFmtId="0" fontId="16" fillId="0" borderId="0" xfId="0" applyFont="1"/>
    <xf numFmtId="0" fontId="3" fillId="0" borderId="0" xfId="0" applyFont="1" applyAlignment="1">
      <alignment vertical="center"/>
    </xf>
    <xf numFmtId="0" fontId="15" fillId="8" borderId="35" xfId="0" applyFont="1" applyFill="1" applyBorder="1" applyAlignment="1" applyProtection="1">
      <alignment horizontal="center" vertical="center"/>
      <protection locked="0"/>
    </xf>
    <xf numFmtId="0" fontId="0" fillId="0" borderId="64" xfId="0" applyBorder="1" applyProtection="1">
      <protection locked="0"/>
    </xf>
    <xf numFmtId="0" fontId="0" fillId="0" borderId="38" xfId="0" applyBorder="1" applyProtection="1">
      <protection locked="0"/>
    </xf>
    <xf numFmtId="0" fontId="18" fillId="9" borderId="35" xfId="0" applyFont="1" applyFill="1" applyBorder="1" applyAlignment="1">
      <alignment horizontal="center" vertical="center" wrapText="1"/>
    </xf>
    <xf numFmtId="0" fontId="0" fillId="0" borderId="64" xfId="0" applyBorder="1"/>
    <xf numFmtId="0" fontId="0" fillId="0" borderId="38" xfId="0" applyBorder="1"/>
    <xf numFmtId="0" fontId="21" fillId="7" borderId="15" xfId="2" applyFont="1" applyFill="1" applyBorder="1" applyAlignment="1">
      <alignment horizontal="center" vertical="center"/>
    </xf>
    <xf numFmtId="0" fontId="0" fillId="0" borderId="61" xfId="0" applyBorder="1"/>
    <xf numFmtId="0" fontId="0" fillId="0" borderId="54" xfId="0" applyBorder="1"/>
    <xf numFmtId="0" fontId="18" fillId="9" borderId="33" xfId="0" applyFont="1" applyFill="1" applyBorder="1" applyAlignment="1">
      <alignment horizontal="center" vertical="center" wrapText="1"/>
    </xf>
    <xf numFmtId="0" fontId="0" fillId="0" borderId="47" xfId="0" applyBorder="1"/>
    <xf numFmtId="0" fontId="0" fillId="0" borderId="31" xfId="0" applyBorder="1"/>
    <xf numFmtId="0" fontId="15" fillId="8" borderId="33" xfId="0" applyFont="1" applyFill="1" applyBorder="1" applyAlignment="1" applyProtection="1">
      <alignment horizontal="center" vertical="center"/>
      <protection locked="0"/>
    </xf>
    <xf numFmtId="0" fontId="0" fillId="0" borderId="47" xfId="0" applyBorder="1" applyProtection="1">
      <protection locked="0"/>
    </xf>
    <xf numFmtId="0" fontId="0" fillId="0" borderId="31" xfId="0" applyBorder="1" applyProtection="1">
      <protection locked="0"/>
    </xf>
    <xf numFmtId="0" fontId="18" fillId="9" borderId="40" xfId="0" applyFont="1" applyFill="1" applyBorder="1" applyAlignment="1">
      <alignment horizontal="center" vertical="center" wrapText="1"/>
    </xf>
    <xf numFmtId="0" fontId="0" fillId="0" borderId="48" xfId="0" applyBorder="1"/>
    <xf numFmtId="0" fontId="19" fillId="7" borderId="52" xfId="0" applyFont="1" applyFill="1" applyBorder="1" applyAlignment="1">
      <alignment horizontal="center"/>
    </xf>
    <xf numFmtId="0" fontId="0" fillId="0" borderId="28" xfId="0" applyBorder="1"/>
    <xf numFmtId="0" fontId="0" fillId="0" borderId="29" xfId="0" applyBorder="1"/>
    <xf numFmtId="0" fontId="21" fillId="7" borderId="54" xfId="2" applyFont="1" applyFill="1" applyBorder="1" applyAlignment="1">
      <alignment horizontal="center" vertical="center"/>
    </xf>
    <xf numFmtId="0" fontId="15" fillId="8" borderId="31" xfId="0" applyFont="1" applyFill="1" applyBorder="1" applyAlignment="1" applyProtection="1">
      <alignment horizontal="center" vertical="center" wrapText="1"/>
      <protection locked="0"/>
    </xf>
    <xf numFmtId="0" fontId="17" fillId="9" borderId="52" xfId="0" applyFont="1" applyFill="1" applyBorder="1" applyAlignment="1">
      <alignment horizontal="center"/>
    </xf>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18" fillId="9" borderId="32" xfId="0" applyFont="1" applyFill="1" applyBorder="1" applyAlignment="1">
      <alignment horizontal="center" vertical="center" wrapText="1"/>
    </xf>
    <xf numFmtId="0" fontId="0" fillId="0" borderId="59" xfId="0" applyBorder="1"/>
    <xf numFmtId="0" fontId="0" fillId="0" borderId="60" xfId="0" applyBorder="1"/>
    <xf numFmtId="0" fontId="3" fillId="0" borderId="0" xfId="0" applyFont="1" applyAlignment="1">
      <alignment horizontal="center"/>
    </xf>
    <xf numFmtId="0" fontId="15" fillId="8" borderId="33" xfId="0" applyFont="1" applyFill="1" applyBorder="1" applyAlignment="1" applyProtection="1">
      <alignment horizontal="center" vertical="center" wrapText="1"/>
      <protection locked="0"/>
    </xf>
    <xf numFmtId="0" fontId="3" fillId="0" borderId="0" xfId="0" applyFont="1" applyAlignment="1" applyProtection="1">
      <alignment horizontal="center"/>
      <protection locked="0"/>
    </xf>
    <xf numFmtId="0" fontId="3" fillId="0" borderId="0" xfId="0" applyFont="1" applyProtection="1">
      <protection locked="0"/>
    </xf>
    <xf numFmtId="0" fontId="15" fillId="8" borderId="38" xfId="0" applyFont="1" applyFill="1" applyBorder="1" applyAlignment="1" applyProtection="1">
      <alignment horizontal="center" vertical="center" wrapText="1"/>
      <protection locked="0"/>
    </xf>
    <xf numFmtId="0" fontId="25" fillId="14" borderId="53" xfId="0" applyFont="1" applyFill="1" applyBorder="1" applyAlignment="1" applyProtection="1">
      <alignment horizontal="center" vertical="center"/>
      <protection hidden="1"/>
    </xf>
    <xf numFmtId="0" fontId="0" fillId="0" borderId="28" xfId="0" applyBorder="1" applyAlignment="1" applyProtection="1">
      <alignment vertical="center"/>
      <protection hidden="1"/>
    </xf>
    <xf numFmtId="0" fontId="0" fillId="0" borderId="65" xfId="0" applyBorder="1" applyAlignment="1" applyProtection="1">
      <alignment vertical="center"/>
      <protection hidden="1"/>
    </xf>
    <xf numFmtId="0" fontId="21" fillId="7" borderId="52" xfId="0" applyFont="1" applyFill="1" applyBorder="1" applyAlignment="1">
      <alignment horizontal="center" vertical="center"/>
    </xf>
    <xf numFmtId="0" fontId="21" fillId="7" borderId="66" xfId="0" applyFont="1" applyFill="1" applyBorder="1" applyAlignment="1">
      <alignment horizontal="center" vertical="center"/>
    </xf>
    <xf numFmtId="0" fontId="21" fillId="7" borderId="67" xfId="0" applyFont="1" applyFill="1" applyBorder="1" applyAlignment="1">
      <alignment horizontal="center" vertical="center"/>
    </xf>
    <xf numFmtId="0" fontId="32" fillId="19" borderId="68" xfId="0" applyFont="1" applyFill="1" applyBorder="1" applyAlignment="1" applyProtection="1">
      <alignment horizontal="center" vertical="center"/>
      <protection hidden="1"/>
    </xf>
    <xf numFmtId="0" fontId="32" fillId="19" borderId="29" xfId="0" applyFont="1" applyFill="1" applyBorder="1" applyAlignment="1" applyProtection="1">
      <alignment horizontal="center" vertical="center"/>
      <protection hidden="1"/>
    </xf>
    <xf numFmtId="0" fontId="3" fillId="0" borderId="0" xfId="0" applyFont="1" applyAlignment="1">
      <alignment horizontal="center" wrapText="1"/>
    </xf>
    <xf numFmtId="0" fontId="23" fillId="0" borderId="0" xfId="0" applyFont="1" applyAlignment="1">
      <alignment horizontal="center" vertical="center"/>
    </xf>
    <xf numFmtId="0" fontId="21" fillId="7" borderId="55" xfId="2" applyFont="1" applyFill="1" applyBorder="1" applyAlignment="1">
      <alignment horizontal="center" vertical="center"/>
    </xf>
    <xf numFmtId="0" fontId="15" fillId="8" borderId="40" xfId="0" applyFont="1" applyFill="1" applyBorder="1" applyAlignment="1" applyProtection="1">
      <alignment horizontal="center" vertical="center" wrapText="1"/>
      <protection locked="0"/>
    </xf>
    <xf numFmtId="0" fontId="0" fillId="0" borderId="48" xfId="0" applyBorder="1" applyProtection="1">
      <protection locked="0"/>
    </xf>
    <xf numFmtId="0" fontId="21" fillId="7" borderId="32" xfId="0" applyFont="1" applyFill="1" applyBorder="1" applyAlignment="1">
      <alignment horizontal="center" vertical="center"/>
    </xf>
    <xf numFmtId="0" fontId="20" fillId="10" borderId="42" xfId="0" applyFont="1" applyFill="1" applyBorder="1" applyAlignment="1">
      <alignment horizontal="center" vertical="center" wrapText="1"/>
    </xf>
    <xf numFmtId="0" fontId="0" fillId="0" borderId="57" xfId="0" applyBorder="1"/>
    <xf numFmtId="0" fontId="0" fillId="0" borderId="46" xfId="0" applyBorder="1"/>
    <xf numFmtId="0" fontId="15" fillId="8" borderId="39" xfId="0" applyFont="1" applyFill="1" applyBorder="1" applyAlignment="1" applyProtection="1">
      <alignment horizontal="center" vertical="center" wrapText="1"/>
      <protection locked="0"/>
    </xf>
    <xf numFmtId="0" fontId="0" fillId="0" borderId="63" xfId="0" applyBorder="1" applyProtection="1">
      <protection locked="0"/>
    </xf>
    <xf numFmtId="0" fontId="0" fillId="0" borderId="39" xfId="0" applyBorder="1" applyProtection="1">
      <protection locked="0"/>
    </xf>
    <xf numFmtId="0" fontId="21" fillId="7" borderId="58" xfId="0" applyFont="1" applyFill="1" applyBorder="1" applyAlignment="1">
      <alignment horizontal="center" vertical="center"/>
    </xf>
    <xf numFmtId="0" fontId="16" fillId="0" borderId="0" xfId="0" applyFont="1" applyProtection="1">
      <protection locked="0"/>
    </xf>
    <xf numFmtId="0" fontId="15" fillId="8" borderId="19" xfId="0" applyFont="1" applyFill="1" applyBorder="1" applyAlignment="1" applyProtection="1">
      <alignment horizontal="center" vertical="center" wrapText="1"/>
      <protection locked="0"/>
    </xf>
    <xf numFmtId="0" fontId="0" fillId="0" borderId="62" xfId="0" applyBorder="1" applyProtection="1">
      <protection locked="0"/>
    </xf>
    <xf numFmtId="0" fontId="0" fillId="0" borderId="19" xfId="0" applyBorder="1" applyProtection="1">
      <protection locked="0"/>
    </xf>
    <xf numFmtId="0" fontId="25" fillId="9" borderId="53" xfId="0" applyFont="1" applyFill="1" applyBorder="1" applyAlignment="1" applyProtection="1">
      <alignment horizontal="center" vertical="center"/>
      <protection locked="0"/>
    </xf>
    <xf numFmtId="0" fontId="0" fillId="0" borderId="28" xfId="0" applyBorder="1" applyAlignment="1" applyProtection="1">
      <alignment vertical="center"/>
      <protection locked="0"/>
    </xf>
    <xf numFmtId="0" fontId="0" fillId="0" borderId="65" xfId="0" applyBorder="1" applyAlignment="1" applyProtection="1">
      <alignment vertical="center"/>
      <protection locked="0"/>
    </xf>
    <xf numFmtId="0" fontId="10" fillId="11" borderId="0" xfId="0" applyFont="1" applyFill="1" applyAlignment="1">
      <alignment horizontal="center" vertical="center"/>
    </xf>
    <xf numFmtId="0" fontId="0" fillId="0" borderId="0" xfId="0" applyProtection="1">
      <protection locked="0"/>
    </xf>
    <xf numFmtId="0" fontId="9" fillId="7" borderId="0" xfId="0" quotePrefix="1" applyFont="1" applyFill="1" applyAlignment="1">
      <alignment horizontal="center" vertical="center"/>
    </xf>
    <xf numFmtId="0" fontId="15" fillId="16" borderId="40" xfId="0" applyFont="1" applyFill="1" applyBorder="1" applyAlignment="1" applyProtection="1">
      <alignment horizontal="center" vertical="center" wrapText="1"/>
    </xf>
    <xf numFmtId="0" fontId="0" fillId="16" borderId="47" xfId="0" applyFill="1" applyBorder="1" applyProtection="1"/>
    <xf numFmtId="0" fontId="0" fillId="16" borderId="48" xfId="0" applyFill="1" applyBorder="1" applyProtection="1"/>
    <xf numFmtId="0" fontId="33" fillId="2" borderId="11" xfId="0" applyFont="1" applyFill="1" applyBorder="1" applyAlignment="1">
      <alignment vertical="top" wrapText="1" readingOrder="1"/>
    </xf>
    <xf numFmtId="0" fontId="33" fillId="2" borderId="0" xfId="0" applyFont="1" applyFill="1" applyAlignment="1">
      <alignment vertical="top" wrapText="1" readingOrder="1"/>
    </xf>
    <xf numFmtId="0" fontId="34" fillId="0" borderId="11" xfId="0" applyFont="1" applyBorder="1" applyAlignment="1">
      <alignment vertical="top" wrapText="1" readingOrder="1"/>
    </xf>
    <xf numFmtId="14" fontId="34" fillId="0" borderId="11" xfId="0" applyNumberFormat="1" applyFont="1" applyBorder="1" applyAlignment="1">
      <alignment vertical="top" wrapText="1" readingOrder="1"/>
    </xf>
    <xf numFmtId="164" fontId="34" fillId="0" borderId="11" xfId="0" applyNumberFormat="1" applyFont="1" applyBorder="1" applyAlignment="1">
      <alignment vertical="top" wrapText="1" readingOrder="1"/>
    </xf>
    <xf numFmtId="0" fontId="35" fillId="0" borderId="0" xfId="0" applyFont="1" applyAlignment="1">
      <alignment vertical="top" wrapText="1"/>
    </xf>
  </cellXfs>
  <cellStyles count="5">
    <cellStyle name="Accent1" xfId="2" builtinId="29"/>
    <cellStyle name="Hyperlink" xfId="1" builtinId="8"/>
    <cellStyle name="Normal" xfId="0" builtinId="0"/>
    <cellStyle name="Normal 2" xfId="3" xr:uid="{207257C5-062E-4885-964A-41B8DEEEB38F}"/>
    <cellStyle name="Percent" xfId="4" builtinId="5"/>
  </cellStyles>
  <dxfs count="7">
    <dxf>
      <fill>
        <patternFill patternType="gray0625">
          <bgColor rgb="FFC00000"/>
        </patternFill>
      </fill>
    </dxf>
    <dxf>
      <fill>
        <patternFill patternType="gray0625">
          <bgColor rgb="FFFF0000"/>
        </patternFill>
      </fill>
    </dxf>
    <dxf>
      <fill>
        <patternFill patternType="gray0625">
          <bgColor theme="1" tint="0.499984740745262"/>
        </patternFill>
      </fill>
    </dxf>
    <dxf>
      <fill>
        <patternFill patternType="gray0625">
          <bgColor rgb="FFC00000"/>
        </patternFill>
      </fill>
    </dxf>
    <dxf>
      <fill>
        <patternFill patternType="gray0625">
          <bgColor rgb="FFFF0000"/>
        </patternFill>
      </fill>
    </dxf>
    <dxf>
      <fill>
        <patternFill patternType="gray0625">
          <bgColor theme="7" tint="0.39994506668294322"/>
        </patternFill>
      </fill>
    </dxf>
    <dxf>
      <fill>
        <patternFill patternType="gray0625">
          <bgColor theme="9" tint="0.59996337778862885"/>
        </patternFill>
      </fill>
    </dxf>
  </dxfs>
  <tableStyles count="0" defaultTableStyle="TableStyleMedium2" defaultPivotStyle="PivotStyleLight16"/>
  <colors>
    <mruColors>
      <color rgb="FFD6DCE4"/>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38100</xdr:colOff>
      <xdr:row>5</xdr:row>
      <xdr:rowOff>175260</xdr:rowOff>
    </xdr:from>
    <xdr:to>
      <xdr:col>4</xdr:col>
      <xdr:colOff>7620</xdr:colOff>
      <xdr:row>7</xdr:row>
      <xdr:rowOff>80645</xdr:rowOff>
    </xdr:to>
    <xdr:sp macro="[0]!Start_Button_Create_Folders" textlink="">
      <xdr:nvSpPr>
        <xdr:cNvPr id="4" name="Rectangle 3">
          <a:extLst>
            <a:ext uri="{FF2B5EF4-FFF2-40B4-BE49-F238E27FC236}">
              <a16:creationId xmlns:a16="http://schemas.microsoft.com/office/drawing/2014/main" id="{99E93477-C1D4-6B20-B73B-9B21D7DC5D08}"/>
            </a:ext>
          </a:extLst>
        </xdr:cNvPr>
        <xdr:cNvSpPr/>
      </xdr:nvSpPr>
      <xdr:spPr>
        <a:xfrm>
          <a:off x="847725" y="1326198"/>
          <a:ext cx="1676083" cy="365760"/>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rPr>
            <a:t>Start</a:t>
          </a:r>
        </a:p>
      </xdr:txBody>
    </xdr:sp>
    <xdr:clientData/>
  </xdr:twoCellAnchor>
  <xdr:twoCellAnchor>
    <xdr:from>
      <xdr:col>2</xdr:col>
      <xdr:colOff>45720</xdr:colOff>
      <xdr:row>8</xdr:row>
      <xdr:rowOff>94933</xdr:rowOff>
    </xdr:from>
    <xdr:to>
      <xdr:col>4</xdr:col>
      <xdr:colOff>15240</xdr:colOff>
      <xdr:row>10</xdr:row>
      <xdr:rowOff>1905</xdr:rowOff>
    </xdr:to>
    <xdr:sp macro="[0]!Consolidated_AML_Workflow" textlink="">
      <xdr:nvSpPr>
        <xdr:cNvPr id="5" name="Rectangle 4">
          <a:extLst>
            <a:ext uri="{FF2B5EF4-FFF2-40B4-BE49-F238E27FC236}">
              <a16:creationId xmlns:a16="http://schemas.microsoft.com/office/drawing/2014/main" id="{D5AEFCBB-865F-421A-A72F-63B3FCB182DB}"/>
            </a:ext>
          </a:extLst>
        </xdr:cNvPr>
        <xdr:cNvSpPr/>
      </xdr:nvSpPr>
      <xdr:spPr>
        <a:xfrm>
          <a:off x="855345" y="1936433"/>
          <a:ext cx="1676083" cy="367347"/>
        </a:xfrm>
        <a:prstGeom prst="rect">
          <a:avLst/>
        </a:prstGeom>
        <a:solidFill>
          <a:schemeClr val="bg1">
            <a:lumMod val="85000"/>
          </a:schemeClr>
        </a:solidFill>
        <a:ln>
          <a:solidFill>
            <a:srgbClr val="002060"/>
          </a:solidFill>
        </a:ln>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rPr>
            <a:t>Export Trx File</a:t>
          </a:r>
        </a:p>
      </xdr:txBody>
    </xdr:sp>
    <xdr:clientData/>
  </xdr:twoCellAnchor>
  <xdr:twoCellAnchor>
    <xdr:from>
      <xdr:col>2</xdr:col>
      <xdr:colOff>38100</xdr:colOff>
      <xdr:row>11</xdr:row>
      <xdr:rowOff>12700</xdr:rowOff>
    </xdr:from>
    <xdr:to>
      <xdr:col>4</xdr:col>
      <xdr:colOff>7620</xdr:colOff>
      <xdr:row>12</xdr:row>
      <xdr:rowOff>149860</xdr:rowOff>
    </xdr:to>
    <xdr:sp macro="[0]!SearchAndSavePDF_Direct" textlink="">
      <xdr:nvSpPr>
        <xdr:cNvPr id="6" name="Rectangle 5">
          <a:extLst>
            <a:ext uri="{FF2B5EF4-FFF2-40B4-BE49-F238E27FC236}">
              <a16:creationId xmlns:a16="http://schemas.microsoft.com/office/drawing/2014/main" id="{1A8A88B2-726B-4DDC-B3F2-8484ECB0A662}"/>
            </a:ext>
          </a:extLst>
        </xdr:cNvPr>
        <xdr:cNvSpPr/>
      </xdr:nvSpPr>
      <xdr:spPr>
        <a:xfrm>
          <a:off x="847725" y="1854200"/>
          <a:ext cx="1676083" cy="367348"/>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rPr>
            <a:t>OSDD Search</a:t>
          </a:r>
        </a:p>
        <a:p>
          <a:pPr algn="ctr"/>
          <a:endParaRPr lang="en-US" sz="1100" b="1">
            <a:solidFill>
              <a:srgbClr val="002060"/>
            </a:solidFill>
          </a:endParaRPr>
        </a:p>
      </xdr:txBody>
    </xdr:sp>
    <xdr:clientData/>
  </xdr:twoCellAnchor>
  <xdr:twoCellAnchor>
    <xdr:from>
      <xdr:col>2</xdr:col>
      <xdr:colOff>30480</xdr:colOff>
      <xdr:row>13</xdr:row>
      <xdr:rowOff>144780</xdr:rowOff>
    </xdr:from>
    <xdr:to>
      <xdr:col>4</xdr:col>
      <xdr:colOff>0</xdr:colOff>
      <xdr:row>15</xdr:row>
      <xdr:rowOff>53340</xdr:rowOff>
    </xdr:to>
    <xdr:sp macro="[0]!ExportToWord" textlink="">
      <xdr:nvSpPr>
        <xdr:cNvPr id="7" name="Rectangle 6">
          <a:extLst>
            <a:ext uri="{FF2B5EF4-FFF2-40B4-BE49-F238E27FC236}">
              <a16:creationId xmlns:a16="http://schemas.microsoft.com/office/drawing/2014/main" id="{D1AF27BB-946A-4EFB-B2D4-304943CE1847}"/>
            </a:ext>
          </a:extLst>
        </xdr:cNvPr>
        <xdr:cNvSpPr/>
      </xdr:nvSpPr>
      <xdr:spPr>
        <a:xfrm>
          <a:off x="822960" y="2887980"/>
          <a:ext cx="1645920" cy="365760"/>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rPr>
            <a:t>Generate Narrative</a:t>
          </a:r>
        </a:p>
        <a:p>
          <a:pPr algn="ctr"/>
          <a:endParaRPr lang="en-US" sz="1100" b="1">
            <a:solidFill>
              <a:srgbClr val="002060"/>
            </a:solidFill>
          </a:endParaRPr>
        </a:p>
      </xdr:txBody>
    </xdr:sp>
    <xdr:clientData/>
  </xdr:twoCellAnchor>
  <xdr:twoCellAnchor>
    <xdr:from>
      <xdr:col>2</xdr:col>
      <xdr:colOff>22860</xdr:colOff>
      <xdr:row>18</xdr:row>
      <xdr:rowOff>137160</xdr:rowOff>
    </xdr:from>
    <xdr:to>
      <xdr:col>3</xdr:col>
      <xdr:colOff>1074420</xdr:colOff>
      <xdr:row>20</xdr:row>
      <xdr:rowOff>45720</xdr:rowOff>
    </xdr:to>
    <xdr:sp macro="[0]!Module7.Run_Mass_Rename_v3" textlink="">
      <xdr:nvSpPr>
        <xdr:cNvPr id="8" name="Rectangle 7">
          <a:extLst>
            <a:ext uri="{FF2B5EF4-FFF2-40B4-BE49-F238E27FC236}">
              <a16:creationId xmlns:a16="http://schemas.microsoft.com/office/drawing/2014/main" id="{B539235C-61DB-4618-8A46-542C5F77A694}"/>
            </a:ext>
          </a:extLst>
        </xdr:cNvPr>
        <xdr:cNvSpPr/>
      </xdr:nvSpPr>
      <xdr:spPr>
        <a:xfrm>
          <a:off x="815340" y="4023360"/>
          <a:ext cx="1645920" cy="365760"/>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rPr>
            <a:t>Rename</a:t>
          </a:r>
          <a:endParaRPr lang="en-US" sz="1100" b="1" baseline="0">
            <a:solidFill>
              <a:srgbClr val="002060"/>
            </a:solidFill>
          </a:endParaRPr>
        </a:p>
      </xdr:txBody>
    </xdr:sp>
    <xdr:clientData/>
  </xdr:twoCellAnchor>
  <xdr:twoCellAnchor>
    <xdr:from>
      <xdr:col>2</xdr:col>
      <xdr:colOff>15240</xdr:colOff>
      <xdr:row>20</xdr:row>
      <xdr:rowOff>205740</xdr:rowOff>
    </xdr:from>
    <xdr:to>
      <xdr:col>3</xdr:col>
      <xdr:colOff>1066800</xdr:colOff>
      <xdr:row>22</xdr:row>
      <xdr:rowOff>114300</xdr:rowOff>
    </xdr:to>
    <xdr:sp macro="[0]!Trigger_PAD_Merge_Flow" textlink="">
      <xdr:nvSpPr>
        <xdr:cNvPr id="9" name="Rectangle 8">
          <a:extLst>
            <a:ext uri="{FF2B5EF4-FFF2-40B4-BE49-F238E27FC236}">
              <a16:creationId xmlns:a16="http://schemas.microsoft.com/office/drawing/2014/main" id="{C39D98FC-7D5A-4784-AD5C-F7ACADB9F15A}"/>
            </a:ext>
          </a:extLst>
        </xdr:cNvPr>
        <xdr:cNvSpPr/>
      </xdr:nvSpPr>
      <xdr:spPr>
        <a:xfrm>
          <a:off x="807720" y="4549140"/>
          <a:ext cx="1645920" cy="365760"/>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rPr>
            <a:t>PDF Merge</a:t>
          </a:r>
        </a:p>
      </xdr:txBody>
    </xdr:sp>
    <xdr:clientData/>
  </xdr:twoCellAnchor>
  <xdr:twoCellAnchor>
    <xdr:from>
      <xdr:col>1</xdr:col>
      <xdr:colOff>45720</xdr:colOff>
      <xdr:row>24</xdr:row>
      <xdr:rowOff>0</xdr:rowOff>
    </xdr:from>
    <xdr:to>
      <xdr:col>4</xdr:col>
      <xdr:colOff>342900</xdr:colOff>
      <xdr:row>26</xdr:row>
      <xdr:rowOff>0</xdr:rowOff>
    </xdr:to>
    <xdr:sp macro="[0]!ClearForm" textlink="">
      <xdr:nvSpPr>
        <xdr:cNvPr id="10" name="Rectangle 9">
          <a:extLst>
            <a:ext uri="{FF2B5EF4-FFF2-40B4-BE49-F238E27FC236}">
              <a16:creationId xmlns:a16="http://schemas.microsoft.com/office/drawing/2014/main" id="{07150E45-C0B2-478B-9729-4DBDF8EE77B5}"/>
            </a:ext>
          </a:extLst>
        </xdr:cNvPr>
        <xdr:cNvSpPr/>
      </xdr:nvSpPr>
      <xdr:spPr>
        <a:xfrm>
          <a:off x="537845" y="5524500"/>
          <a:ext cx="2321243" cy="460375"/>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rPr>
            <a:t>Reset</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saha\Downloads\Beta_3_2_UPDATED.xlsm" TargetMode="External"/><Relationship Id="rId1" Type="http://schemas.openxmlformats.org/officeDocument/2006/relationships/externalLinkPath" Target="file:///C:\Users\ssaha\Downloads\Beta_3_2_UPD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Backend_Settings"/>
      <sheetName val="ConsolidatedData"/>
      <sheetName val="Audit_Log"/>
      <sheetName val="Sheet7"/>
      <sheetName val="Rule_DB"/>
      <sheetName val="Program_Library"/>
      <sheetName val="Template_DB"/>
      <sheetName val="Language_Bits"/>
      <sheetName val="Search Matrix"/>
    </sheetNames>
    <sheetDataSet>
      <sheetData sheetId="0"/>
      <sheetData sheetId="1"/>
      <sheetData sheetId="2"/>
      <sheetData sheetId="3"/>
      <sheetData sheetId="4">
        <row r="8">
          <cell r="D8" t="str">
            <v>Wise</v>
          </cell>
          <cell r="E8" t="str">
            <v>Wise</v>
          </cell>
        </row>
        <row r="9">
          <cell r="D9" t="str">
            <v>Fluz</v>
          </cell>
          <cell r="E9" t="str">
            <v>Airwallex</v>
          </cell>
        </row>
        <row r="10">
          <cell r="D10" t="str">
            <v>Crypto</v>
          </cell>
          <cell r="E10" t="str">
            <v>Common</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google.com/search?q=Tonik+Sobczak,+Zieba+Sp.K.+JANA+KOCHANOWSKIEGO+4+LOK.+4+POZNAN,+60-844,+Poland&amp;num=100&amp;hl=en" TargetMode="External"/><Relationship Id="rId2" Type="http://schemas.openxmlformats.org/officeDocument/2006/relationships/hyperlink" Target="https://www.google.com/search?q=JANA+KOCHANOWSKIEGO+4+LOK.+4+POZNAN,+60-844,+Poland&amp;num=100&amp;hl=en" TargetMode="External"/><Relationship Id="rId1" Type="http://schemas.openxmlformats.org/officeDocument/2006/relationships/hyperlink" Target="https://www.google.com/search?q=Tonik+Sobczak,+Zieba+Sp.K.&amp;num=100&amp;hl=en" TargetMode="External"/><Relationship Id="rId5" Type="http://schemas.openxmlformats.org/officeDocument/2006/relationships/hyperlink" Target="https://www.google.com/search?q=%22Tonik+Sobczak,+Zieba+Sp.K.%22+AND+%28arrest+OR+corruption+OR+sentencing+OR+money+laundering+OR+AML+OR+launder+OR+embezzle+OR+evas+OR+evad+OR+crime+OR+corrupt+OR+bribe+OR+theft+OR+extort+OR+drug+OR+traffic+OR+trafficking+OR+felony+OR+sanction+OR+counterfeit+OR+terror%29&amp;num=100&amp;hl=en&amp;start=100" TargetMode="External"/><Relationship Id="rId4" Type="http://schemas.openxmlformats.org/officeDocument/2006/relationships/hyperlink" Target="https://www.google.com/search?q=%22Tonik+Sobczak,+Zieba+Sp.K.%22+AND+%28arrest+OR+corruption+OR+sentencing+OR+money+laundering+OR+AML+OR+launder+OR+embezzle+OR+evas+OR+evad+OR+crime+OR+corrupt+OR+bribe+OR+theft+OR+extort+OR+drug+OR+traffic+OR+trafficking+OR+felony+OR+sanction+OR+counterfeit+OR+terror%29&amp;num=100&amp;hl=e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s://leatherback.co/" TargetMode="External"/><Relationship Id="rId2" Type="http://schemas.openxmlformats.org/officeDocument/2006/relationships/hyperlink" Target="https://www.ipaylinks.com/" TargetMode="External"/><Relationship Id="rId1" Type="http://schemas.openxmlformats.org/officeDocument/2006/relationships/hyperlink" Target="https://euroexchange.uk/" TargetMode="External"/><Relationship Id="rId5" Type="http://schemas.openxmlformats.org/officeDocument/2006/relationships/hyperlink" Target="http://www.skrill.com/" TargetMode="External"/><Relationship Id="rId4" Type="http://schemas.openxmlformats.org/officeDocument/2006/relationships/hyperlink" Target="https://www.pandaremit.com/en/usa/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0DAD-6B31-4DD1-94DC-7B526C28069E}">
  <sheetPr codeName="Sheet3">
    <tabColor theme="4" tint="-0.249977111117893"/>
  </sheetPr>
  <dimension ref="A1:XFC289"/>
  <sheetViews>
    <sheetView showGridLines="0" topLeftCell="A4" zoomScale="80" zoomScaleNormal="80" zoomScaleSheetLayoutView="100" workbookViewId="0">
      <selection activeCell="J19" sqref="J19:S19"/>
    </sheetView>
  </sheetViews>
  <sheetFormatPr defaultColWidth="0" defaultRowHeight="18" customHeight="1" zeroHeight="1" x14ac:dyDescent="0.35"/>
  <cols>
    <col min="1" max="1" width="7" style="45" customWidth="1"/>
    <col min="2" max="2" width="4.54296875" style="45" customWidth="1"/>
    <col min="3" max="3" width="8.54296875" style="45" customWidth="1"/>
    <col min="4" max="4" width="15.81640625" style="45" customWidth="1"/>
    <col min="5" max="5" width="5.54296875" style="45" customWidth="1"/>
    <col min="6" max="6" width="9.453125" style="45" customWidth="1"/>
    <col min="7" max="9" width="6.81640625" style="71" customWidth="1"/>
    <col min="10" max="10" width="5.453125" style="69" customWidth="1"/>
    <col min="11" max="14" width="5.453125" style="45" customWidth="1"/>
    <col min="15" max="15" width="12.453125" style="45" bestFit="1" customWidth="1"/>
    <col min="16" max="17" width="8.54296875" style="45" bestFit="1" customWidth="1"/>
    <col min="18" max="18" width="8.453125" style="45" bestFit="1" customWidth="1"/>
    <col min="19" max="19" width="8.7265625" style="45" bestFit="1" customWidth="1"/>
    <col min="20" max="20" width="18.90625" style="85" customWidth="1"/>
    <col min="21" max="21" width="0.453125" style="45" hidden="1" customWidth="1"/>
    <col min="22" max="22" width="2.453125" style="45" hidden="1" customWidth="1"/>
    <col min="23" max="28" width="8.7265625" style="45" hidden="1" customWidth="1"/>
    <col min="29" max="29" width="12.453125" style="45" customWidth="1"/>
    <col min="30" max="46" width="8.7265625" style="45" hidden="1"/>
    <col min="47" max="47" width="71.26953125" style="45" hidden="1"/>
    <col min="48" max="48" width="0.26953125" style="45" hidden="1"/>
    <col min="49" max="49" width="20.453125" style="45" hidden="1"/>
    <col min="50" max="50" width="47.1796875" style="45" hidden="1"/>
    <col min="51" max="51" width="46.1796875" style="45" hidden="1"/>
    <col min="52" max="52" width="11.453125" style="45" hidden="1"/>
    <col min="53" max="53" width="4.54296875" style="45" hidden="1"/>
    <col min="54" max="76" width="8.7265625" style="45" hidden="1"/>
    <col min="77" max="16356" width="7.81640625" style="45" hidden="1"/>
    <col min="16357" max="16357" width="5.08984375" style="45" hidden="1"/>
    <col min="16358" max="16358" width="6.81640625" style="80" hidden="1"/>
    <col min="16359" max="16383" width="8.7265625" style="45" hidden="1"/>
    <col min="16384" max="16384" width="7.81640625" style="45" hidden="1"/>
  </cols>
  <sheetData>
    <row r="1" spans="1:52" ht="18" customHeight="1" x14ac:dyDescent="0.35">
      <c r="G1" s="45"/>
      <c r="H1" s="45"/>
      <c r="I1" s="45"/>
      <c r="J1" s="45"/>
      <c r="T1" s="80"/>
    </row>
    <row r="2" spans="1:52" ht="18" customHeight="1" x14ac:dyDescent="0.35">
      <c r="B2" s="105"/>
      <c r="C2" s="106"/>
      <c r="D2" s="106"/>
      <c r="E2" s="106"/>
      <c r="F2" s="106"/>
      <c r="G2" s="107"/>
      <c r="H2" s="107"/>
      <c r="I2" s="107"/>
      <c r="J2" s="108"/>
      <c r="K2" s="106"/>
      <c r="L2" s="106"/>
      <c r="M2" s="106"/>
      <c r="N2" s="106"/>
      <c r="O2" s="106"/>
      <c r="P2" s="106"/>
      <c r="Q2" s="106"/>
      <c r="R2" s="106"/>
      <c r="S2" s="106"/>
      <c r="T2" s="108"/>
    </row>
    <row r="3" spans="1:52" ht="18" customHeight="1" x14ac:dyDescent="0.35">
      <c r="B3" s="156"/>
      <c r="C3" s="106"/>
      <c r="D3" s="106"/>
      <c r="E3" s="106"/>
      <c r="F3" s="106"/>
      <c r="G3" s="107"/>
      <c r="H3" s="107"/>
      <c r="I3" s="107"/>
      <c r="J3" s="108"/>
      <c r="K3" s="106"/>
      <c r="L3" s="106"/>
      <c r="M3" s="106"/>
      <c r="N3" s="106"/>
      <c r="O3" s="106"/>
      <c r="P3" s="106"/>
      <c r="Q3" s="106"/>
      <c r="R3" s="106"/>
      <c r="S3" s="106"/>
      <c r="T3" s="108"/>
    </row>
    <row r="4" spans="1:52" ht="18" customHeight="1" thickBot="1" x14ac:dyDescent="0.4">
      <c r="A4" s="106"/>
      <c r="B4" s="106"/>
      <c r="C4" s="106"/>
      <c r="D4" s="106"/>
      <c r="E4" s="106"/>
      <c r="F4" s="106"/>
      <c r="G4" s="107"/>
      <c r="H4" s="107"/>
      <c r="I4" s="107"/>
      <c r="J4" s="108"/>
      <c r="K4" s="106"/>
      <c r="L4" s="106"/>
      <c r="M4" s="106"/>
      <c r="N4" s="106"/>
      <c r="O4" s="106"/>
      <c r="P4" s="106"/>
      <c r="Q4" s="106"/>
      <c r="R4" s="106"/>
      <c r="S4" s="106"/>
      <c r="T4" s="108"/>
    </row>
    <row r="5" spans="1:52" ht="18" customHeight="1" thickBot="1" x14ac:dyDescent="0.5">
      <c r="A5" s="46"/>
      <c r="B5" s="126" t="s">
        <v>0</v>
      </c>
      <c r="C5" s="127"/>
      <c r="D5" s="127"/>
      <c r="E5" s="128"/>
      <c r="F5" s="46"/>
      <c r="G5" s="160" t="s">
        <v>1</v>
      </c>
      <c r="H5" s="140"/>
      <c r="I5" s="140"/>
      <c r="J5" s="140"/>
      <c r="K5" s="140"/>
      <c r="L5" s="140"/>
      <c r="M5" s="140"/>
      <c r="N5" s="140"/>
      <c r="O5" s="140"/>
      <c r="P5" s="140"/>
      <c r="Q5" s="140"/>
      <c r="R5" s="140"/>
      <c r="S5" s="140"/>
      <c r="T5" s="141"/>
    </row>
    <row r="6" spans="1:52" ht="18" customHeight="1" thickBot="1" x14ac:dyDescent="0.4">
      <c r="A6" s="47"/>
      <c r="B6" s="131"/>
      <c r="C6" s="132"/>
      <c r="D6" s="132"/>
      <c r="E6" s="133"/>
      <c r="F6" s="47"/>
      <c r="G6" s="139" t="s">
        <v>2</v>
      </c>
      <c r="H6" s="140"/>
      <c r="I6" s="141"/>
      <c r="J6" s="130"/>
      <c r="K6" s="122"/>
      <c r="L6" s="122"/>
      <c r="M6" s="122"/>
      <c r="N6" s="122"/>
      <c r="O6" s="122"/>
      <c r="P6" s="122"/>
      <c r="Q6" s="122"/>
      <c r="R6" s="122"/>
      <c r="S6" s="122"/>
      <c r="T6" s="123"/>
    </row>
    <row r="7" spans="1:52" ht="18" customHeight="1" x14ac:dyDescent="0.35">
      <c r="A7" s="47"/>
      <c r="B7" s="134"/>
      <c r="C7" s="106"/>
      <c r="D7" s="106"/>
      <c r="E7" s="135"/>
      <c r="F7" s="47"/>
      <c r="G7" s="124" t="s">
        <v>3</v>
      </c>
      <c r="H7" s="119"/>
      <c r="I7" s="125"/>
      <c r="J7" s="158"/>
      <c r="K7" s="122"/>
      <c r="L7" s="122"/>
      <c r="M7" s="122"/>
      <c r="N7" s="122"/>
      <c r="O7" s="122"/>
      <c r="P7" s="122"/>
      <c r="Q7" s="122"/>
      <c r="R7" s="122"/>
      <c r="S7" s="122"/>
      <c r="T7" s="159"/>
    </row>
    <row r="8" spans="1:52" ht="18" customHeight="1" x14ac:dyDescent="0.35">
      <c r="A8" s="47"/>
      <c r="B8" s="134"/>
      <c r="C8" s="106"/>
      <c r="D8" s="106"/>
      <c r="E8" s="135"/>
      <c r="F8" s="47"/>
      <c r="G8" s="118" t="s">
        <v>4</v>
      </c>
      <c r="H8" s="119"/>
      <c r="I8" s="120"/>
      <c r="J8" s="178"/>
      <c r="K8" s="179"/>
      <c r="L8" s="179"/>
      <c r="M8" s="179"/>
      <c r="N8" s="179"/>
      <c r="O8" s="179"/>
      <c r="P8" s="179"/>
      <c r="Q8" s="179"/>
      <c r="R8" s="179"/>
      <c r="S8" s="179"/>
      <c r="T8" s="180"/>
    </row>
    <row r="9" spans="1:52" ht="18" customHeight="1" x14ac:dyDescent="0.35">
      <c r="A9" s="47"/>
      <c r="B9" s="134"/>
      <c r="C9" s="106"/>
      <c r="D9" s="106"/>
      <c r="E9" s="135"/>
      <c r="F9" s="47"/>
      <c r="G9" s="118" t="s">
        <v>5</v>
      </c>
      <c r="H9" s="119"/>
      <c r="I9" s="120"/>
      <c r="J9" s="178"/>
      <c r="K9" s="179"/>
      <c r="L9" s="179"/>
      <c r="M9" s="179"/>
      <c r="N9" s="179"/>
      <c r="O9" s="179"/>
      <c r="P9" s="179"/>
      <c r="Q9" s="179"/>
      <c r="R9" s="179"/>
      <c r="S9" s="179"/>
      <c r="T9" s="180"/>
    </row>
    <row r="10" spans="1:52" ht="18" customHeight="1" x14ac:dyDescent="0.35">
      <c r="A10" s="47"/>
      <c r="B10" s="134"/>
      <c r="C10" s="106"/>
      <c r="D10" s="106"/>
      <c r="E10" s="135"/>
      <c r="F10" s="47"/>
      <c r="G10" s="118" t="s">
        <v>6</v>
      </c>
      <c r="H10" s="119"/>
      <c r="I10" s="120"/>
      <c r="J10" s="130">
        <v>128504</v>
      </c>
      <c r="K10" s="122"/>
      <c r="L10" s="122"/>
      <c r="M10" s="122"/>
      <c r="N10" s="122"/>
      <c r="O10" s="122"/>
      <c r="P10" s="122"/>
      <c r="Q10" s="122"/>
      <c r="R10" s="122"/>
      <c r="S10" s="122"/>
      <c r="T10" s="123"/>
    </row>
    <row r="11" spans="1:52" ht="18" customHeight="1" thickBot="1" x14ac:dyDescent="0.4">
      <c r="A11" s="47"/>
      <c r="B11" s="134"/>
      <c r="C11" s="106"/>
      <c r="D11" s="106"/>
      <c r="E11" s="135"/>
      <c r="F11" s="47"/>
      <c r="G11" s="112" t="s">
        <v>7</v>
      </c>
      <c r="H11" s="113"/>
      <c r="I11" s="114"/>
      <c r="J11" s="146" t="s">
        <v>1330</v>
      </c>
      <c r="K11" s="110"/>
      <c r="L11" s="110"/>
      <c r="M11" s="110"/>
      <c r="N11" s="110"/>
      <c r="O11" s="110"/>
      <c r="P11" s="110"/>
      <c r="Q11" s="110"/>
      <c r="R11" s="110"/>
      <c r="S11" s="110"/>
      <c r="T11" s="111"/>
    </row>
    <row r="12" spans="1:52" ht="18" customHeight="1" thickBot="1" x14ac:dyDescent="0.4">
      <c r="A12" s="47"/>
      <c r="B12" s="134"/>
      <c r="C12" s="106"/>
      <c r="D12" s="106"/>
      <c r="E12" s="135"/>
      <c r="F12" s="47"/>
      <c r="G12" s="48"/>
      <c r="H12" s="48"/>
      <c r="I12" s="48"/>
      <c r="J12" s="49"/>
      <c r="K12" s="50"/>
      <c r="L12" s="50"/>
      <c r="M12" s="50"/>
      <c r="N12" s="50"/>
      <c r="O12" s="50"/>
      <c r="P12" s="50"/>
      <c r="Q12" s="50"/>
      <c r="R12" s="50"/>
      <c r="S12" s="50"/>
      <c r="T12" s="81"/>
    </row>
    <row r="13" spans="1:52" ht="18" customHeight="1" thickBot="1" x14ac:dyDescent="0.4">
      <c r="A13" s="47"/>
      <c r="B13" s="134"/>
      <c r="C13" s="106"/>
      <c r="D13" s="106"/>
      <c r="E13" s="135"/>
      <c r="F13" s="47"/>
      <c r="G13" s="167" t="s">
        <v>8</v>
      </c>
      <c r="H13" s="132"/>
      <c r="I13" s="132"/>
      <c r="J13" s="132"/>
      <c r="K13" s="132"/>
      <c r="L13" s="132"/>
      <c r="M13" s="132"/>
      <c r="N13" s="132"/>
      <c r="O13" s="132"/>
      <c r="P13" s="132"/>
      <c r="Q13" s="132"/>
      <c r="R13" s="132"/>
      <c r="S13" s="132"/>
      <c r="T13" s="133"/>
    </row>
    <row r="14" spans="1:52" ht="18" customHeight="1" x14ac:dyDescent="0.35">
      <c r="A14" s="47"/>
      <c r="B14" s="134"/>
      <c r="C14" s="106"/>
      <c r="D14" s="106"/>
      <c r="E14" s="135"/>
      <c r="F14" s="47"/>
      <c r="G14" s="139" t="s">
        <v>9</v>
      </c>
      <c r="H14" s="140"/>
      <c r="I14" s="141"/>
      <c r="J14" s="169" t="s">
        <v>1332</v>
      </c>
      <c r="K14" s="170"/>
      <c r="L14" s="170"/>
      <c r="M14" s="170"/>
      <c r="N14" s="170"/>
      <c r="O14" s="170"/>
      <c r="P14" s="170"/>
      <c r="Q14" s="170"/>
      <c r="R14" s="170"/>
      <c r="S14" s="170"/>
      <c r="T14" s="171"/>
    </row>
    <row r="15" spans="1:52" ht="18" customHeight="1" thickBot="1" x14ac:dyDescent="0.4">
      <c r="A15" s="47"/>
      <c r="B15" s="134"/>
      <c r="C15" s="106"/>
      <c r="D15" s="106"/>
      <c r="E15" s="135"/>
      <c r="F15" s="47"/>
      <c r="G15" s="112" t="s">
        <v>10</v>
      </c>
      <c r="H15" s="113"/>
      <c r="I15" s="114"/>
      <c r="J15" s="164" t="s">
        <v>1333</v>
      </c>
      <c r="K15" s="165"/>
      <c r="L15" s="165"/>
      <c r="M15" s="165"/>
      <c r="N15" s="165"/>
      <c r="O15" s="165"/>
      <c r="P15" s="165"/>
      <c r="Q15" s="165"/>
      <c r="R15" s="165"/>
      <c r="S15" s="165"/>
      <c r="T15" s="166"/>
      <c r="AD15" s="155"/>
      <c r="AE15" s="106"/>
      <c r="AF15" s="106"/>
      <c r="AG15" s="106"/>
      <c r="AH15" s="106"/>
      <c r="AI15" s="106"/>
      <c r="AJ15" s="106"/>
      <c r="AK15" s="106"/>
      <c r="AL15" s="106"/>
      <c r="AM15" s="106"/>
      <c r="AN15" s="106"/>
      <c r="AO15" s="106"/>
      <c r="AP15" s="106"/>
      <c r="AQ15" s="106"/>
      <c r="AR15" s="106"/>
      <c r="AS15" s="106"/>
      <c r="AT15" s="106"/>
      <c r="AU15" s="106"/>
      <c r="AV15" s="106"/>
      <c r="AW15" s="106"/>
      <c r="AX15" s="106"/>
      <c r="AY15" s="106"/>
      <c r="AZ15" s="106"/>
    </row>
    <row r="16" spans="1:52" ht="18" customHeight="1" thickBot="1" x14ac:dyDescent="0.4">
      <c r="A16" s="47"/>
      <c r="B16" s="136"/>
      <c r="C16" s="137"/>
      <c r="D16" s="137"/>
      <c r="E16" s="138"/>
      <c r="F16" s="47"/>
      <c r="G16" s="48"/>
      <c r="H16" s="48"/>
      <c r="I16" s="48"/>
      <c r="J16" s="49"/>
      <c r="K16" s="50"/>
      <c r="L16" s="50"/>
      <c r="M16" s="50"/>
      <c r="N16" s="50"/>
      <c r="O16" s="50"/>
      <c r="P16" s="50"/>
      <c r="Q16" s="50"/>
      <c r="R16" s="50"/>
      <c r="S16" s="50"/>
      <c r="T16" s="81"/>
      <c r="AD16" s="51"/>
      <c r="AE16" s="52"/>
      <c r="AF16" s="52"/>
      <c r="AG16" s="52"/>
      <c r="AH16" s="52"/>
      <c r="AI16" s="52"/>
      <c r="AJ16" s="52"/>
      <c r="AK16" s="52"/>
      <c r="AL16" s="52"/>
      <c r="AM16" s="52"/>
      <c r="AN16" s="52"/>
      <c r="AO16" s="52"/>
      <c r="AP16" s="52"/>
      <c r="AQ16" s="52"/>
      <c r="AR16" s="52"/>
      <c r="AS16" s="52"/>
      <c r="AT16" s="52"/>
      <c r="AU16" s="52"/>
      <c r="AV16" s="52"/>
      <c r="AW16" s="52"/>
      <c r="AX16" s="52"/>
      <c r="AY16" s="52"/>
      <c r="AZ16" s="52"/>
    </row>
    <row r="17" spans="1:52 16358:16358" ht="18" customHeight="1" thickBot="1" x14ac:dyDescent="0.45">
      <c r="A17" s="47"/>
      <c r="B17" s="53"/>
      <c r="C17" s="53"/>
      <c r="D17" s="53"/>
      <c r="E17" s="53"/>
      <c r="F17" s="47"/>
      <c r="G17" s="150" t="s">
        <v>11</v>
      </c>
      <c r="H17" s="127"/>
      <c r="I17" s="127"/>
      <c r="J17" s="127"/>
      <c r="K17" s="127"/>
      <c r="L17" s="127"/>
      <c r="M17" s="127"/>
      <c r="N17" s="127"/>
      <c r="O17" s="127"/>
      <c r="P17" s="127"/>
      <c r="Q17" s="127"/>
      <c r="R17" s="127"/>
      <c r="S17" s="127"/>
      <c r="T17" s="127"/>
      <c r="U17" s="127"/>
      <c r="V17" s="127"/>
      <c r="W17" s="127"/>
      <c r="X17" s="127"/>
      <c r="Y17" s="127"/>
      <c r="Z17" s="127"/>
      <c r="AA17" s="127"/>
      <c r="AB17" s="128"/>
      <c r="AD17" s="51"/>
      <c r="AE17" s="52"/>
      <c r="AF17" s="52"/>
      <c r="AG17" s="52"/>
      <c r="AH17" s="52"/>
      <c r="AI17" s="52"/>
      <c r="AJ17" s="52"/>
      <c r="AK17" s="52"/>
      <c r="AL17" s="52"/>
      <c r="AM17" s="52"/>
      <c r="AN17" s="52"/>
      <c r="AO17" s="52"/>
      <c r="AP17" s="52"/>
      <c r="AQ17" s="52"/>
      <c r="AR17" s="52"/>
      <c r="AS17" s="52"/>
      <c r="AT17" s="52"/>
      <c r="AU17" s="52"/>
      <c r="AV17" s="52"/>
      <c r="AW17" s="52"/>
      <c r="AX17" s="52"/>
      <c r="AY17" s="52"/>
      <c r="AZ17" s="52"/>
    </row>
    <row r="18" spans="1:52 16358:16358" ht="18" customHeight="1" thickBot="1" x14ac:dyDescent="0.5">
      <c r="A18" s="47"/>
      <c r="B18" s="126" t="s">
        <v>12</v>
      </c>
      <c r="C18" s="127"/>
      <c r="D18" s="127"/>
      <c r="E18" s="128"/>
      <c r="F18" s="47"/>
      <c r="G18" s="161" t="s">
        <v>13</v>
      </c>
      <c r="H18" s="162"/>
      <c r="I18" s="163"/>
      <c r="J18" s="161" t="s">
        <v>14</v>
      </c>
      <c r="K18" s="162"/>
      <c r="L18" s="162"/>
      <c r="M18" s="162"/>
      <c r="N18" s="162"/>
      <c r="O18" s="162"/>
      <c r="P18" s="162"/>
      <c r="Q18" s="162"/>
      <c r="R18" s="162"/>
      <c r="S18" s="163"/>
      <c r="T18" s="82" t="s">
        <v>15</v>
      </c>
      <c r="U18" s="30"/>
      <c r="V18" s="31"/>
      <c r="W18" s="31"/>
      <c r="X18" s="31"/>
      <c r="Y18" s="31"/>
      <c r="Z18" s="31"/>
      <c r="AA18" s="31"/>
      <c r="AB18" s="32"/>
      <c r="AD18" s="51"/>
      <c r="AE18" s="52"/>
      <c r="AF18" s="52"/>
      <c r="AG18" s="52"/>
      <c r="AH18" s="52"/>
      <c r="AI18" s="52"/>
      <c r="AJ18" s="52"/>
      <c r="AK18" s="52"/>
      <c r="AL18" s="52"/>
      <c r="AM18" s="52"/>
      <c r="AN18" s="52"/>
      <c r="AO18" s="52"/>
      <c r="AP18" s="52"/>
      <c r="AQ18" s="52"/>
      <c r="AR18" s="52"/>
      <c r="AS18" s="52"/>
      <c r="AT18" s="52"/>
      <c r="AU18" s="52"/>
      <c r="AV18" s="52"/>
      <c r="AW18" s="52"/>
      <c r="AX18" s="52"/>
      <c r="AY18" s="52"/>
      <c r="AZ18" s="52"/>
    </row>
    <row r="19" spans="1:52 16358:16358" ht="18" customHeight="1" x14ac:dyDescent="0.35">
      <c r="A19" s="47"/>
      <c r="B19" s="54"/>
      <c r="C19" s="55"/>
      <c r="D19" s="55"/>
      <c r="E19" s="56"/>
      <c r="F19" s="47"/>
      <c r="G19" s="118" t="s">
        <v>16</v>
      </c>
      <c r="H19" s="119"/>
      <c r="I19" s="120"/>
      <c r="J19" s="143"/>
      <c r="K19" s="122"/>
      <c r="L19" s="122"/>
      <c r="M19" s="122"/>
      <c r="N19" s="122"/>
      <c r="O19" s="122"/>
      <c r="P19" s="122"/>
      <c r="Q19" s="122"/>
      <c r="R19" s="122"/>
      <c r="S19" s="123"/>
      <c r="T19" s="83"/>
      <c r="U19" s="57"/>
      <c r="V19" s="58"/>
      <c r="W19" s="58"/>
      <c r="X19" s="58"/>
      <c r="Y19" s="58"/>
      <c r="Z19" s="58"/>
      <c r="AA19" s="58"/>
      <c r="AB19" s="59"/>
    </row>
    <row r="20" spans="1:52 16358:16358" ht="18" customHeight="1" x14ac:dyDescent="0.35">
      <c r="A20" s="47"/>
      <c r="B20" s="60"/>
      <c r="C20" s="61"/>
      <c r="D20" s="61"/>
      <c r="E20" s="62"/>
      <c r="F20" s="47"/>
      <c r="G20" s="118" t="s">
        <v>17</v>
      </c>
      <c r="H20" s="119"/>
      <c r="I20" s="120"/>
      <c r="J20" s="121"/>
      <c r="K20" s="122"/>
      <c r="L20" s="122"/>
      <c r="M20" s="122"/>
      <c r="N20" s="122"/>
      <c r="O20" s="122"/>
      <c r="P20" s="122"/>
      <c r="Q20" s="122"/>
      <c r="R20" s="122"/>
      <c r="S20" s="123"/>
      <c r="T20" s="83"/>
      <c r="U20" s="57"/>
      <c r="V20" s="58"/>
      <c r="W20" s="58"/>
      <c r="X20" s="58"/>
      <c r="Y20" s="58"/>
      <c r="Z20" s="58"/>
      <c r="AA20" s="58"/>
      <c r="AB20" s="59"/>
    </row>
    <row r="21" spans="1:52 16358:16358" ht="18" customHeight="1" x14ac:dyDescent="0.35">
      <c r="A21" s="47"/>
      <c r="B21" s="60"/>
      <c r="C21" s="61"/>
      <c r="D21" s="61"/>
      <c r="E21" s="62"/>
      <c r="F21" s="47"/>
      <c r="G21" s="118" t="s">
        <v>18</v>
      </c>
      <c r="H21" s="119"/>
      <c r="I21" s="120"/>
      <c r="J21" s="121"/>
      <c r="K21" s="122"/>
      <c r="L21" s="122"/>
      <c r="M21" s="122"/>
      <c r="N21" s="122"/>
      <c r="O21" s="122"/>
      <c r="P21" s="122"/>
      <c r="Q21" s="122"/>
      <c r="R21" s="122"/>
      <c r="S21" s="123"/>
      <c r="T21" s="83"/>
      <c r="U21" s="57"/>
      <c r="V21" s="58"/>
      <c r="W21" s="58"/>
      <c r="X21" s="58"/>
      <c r="Y21" s="58"/>
      <c r="Z21" s="58"/>
      <c r="AA21" s="58"/>
      <c r="AB21" s="59"/>
    </row>
    <row r="22" spans="1:52 16358:16358" ht="18" customHeight="1" x14ac:dyDescent="0.35">
      <c r="A22" s="47"/>
      <c r="B22" s="60"/>
      <c r="C22" s="61"/>
      <c r="D22" s="61"/>
      <c r="E22" s="62"/>
      <c r="F22" s="47"/>
      <c r="G22" s="118" t="s">
        <v>19</v>
      </c>
      <c r="H22" s="119"/>
      <c r="I22" s="120"/>
      <c r="J22" s="121"/>
      <c r="K22" s="122"/>
      <c r="L22" s="122"/>
      <c r="M22" s="122"/>
      <c r="N22" s="122"/>
      <c r="O22" s="122"/>
      <c r="P22" s="122"/>
      <c r="Q22" s="122"/>
      <c r="R22" s="122"/>
      <c r="S22" s="123"/>
      <c r="T22" s="83"/>
      <c r="U22" s="57"/>
      <c r="V22" s="58"/>
      <c r="W22" s="58"/>
      <c r="X22" s="58"/>
      <c r="Y22" s="58"/>
      <c r="Z22" s="58"/>
      <c r="AA22" s="58"/>
      <c r="AB22" s="59"/>
    </row>
    <row r="23" spans="1:52 16358:16358" ht="18" customHeight="1" thickBot="1" x14ac:dyDescent="0.4">
      <c r="A23" s="47"/>
      <c r="B23" s="63"/>
      <c r="C23" s="64"/>
      <c r="D23" s="64"/>
      <c r="E23" s="65"/>
      <c r="F23" s="47"/>
      <c r="G23" s="118" t="s">
        <v>20</v>
      </c>
      <c r="H23" s="119"/>
      <c r="I23" s="120"/>
      <c r="J23" s="121"/>
      <c r="K23" s="122"/>
      <c r="L23" s="122"/>
      <c r="M23" s="122"/>
      <c r="N23" s="122"/>
      <c r="O23" s="122"/>
      <c r="P23" s="122"/>
      <c r="Q23" s="122"/>
      <c r="R23" s="122"/>
      <c r="S23" s="123"/>
      <c r="T23" s="83"/>
      <c r="U23" s="57"/>
      <c r="V23" s="58"/>
      <c r="W23" s="58"/>
      <c r="X23" s="58"/>
      <c r="Y23" s="58"/>
      <c r="Z23" s="58"/>
      <c r="AA23" s="58"/>
      <c r="AB23" s="59"/>
    </row>
    <row r="24" spans="1:52 16358:16358" ht="18" customHeight="1" thickBot="1" x14ac:dyDescent="0.4">
      <c r="A24" s="47"/>
      <c r="F24" s="47"/>
      <c r="G24" s="112" t="s">
        <v>21</v>
      </c>
      <c r="H24" s="113"/>
      <c r="I24" s="114"/>
      <c r="J24" s="109"/>
      <c r="K24" s="110"/>
      <c r="L24" s="110"/>
      <c r="M24" s="110"/>
      <c r="N24" s="110"/>
      <c r="O24" s="110"/>
      <c r="P24" s="110"/>
      <c r="Q24" s="110"/>
      <c r="R24" s="110"/>
      <c r="S24" s="111"/>
      <c r="T24" s="84"/>
      <c r="U24" s="66"/>
      <c r="V24" s="67"/>
      <c r="W24" s="67"/>
      <c r="X24" s="67"/>
      <c r="Y24" s="67"/>
      <c r="Z24" s="67"/>
      <c r="AA24" s="67"/>
      <c r="AB24" s="68"/>
    </row>
    <row r="25" spans="1:52 16358:16358" ht="18" customHeight="1" thickBot="1" x14ac:dyDescent="0.4">
      <c r="A25" s="69"/>
      <c r="B25" s="70"/>
      <c r="C25" s="70"/>
      <c r="D25" s="70"/>
      <c r="E25" s="70"/>
      <c r="F25" s="69"/>
      <c r="G25" s="69"/>
      <c r="H25" s="69"/>
      <c r="I25" s="69"/>
      <c r="K25" s="69"/>
      <c r="L25" s="69"/>
      <c r="M25" s="69"/>
      <c r="N25" s="69"/>
      <c r="O25" s="69"/>
      <c r="P25" s="69"/>
      <c r="Q25" s="69"/>
      <c r="R25" s="69"/>
      <c r="S25" s="69"/>
    </row>
    <row r="26" spans="1:52 16358:16358" ht="18" customHeight="1" thickBot="1" x14ac:dyDescent="0.4">
      <c r="A26" s="69"/>
      <c r="B26" s="70"/>
      <c r="C26" s="70"/>
      <c r="D26" s="70"/>
      <c r="E26" s="70"/>
      <c r="F26" s="69"/>
      <c r="G26" s="115" t="s">
        <v>22</v>
      </c>
      <c r="H26" s="116"/>
      <c r="I26" s="116"/>
      <c r="J26" s="116"/>
      <c r="K26" s="117"/>
      <c r="L26" s="129" t="s">
        <v>23</v>
      </c>
      <c r="M26" s="116"/>
      <c r="N26" s="117"/>
      <c r="O26" s="77" t="s">
        <v>24</v>
      </c>
      <c r="P26" s="151" t="s">
        <v>1305</v>
      </c>
      <c r="Q26" s="152"/>
      <c r="R26" s="157" t="s">
        <v>1301</v>
      </c>
      <c r="S26" s="117"/>
      <c r="T26" s="86" t="s">
        <v>1302</v>
      </c>
      <c r="U26" s="75"/>
    </row>
    <row r="27" spans="1:52 16358:16358" ht="18" customHeight="1" thickBot="1" x14ac:dyDescent="0.4">
      <c r="A27" s="69"/>
      <c r="B27" s="70"/>
      <c r="C27" s="70"/>
      <c r="D27" s="70"/>
      <c r="E27" s="70"/>
      <c r="F27" s="69"/>
      <c r="G27" s="172"/>
      <c r="H27" s="173"/>
      <c r="I27" s="173"/>
      <c r="J27" s="173"/>
      <c r="K27" s="174"/>
      <c r="L27" s="147" t="str">
        <f>_xlfn.XLOOKUP(G27,O36:O289,P36:P289, "")</f>
        <v/>
      </c>
      <c r="M27" s="148"/>
      <c r="N27" s="149"/>
      <c r="O27" s="92" t="str">
        <f>_xlfn.XLOOKUP(G27,O36:O289,Q36:Q289, "")</f>
        <v/>
      </c>
      <c r="P27" s="153" t="str">
        <f>_xlfn.XLOOKUP(G27,O36:O289,S36:S289, "")</f>
        <v/>
      </c>
      <c r="Q27" s="154"/>
      <c r="R27" s="147" t="str">
        <f>_xlfn.XLOOKUP(G27,O36:O289,T36:T289, "")</f>
        <v/>
      </c>
      <c r="S27" s="149"/>
      <c r="T27" s="87" t="str">
        <f>_xlfn.XLOOKUP(G27,O36:O289,R36:R289, "")</f>
        <v/>
      </c>
    </row>
    <row r="28" spans="1:52 16358:16358" s="89" customFormat="1" ht="18" hidden="1" customHeight="1" x14ac:dyDescent="0.35">
      <c r="A28" s="88"/>
      <c r="B28" s="88"/>
      <c r="C28" s="88"/>
      <c r="D28" s="88"/>
      <c r="E28" s="88"/>
      <c r="F28" s="88"/>
      <c r="G28" s="144"/>
      <c r="H28" s="168"/>
      <c r="I28" s="168"/>
      <c r="J28" s="144"/>
      <c r="K28" s="145"/>
      <c r="L28" s="145"/>
      <c r="M28" s="145"/>
      <c r="N28" s="145"/>
      <c r="O28" s="145"/>
      <c r="P28" s="145"/>
      <c r="Q28" s="145"/>
      <c r="R28" s="145"/>
      <c r="S28" s="145"/>
      <c r="T28" s="90"/>
      <c r="XED28" s="91"/>
    </row>
    <row r="29" spans="1:52 16358:16358" ht="18" hidden="1" customHeight="1" x14ac:dyDescent="0.35">
      <c r="A29" s="69"/>
      <c r="B29" s="69"/>
      <c r="C29" s="69"/>
      <c r="D29" s="69"/>
      <c r="E29" s="69"/>
      <c r="F29" s="69"/>
      <c r="G29" s="142"/>
      <c r="H29" s="107"/>
      <c r="I29" s="107"/>
      <c r="J29" s="142"/>
      <c r="K29" s="106"/>
      <c r="L29" s="106"/>
      <c r="M29" s="106"/>
      <c r="N29" s="106"/>
      <c r="O29" s="106"/>
      <c r="P29" s="106"/>
      <c r="Q29" s="106"/>
      <c r="R29" s="106"/>
      <c r="S29" s="106"/>
    </row>
    <row r="30" spans="1:52 16358:16358" ht="18" hidden="1" customHeight="1" x14ac:dyDescent="0.35">
      <c r="A30" s="69"/>
      <c r="B30" s="69"/>
      <c r="C30" s="69"/>
      <c r="D30" s="69"/>
      <c r="E30" s="69"/>
      <c r="F30" s="69"/>
      <c r="G30" s="142"/>
      <c r="H30" s="107"/>
      <c r="I30" s="107"/>
      <c r="J30" s="142"/>
      <c r="K30" s="106"/>
      <c r="L30" s="106"/>
      <c r="M30" s="106"/>
      <c r="N30" s="106"/>
      <c r="O30" s="106"/>
      <c r="P30" s="106"/>
      <c r="Q30" s="106"/>
      <c r="R30" s="106"/>
      <c r="S30" s="106"/>
    </row>
    <row r="31" spans="1:52 16358:16358" ht="18" hidden="1" customHeight="1" x14ac:dyDescent="0.35">
      <c r="A31" s="69"/>
      <c r="B31" s="69"/>
      <c r="C31" s="69"/>
      <c r="D31" s="69"/>
      <c r="E31" s="69"/>
      <c r="F31" s="69"/>
      <c r="G31" s="142"/>
      <c r="H31" s="107"/>
      <c r="I31" s="107"/>
      <c r="J31" s="142"/>
      <c r="K31" s="106"/>
      <c r="L31" s="106"/>
      <c r="M31" s="106"/>
      <c r="N31" s="106"/>
      <c r="O31" s="106"/>
      <c r="P31" s="106"/>
      <c r="Q31" s="106"/>
      <c r="R31" s="106"/>
      <c r="S31" s="106"/>
    </row>
    <row r="32" spans="1:52 16358:16358" ht="18" hidden="1" customHeight="1" x14ac:dyDescent="0.35">
      <c r="G32" s="142"/>
      <c r="H32" s="107"/>
      <c r="I32" s="107"/>
      <c r="J32" s="142"/>
      <c r="K32" s="106"/>
      <c r="L32" s="106"/>
      <c r="M32" s="106"/>
      <c r="N32" s="106"/>
      <c r="O32" s="106"/>
      <c r="P32" s="106"/>
      <c r="Q32" s="106"/>
      <c r="R32" s="106"/>
      <c r="S32" s="106"/>
    </row>
    <row r="33" spans="1:20" ht="18" hidden="1" customHeight="1" x14ac:dyDescent="0.35">
      <c r="G33" s="142"/>
      <c r="H33" s="107"/>
      <c r="I33" s="107"/>
      <c r="J33" s="142"/>
      <c r="K33" s="106"/>
      <c r="L33" s="106"/>
      <c r="M33" s="106"/>
      <c r="N33" s="106"/>
      <c r="O33" s="106"/>
      <c r="P33" s="106"/>
      <c r="Q33" s="106"/>
      <c r="R33" s="106"/>
      <c r="S33" s="106"/>
    </row>
    <row r="34" spans="1:20" ht="18" hidden="1" customHeight="1" x14ac:dyDescent="0.35">
      <c r="A34" s="106"/>
      <c r="B34" s="106"/>
      <c r="C34" s="106"/>
      <c r="D34" s="106"/>
      <c r="E34" s="106"/>
      <c r="F34" s="106"/>
      <c r="G34" s="107"/>
      <c r="H34" s="107"/>
      <c r="I34" s="107"/>
      <c r="J34" s="108"/>
      <c r="K34" s="106"/>
      <c r="L34" s="106"/>
      <c r="M34" s="106"/>
      <c r="N34" s="106"/>
      <c r="O34" s="106"/>
      <c r="P34" s="106"/>
      <c r="Q34" s="106"/>
      <c r="R34" s="106"/>
      <c r="S34" s="106"/>
      <c r="T34" s="108"/>
    </row>
    <row r="35" spans="1:20" ht="18" hidden="1" customHeight="1" x14ac:dyDescent="0.35">
      <c r="O35" s="73" t="s">
        <v>25</v>
      </c>
      <c r="P35" s="73" t="s">
        <v>26</v>
      </c>
      <c r="Q35" s="73" t="s">
        <v>27</v>
      </c>
      <c r="R35" s="73" t="s">
        <v>28</v>
      </c>
      <c r="S35" s="73" t="s">
        <v>29</v>
      </c>
      <c r="T35" s="73" t="s">
        <v>1303</v>
      </c>
    </row>
    <row r="36" spans="1:20" ht="18" hidden="1" customHeight="1" x14ac:dyDescent="0.35">
      <c r="O36" s="74" t="s">
        <v>30</v>
      </c>
      <c r="P36" s="74" t="s">
        <v>31</v>
      </c>
      <c r="Q36" s="74" t="s">
        <v>32</v>
      </c>
      <c r="R36" s="74" t="s">
        <v>33</v>
      </c>
      <c r="S36" s="74">
        <v>100</v>
      </c>
      <c r="T36" s="74" t="s">
        <v>33</v>
      </c>
    </row>
    <row r="37" spans="1:20" ht="18" hidden="1" customHeight="1" x14ac:dyDescent="0.35">
      <c r="O37" s="74" t="s">
        <v>34</v>
      </c>
      <c r="P37" s="74" t="s">
        <v>35</v>
      </c>
      <c r="Q37" s="74"/>
      <c r="R37" s="74" t="s">
        <v>36</v>
      </c>
      <c r="S37" s="74">
        <v>39</v>
      </c>
      <c r="T37" s="74" t="s">
        <v>1304</v>
      </c>
    </row>
    <row r="38" spans="1:20" ht="18" hidden="1" customHeight="1" x14ac:dyDescent="0.35">
      <c r="O38" s="74" t="s">
        <v>37</v>
      </c>
      <c r="P38" s="74" t="s">
        <v>38</v>
      </c>
      <c r="Q38" s="74" t="s">
        <v>39</v>
      </c>
      <c r="R38" s="74" t="s">
        <v>40</v>
      </c>
      <c r="S38" s="74">
        <v>65</v>
      </c>
      <c r="T38" s="74" t="s">
        <v>40</v>
      </c>
    </row>
    <row r="39" spans="1:20" ht="18" hidden="1" customHeight="1" x14ac:dyDescent="0.35">
      <c r="O39" s="74" t="s">
        <v>41</v>
      </c>
      <c r="P39" s="74" t="s">
        <v>42</v>
      </c>
      <c r="Q39" s="74" t="s">
        <v>43</v>
      </c>
      <c r="R39" s="74" t="s">
        <v>40</v>
      </c>
      <c r="S39" s="74">
        <v>80</v>
      </c>
      <c r="T39" s="74" t="s">
        <v>40</v>
      </c>
    </row>
    <row r="40" spans="1:20" ht="18" hidden="1" customHeight="1" x14ac:dyDescent="0.35">
      <c r="O40" s="74" t="s">
        <v>44</v>
      </c>
      <c r="P40" s="74" t="s">
        <v>45</v>
      </c>
      <c r="Q40" s="74" t="s">
        <v>46</v>
      </c>
      <c r="R40" s="74" t="s">
        <v>36</v>
      </c>
      <c r="S40" s="74">
        <v>41</v>
      </c>
      <c r="T40" s="74" t="s">
        <v>1304</v>
      </c>
    </row>
    <row r="41" spans="1:20" ht="18" hidden="1" customHeight="1" x14ac:dyDescent="0.35">
      <c r="O41" s="74" t="s">
        <v>47</v>
      </c>
      <c r="P41" s="74" t="s">
        <v>48</v>
      </c>
      <c r="Q41" s="74" t="s">
        <v>49</v>
      </c>
      <c r="R41" s="74" t="s">
        <v>36</v>
      </c>
      <c r="S41" s="74">
        <v>40</v>
      </c>
      <c r="T41" s="74" t="s">
        <v>1304</v>
      </c>
    </row>
    <row r="42" spans="1:20" ht="18" hidden="1" customHeight="1" x14ac:dyDescent="0.35">
      <c r="O42" s="74" t="s">
        <v>50</v>
      </c>
      <c r="P42" s="74" t="s">
        <v>51</v>
      </c>
      <c r="Q42" s="74" t="s">
        <v>52</v>
      </c>
      <c r="R42" s="74" t="s">
        <v>40</v>
      </c>
      <c r="S42" s="74">
        <v>80</v>
      </c>
      <c r="T42" s="74" t="s">
        <v>40</v>
      </c>
    </row>
    <row r="43" spans="1:20" ht="18" hidden="1" customHeight="1" x14ac:dyDescent="0.35">
      <c r="O43" s="74" t="s">
        <v>53</v>
      </c>
      <c r="P43" s="74" t="s">
        <v>54</v>
      </c>
      <c r="Q43" s="74" t="s">
        <v>52</v>
      </c>
      <c r="R43" s="74" t="s">
        <v>36</v>
      </c>
      <c r="S43" s="74">
        <v>50</v>
      </c>
      <c r="T43" s="74" t="s">
        <v>1304</v>
      </c>
    </row>
    <row r="44" spans="1:20" ht="18" hidden="1" customHeight="1" x14ac:dyDescent="0.35">
      <c r="O44" s="74" t="s">
        <v>55</v>
      </c>
      <c r="P44" s="74" t="s">
        <v>56</v>
      </c>
      <c r="Q44" s="74" t="s">
        <v>57</v>
      </c>
      <c r="R44" s="74" t="s">
        <v>58</v>
      </c>
      <c r="S44" s="74">
        <v>30</v>
      </c>
      <c r="T44" s="74" t="s">
        <v>33</v>
      </c>
    </row>
    <row r="45" spans="1:20" ht="18" hidden="1" customHeight="1" x14ac:dyDescent="0.35">
      <c r="O45" s="74" t="s">
        <v>59</v>
      </c>
      <c r="P45" s="74" t="s">
        <v>60</v>
      </c>
      <c r="Q45" s="74" t="s">
        <v>61</v>
      </c>
      <c r="R45" s="74" t="s">
        <v>40</v>
      </c>
      <c r="S45" s="74">
        <v>61</v>
      </c>
      <c r="T45" s="74" t="s">
        <v>40</v>
      </c>
    </row>
    <row r="46" spans="1:20" ht="18" hidden="1" customHeight="1" x14ac:dyDescent="0.35">
      <c r="O46" s="74" t="s">
        <v>62</v>
      </c>
      <c r="P46" s="74" t="s">
        <v>63</v>
      </c>
      <c r="Q46" s="74" t="s">
        <v>64</v>
      </c>
      <c r="R46" s="74" t="s">
        <v>36</v>
      </c>
      <c r="S46" s="74">
        <v>51</v>
      </c>
      <c r="T46" s="74" t="s">
        <v>1304</v>
      </c>
    </row>
    <row r="47" spans="1:20" ht="18" hidden="1" customHeight="1" x14ac:dyDescent="0.35">
      <c r="O47" s="74" t="s">
        <v>65</v>
      </c>
      <c r="P47" s="74" t="s">
        <v>66</v>
      </c>
      <c r="Q47" s="74" t="s">
        <v>67</v>
      </c>
      <c r="R47" s="74" t="s">
        <v>36</v>
      </c>
      <c r="S47" s="74">
        <v>50</v>
      </c>
      <c r="T47" s="74" t="s">
        <v>1304</v>
      </c>
    </row>
    <row r="48" spans="1:20" ht="18" hidden="1" customHeight="1" x14ac:dyDescent="0.35">
      <c r="O48" s="74" t="s">
        <v>68</v>
      </c>
      <c r="P48" s="74" t="s">
        <v>69</v>
      </c>
      <c r="Q48" s="74" t="s">
        <v>70</v>
      </c>
      <c r="R48" s="74" t="s">
        <v>36</v>
      </c>
      <c r="S48" s="74">
        <v>45</v>
      </c>
      <c r="T48" s="74" t="s">
        <v>1304</v>
      </c>
    </row>
    <row r="49" spans="15:20" ht="18" hidden="1" customHeight="1" x14ac:dyDescent="0.35">
      <c r="O49" s="74" t="s">
        <v>71</v>
      </c>
      <c r="P49" s="74" t="s">
        <v>72</v>
      </c>
      <c r="Q49" s="74" t="s">
        <v>70</v>
      </c>
      <c r="R49" s="74" t="s">
        <v>58</v>
      </c>
      <c r="S49" s="74">
        <v>27</v>
      </c>
      <c r="T49" s="74" t="s">
        <v>1304</v>
      </c>
    </row>
    <row r="50" spans="15:20" ht="18" hidden="1" customHeight="1" x14ac:dyDescent="0.35">
      <c r="O50" s="74" t="s">
        <v>73</v>
      </c>
      <c r="P50" s="74" t="s">
        <v>74</v>
      </c>
      <c r="Q50" s="74" t="s">
        <v>75</v>
      </c>
      <c r="R50" s="74" t="s">
        <v>58</v>
      </c>
      <c r="S50" s="74">
        <v>30</v>
      </c>
      <c r="T50" s="74" t="s">
        <v>1304</v>
      </c>
    </row>
    <row r="51" spans="15:20" ht="18" hidden="1" customHeight="1" x14ac:dyDescent="0.35">
      <c r="O51" s="74" t="s">
        <v>76</v>
      </c>
      <c r="P51" s="74" t="s">
        <v>77</v>
      </c>
      <c r="Q51" s="74" t="s">
        <v>78</v>
      </c>
      <c r="R51" s="74" t="s">
        <v>36</v>
      </c>
      <c r="S51" s="74">
        <v>53</v>
      </c>
      <c r="T51" s="74" t="s">
        <v>1304</v>
      </c>
    </row>
    <row r="52" spans="15:20" ht="18" hidden="1" customHeight="1" x14ac:dyDescent="0.35">
      <c r="O52" s="74" t="s">
        <v>79</v>
      </c>
      <c r="P52" s="74" t="s">
        <v>80</v>
      </c>
      <c r="Q52" s="74" t="s">
        <v>81</v>
      </c>
      <c r="R52" s="74" t="s">
        <v>40</v>
      </c>
      <c r="S52" s="74">
        <v>80</v>
      </c>
      <c r="T52" s="74" t="s">
        <v>40</v>
      </c>
    </row>
    <row r="53" spans="15:20" ht="18" hidden="1" customHeight="1" x14ac:dyDescent="0.35">
      <c r="O53" s="74" t="s">
        <v>82</v>
      </c>
      <c r="P53" s="74" t="s">
        <v>83</v>
      </c>
      <c r="Q53" s="74" t="s">
        <v>84</v>
      </c>
      <c r="R53" s="74" t="s">
        <v>36</v>
      </c>
      <c r="S53" s="74">
        <v>48</v>
      </c>
      <c r="T53" s="74" t="s">
        <v>1304</v>
      </c>
    </row>
    <row r="54" spans="15:20" ht="18" hidden="1" customHeight="1" x14ac:dyDescent="0.35">
      <c r="O54" s="74" t="s">
        <v>85</v>
      </c>
      <c r="P54" s="74" t="s">
        <v>86</v>
      </c>
      <c r="Q54" s="74" t="s">
        <v>87</v>
      </c>
      <c r="R54" s="74" t="s">
        <v>40</v>
      </c>
      <c r="S54" s="74">
        <v>72</v>
      </c>
      <c r="T54" s="74" t="s">
        <v>40</v>
      </c>
    </row>
    <row r="55" spans="15:20" ht="18" hidden="1" customHeight="1" x14ac:dyDescent="0.35">
      <c r="O55" s="74" t="s">
        <v>88</v>
      </c>
      <c r="P55" s="74" t="s">
        <v>89</v>
      </c>
      <c r="Q55" s="74" t="s">
        <v>90</v>
      </c>
      <c r="R55" s="74" t="s">
        <v>36</v>
      </c>
      <c r="S55" s="74">
        <v>51</v>
      </c>
      <c r="T55" s="74" t="s">
        <v>1304</v>
      </c>
    </row>
    <row r="56" spans="15:20" ht="18" hidden="1" customHeight="1" x14ac:dyDescent="0.35">
      <c r="O56" s="74" t="s">
        <v>91</v>
      </c>
      <c r="P56" s="74" t="s">
        <v>92</v>
      </c>
      <c r="Q56" s="74" t="s">
        <v>93</v>
      </c>
      <c r="R56" s="74" t="s">
        <v>40</v>
      </c>
      <c r="S56" s="74">
        <v>73</v>
      </c>
      <c r="T56" s="74" t="s">
        <v>40</v>
      </c>
    </row>
    <row r="57" spans="15:20" ht="18" hidden="1" customHeight="1" x14ac:dyDescent="0.35">
      <c r="O57" s="74" t="s">
        <v>94</v>
      </c>
      <c r="P57" s="74" t="s">
        <v>95</v>
      </c>
      <c r="Q57" s="74" t="s">
        <v>96</v>
      </c>
      <c r="R57" s="74" t="s">
        <v>58</v>
      </c>
      <c r="S57" s="74">
        <v>30</v>
      </c>
      <c r="T57" s="74" t="s">
        <v>1304</v>
      </c>
    </row>
    <row r="58" spans="15:20" ht="18" hidden="1" customHeight="1" x14ac:dyDescent="0.35">
      <c r="O58" s="74" t="s">
        <v>97</v>
      </c>
      <c r="P58" s="74" t="s">
        <v>98</v>
      </c>
      <c r="Q58" s="74" t="s">
        <v>99</v>
      </c>
      <c r="R58" s="74" t="s">
        <v>40</v>
      </c>
      <c r="S58" s="74">
        <v>80</v>
      </c>
      <c r="T58" s="74" t="s">
        <v>40</v>
      </c>
    </row>
    <row r="59" spans="15:20" ht="18" hidden="1" customHeight="1" x14ac:dyDescent="0.35">
      <c r="O59" s="74" t="s">
        <v>100</v>
      </c>
      <c r="P59" s="74" t="s">
        <v>101</v>
      </c>
      <c r="Q59" s="74" t="s">
        <v>102</v>
      </c>
      <c r="R59" s="74" t="s">
        <v>40</v>
      </c>
      <c r="S59" s="74">
        <v>62</v>
      </c>
      <c r="T59" s="74" t="s">
        <v>40</v>
      </c>
    </row>
    <row r="60" spans="15:20" ht="18" hidden="1" customHeight="1" x14ac:dyDescent="0.35">
      <c r="O60" s="74" t="s">
        <v>103</v>
      </c>
      <c r="P60" s="74" t="s">
        <v>104</v>
      </c>
      <c r="Q60" s="74" t="s">
        <v>105</v>
      </c>
      <c r="R60" s="74" t="s">
        <v>36</v>
      </c>
      <c r="S60" s="74">
        <v>48</v>
      </c>
      <c r="T60" s="74" t="s">
        <v>1304</v>
      </c>
    </row>
    <row r="61" spans="15:20" ht="18" hidden="1" customHeight="1" x14ac:dyDescent="0.35">
      <c r="O61" s="74" t="s">
        <v>106</v>
      </c>
      <c r="P61" s="74" t="s">
        <v>107</v>
      </c>
      <c r="Q61" s="74" t="s">
        <v>108</v>
      </c>
      <c r="R61" s="74" t="s">
        <v>36</v>
      </c>
      <c r="S61" s="74">
        <v>40</v>
      </c>
      <c r="T61" s="74" t="s">
        <v>1304</v>
      </c>
    </row>
    <row r="62" spans="15:20" ht="18" hidden="1" customHeight="1" x14ac:dyDescent="0.35">
      <c r="O62" s="74" t="s">
        <v>109</v>
      </c>
      <c r="P62" s="74" t="s">
        <v>110</v>
      </c>
      <c r="Q62" s="74" t="s">
        <v>111</v>
      </c>
      <c r="R62" s="74" t="s">
        <v>40</v>
      </c>
      <c r="S62" s="74">
        <v>80</v>
      </c>
      <c r="T62" s="74" t="s">
        <v>40</v>
      </c>
    </row>
    <row r="63" spans="15:20" ht="18" hidden="1" customHeight="1" x14ac:dyDescent="0.35">
      <c r="O63" s="74" t="s">
        <v>112</v>
      </c>
      <c r="P63" s="74" t="s">
        <v>113</v>
      </c>
      <c r="Q63" s="74"/>
      <c r="R63" s="74" t="s">
        <v>36</v>
      </c>
      <c r="S63" s="74">
        <v>38</v>
      </c>
      <c r="T63" s="74" t="s">
        <v>1304</v>
      </c>
    </row>
    <row r="64" spans="15:20" ht="18" hidden="1" customHeight="1" x14ac:dyDescent="0.35">
      <c r="O64" s="74" t="s">
        <v>114</v>
      </c>
      <c r="P64" s="74" t="s">
        <v>115</v>
      </c>
      <c r="Q64" s="74" t="s">
        <v>116</v>
      </c>
      <c r="R64" s="74" t="s">
        <v>40</v>
      </c>
      <c r="S64" s="74">
        <v>64</v>
      </c>
      <c r="T64" s="74" t="s">
        <v>40</v>
      </c>
    </row>
    <row r="65" spans="15:20" ht="18" hidden="1" customHeight="1" x14ac:dyDescent="0.35">
      <c r="O65" s="74" t="s">
        <v>117</v>
      </c>
      <c r="P65" s="74" t="s">
        <v>118</v>
      </c>
      <c r="Q65" s="74" t="s">
        <v>119</v>
      </c>
      <c r="R65" s="74" t="s">
        <v>36</v>
      </c>
      <c r="S65" s="74">
        <v>39</v>
      </c>
      <c r="T65" s="74" t="s">
        <v>1304</v>
      </c>
    </row>
    <row r="66" spans="15:20" ht="18" hidden="1" customHeight="1" x14ac:dyDescent="0.35">
      <c r="O66" s="74" t="s">
        <v>120</v>
      </c>
      <c r="P66" s="74" t="s">
        <v>121</v>
      </c>
      <c r="Q66" s="74" t="s">
        <v>122</v>
      </c>
      <c r="R66" s="74" t="s">
        <v>58</v>
      </c>
      <c r="S66" s="74">
        <v>30</v>
      </c>
      <c r="T66" s="74" t="s">
        <v>33</v>
      </c>
    </row>
    <row r="67" spans="15:20" ht="18" hidden="1" customHeight="1" x14ac:dyDescent="0.35">
      <c r="O67" s="74" t="s">
        <v>123</v>
      </c>
      <c r="P67" s="74" t="s">
        <v>124</v>
      </c>
      <c r="Q67" s="74"/>
      <c r="R67" s="74" t="s">
        <v>36</v>
      </c>
      <c r="S67" s="74">
        <v>37</v>
      </c>
      <c r="T67" s="74" t="s">
        <v>1304</v>
      </c>
    </row>
    <row r="68" spans="15:20" ht="18" hidden="1" customHeight="1" x14ac:dyDescent="0.35">
      <c r="O68" s="74" t="s">
        <v>125</v>
      </c>
      <c r="P68" s="74" t="s">
        <v>126</v>
      </c>
      <c r="Q68" s="74" t="s">
        <v>127</v>
      </c>
      <c r="R68" s="74" t="s">
        <v>36</v>
      </c>
      <c r="S68" s="74">
        <v>54</v>
      </c>
      <c r="T68" s="74" t="s">
        <v>40</v>
      </c>
    </row>
    <row r="69" spans="15:20" ht="18" hidden="1" customHeight="1" x14ac:dyDescent="0.35">
      <c r="O69" s="74" t="s">
        <v>128</v>
      </c>
      <c r="P69" s="74" t="s">
        <v>129</v>
      </c>
      <c r="Q69" s="74" t="s">
        <v>130</v>
      </c>
      <c r="R69" s="74" t="s">
        <v>36</v>
      </c>
      <c r="S69" s="74">
        <v>46</v>
      </c>
      <c r="T69" s="74" t="s">
        <v>1304</v>
      </c>
    </row>
    <row r="70" spans="15:20" ht="18" hidden="1" customHeight="1" x14ac:dyDescent="0.35">
      <c r="O70" s="74" t="s">
        <v>131</v>
      </c>
      <c r="P70" s="74" t="s">
        <v>132</v>
      </c>
      <c r="Q70" s="74" t="s">
        <v>133</v>
      </c>
      <c r="R70" s="74" t="s">
        <v>36</v>
      </c>
      <c r="S70" s="74">
        <v>38</v>
      </c>
      <c r="T70" s="74" t="s">
        <v>1304</v>
      </c>
    </row>
    <row r="71" spans="15:20" ht="18" hidden="1" customHeight="1" x14ac:dyDescent="0.35">
      <c r="O71" s="74" t="s">
        <v>134</v>
      </c>
      <c r="P71" s="74" t="s">
        <v>135</v>
      </c>
      <c r="Q71" s="74" t="s">
        <v>136</v>
      </c>
      <c r="R71" s="74" t="s">
        <v>40</v>
      </c>
      <c r="S71" s="74">
        <v>73</v>
      </c>
      <c r="T71" s="74" t="s">
        <v>40</v>
      </c>
    </row>
    <row r="72" spans="15:20" ht="18" hidden="1" customHeight="1" x14ac:dyDescent="0.35">
      <c r="O72" s="74" t="s">
        <v>137</v>
      </c>
      <c r="P72" s="74" t="s">
        <v>138</v>
      </c>
      <c r="Q72" s="74" t="s">
        <v>139</v>
      </c>
      <c r="R72" s="74" t="s">
        <v>40</v>
      </c>
      <c r="S72" s="74">
        <v>66</v>
      </c>
      <c r="T72" s="74" t="s">
        <v>40</v>
      </c>
    </row>
    <row r="73" spans="15:20" ht="18" hidden="1" customHeight="1" x14ac:dyDescent="0.35">
      <c r="O73" s="74" t="s">
        <v>140</v>
      </c>
      <c r="P73" s="74" t="s">
        <v>141</v>
      </c>
      <c r="Q73" s="74" t="s">
        <v>142</v>
      </c>
      <c r="R73" s="74" t="s">
        <v>40</v>
      </c>
      <c r="S73" s="74">
        <v>80</v>
      </c>
      <c r="T73" s="74" t="s">
        <v>40</v>
      </c>
    </row>
    <row r="74" spans="15:20" ht="18" hidden="1" customHeight="1" x14ac:dyDescent="0.35">
      <c r="O74" s="74" t="s">
        <v>143</v>
      </c>
      <c r="P74" s="74" t="s">
        <v>144</v>
      </c>
      <c r="Q74" s="74" t="s">
        <v>145</v>
      </c>
      <c r="R74" s="74" t="s">
        <v>40</v>
      </c>
      <c r="S74" s="74">
        <v>62</v>
      </c>
      <c r="T74" s="74" t="s">
        <v>40</v>
      </c>
    </row>
    <row r="75" spans="15:20" ht="18" hidden="1" customHeight="1" x14ac:dyDescent="0.35">
      <c r="O75" s="74" t="s">
        <v>146</v>
      </c>
      <c r="P75" s="74" t="s">
        <v>147</v>
      </c>
      <c r="Q75" s="74" t="s">
        <v>148</v>
      </c>
      <c r="R75" s="74" t="s">
        <v>58</v>
      </c>
      <c r="S75" s="74">
        <v>27</v>
      </c>
      <c r="T75" s="74" t="s">
        <v>1304</v>
      </c>
    </row>
    <row r="76" spans="15:20" ht="18" hidden="1" customHeight="1" x14ac:dyDescent="0.35">
      <c r="O76" s="74" t="s">
        <v>149</v>
      </c>
      <c r="P76" s="74" t="s">
        <v>150</v>
      </c>
      <c r="Q76" s="74" t="s">
        <v>151</v>
      </c>
      <c r="R76" s="74" t="s">
        <v>36</v>
      </c>
      <c r="S76" s="74">
        <v>42</v>
      </c>
      <c r="T76" s="74" t="s">
        <v>1304</v>
      </c>
    </row>
    <row r="77" spans="15:20" ht="18" hidden="1" customHeight="1" x14ac:dyDescent="0.35">
      <c r="O77" s="74" t="s">
        <v>152</v>
      </c>
      <c r="P77" s="74" t="s">
        <v>153</v>
      </c>
      <c r="Q77" s="74" t="s">
        <v>154</v>
      </c>
      <c r="R77" s="74" t="s">
        <v>40</v>
      </c>
      <c r="S77" s="74">
        <v>62</v>
      </c>
      <c r="T77" s="74" t="s">
        <v>40</v>
      </c>
    </row>
    <row r="78" spans="15:20" ht="18" hidden="1" customHeight="1" x14ac:dyDescent="0.35">
      <c r="O78" s="74" t="s">
        <v>155</v>
      </c>
      <c r="P78" s="74" t="s">
        <v>156</v>
      </c>
      <c r="Q78" s="74" t="s">
        <v>157</v>
      </c>
      <c r="R78" s="74" t="s">
        <v>40</v>
      </c>
      <c r="S78" s="74">
        <v>71</v>
      </c>
      <c r="T78" s="74" t="s">
        <v>40</v>
      </c>
    </row>
    <row r="79" spans="15:20" ht="18" hidden="1" customHeight="1" x14ac:dyDescent="0.35">
      <c r="O79" s="74" t="s">
        <v>158</v>
      </c>
      <c r="P79" s="74" t="s">
        <v>159</v>
      </c>
      <c r="Q79" s="74" t="s">
        <v>160</v>
      </c>
      <c r="R79" s="74" t="s">
        <v>40</v>
      </c>
      <c r="S79" s="74">
        <v>67</v>
      </c>
      <c r="T79" s="74" t="s">
        <v>40</v>
      </c>
    </row>
    <row r="80" spans="15:20" ht="18" hidden="1" customHeight="1" x14ac:dyDescent="0.35">
      <c r="O80" s="74" t="s">
        <v>161</v>
      </c>
      <c r="P80" s="74" t="s">
        <v>162</v>
      </c>
      <c r="Q80" s="74" t="s">
        <v>163</v>
      </c>
      <c r="R80" s="74" t="s">
        <v>36</v>
      </c>
      <c r="S80" s="74">
        <v>45</v>
      </c>
      <c r="T80" s="74" t="s">
        <v>1304</v>
      </c>
    </row>
    <row r="81" spans="15:20" ht="18" hidden="1" customHeight="1" x14ac:dyDescent="0.35">
      <c r="O81" s="74" t="s">
        <v>164</v>
      </c>
      <c r="P81" s="74" t="s">
        <v>165</v>
      </c>
      <c r="Q81" s="74" t="s">
        <v>166</v>
      </c>
      <c r="R81" s="74" t="s">
        <v>36</v>
      </c>
      <c r="S81" s="74">
        <v>48</v>
      </c>
      <c r="T81" s="74" t="s">
        <v>40</v>
      </c>
    </row>
    <row r="82" spans="15:20" ht="18" hidden="1" customHeight="1" x14ac:dyDescent="0.35">
      <c r="O82" s="74" t="s">
        <v>167</v>
      </c>
      <c r="P82" s="74" t="s">
        <v>168</v>
      </c>
      <c r="Q82" s="74" t="s">
        <v>169</v>
      </c>
      <c r="R82" s="74" t="s">
        <v>36</v>
      </c>
      <c r="S82" s="74">
        <v>39</v>
      </c>
      <c r="T82" s="74" t="s">
        <v>1304</v>
      </c>
    </row>
    <row r="83" spans="15:20" ht="18" hidden="1" customHeight="1" x14ac:dyDescent="0.35">
      <c r="O83" s="74" t="s">
        <v>170</v>
      </c>
      <c r="P83" s="74" t="s">
        <v>171</v>
      </c>
      <c r="Q83" s="74" t="s">
        <v>172</v>
      </c>
      <c r="R83" s="74" t="s">
        <v>36</v>
      </c>
      <c r="S83" s="74">
        <v>37</v>
      </c>
      <c r="T83" s="74" t="s">
        <v>1304</v>
      </c>
    </row>
    <row r="84" spans="15:20" ht="18" hidden="1" customHeight="1" x14ac:dyDescent="0.35">
      <c r="O84" s="74" t="s">
        <v>173</v>
      </c>
      <c r="P84" s="74" t="s">
        <v>174</v>
      </c>
      <c r="Q84" s="74" t="s">
        <v>175</v>
      </c>
      <c r="R84" s="74" t="s">
        <v>40</v>
      </c>
      <c r="S84" s="74">
        <v>68</v>
      </c>
      <c r="T84" s="74" t="s">
        <v>40</v>
      </c>
    </row>
    <row r="85" spans="15:20" ht="18" hidden="1" customHeight="1" x14ac:dyDescent="0.35">
      <c r="O85" s="74" t="s">
        <v>176</v>
      </c>
      <c r="P85" s="74" t="s">
        <v>177</v>
      </c>
      <c r="Q85" s="74" t="s">
        <v>178</v>
      </c>
      <c r="R85" s="74" t="s">
        <v>36</v>
      </c>
      <c r="S85" s="74">
        <v>52</v>
      </c>
      <c r="T85" s="74" t="s">
        <v>1304</v>
      </c>
    </row>
    <row r="86" spans="15:20" ht="18" hidden="1" customHeight="1" x14ac:dyDescent="0.35">
      <c r="O86" s="74" t="s">
        <v>179</v>
      </c>
      <c r="P86" s="74" t="s">
        <v>180</v>
      </c>
      <c r="Q86" s="74" t="s">
        <v>181</v>
      </c>
      <c r="R86" s="74" t="s">
        <v>40</v>
      </c>
      <c r="S86" s="74">
        <v>76</v>
      </c>
      <c r="T86" s="74" t="s">
        <v>40</v>
      </c>
    </row>
    <row r="87" spans="15:20" ht="18" hidden="1" customHeight="1" x14ac:dyDescent="0.35">
      <c r="O87" s="74" t="s">
        <v>182</v>
      </c>
      <c r="P87" s="74" t="s">
        <v>183</v>
      </c>
      <c r="Q87" s="74" t="s">
        <v>184</v>
      </c>
      <c r="R87" s="74" t="s">
        <v>40</v>
      </c>
      <c r="S87" s="74">
        <v>76</v>
      </c>
      <c r="T87" s="74" t="s">
        <v>40</v>
      </c>
    </row>
    <row r="88" spans="15:20" ht="18" hidden="1" customHeight="1" x14ac:dyDescent="0.35">
      <c r="O88" s="74" t="s">
        <v>185</v>
      </c>
      <c r="P88" s="74" t="s">
        <v>186</v>
      </c>
      <c r="Q88" s="74" t="s">
        <v>187</v>
      </c>
      <c r="R88" s="74" t="s">
        <v>40</v>
      </c>
      <c r="S88" s="74">
        <v>80</v>
      </c>
      <c r="T88" s="74" t="s">
        <v>40</v>
      </c>
    </row>
    <row r="89" spans="15:20" ht="18" hidden="1" customHeight="1" x14ac:dyDescent="0.35">
      <c r="O89" s="74" t="s">
        <v>188</v>
      </c>
      <c r="P89" s="74" t="s">
        <v>189</v>
      </c>
      <c r="Q89" s="74" t="s">
        <v>190</v>
      </c>
      <c r="R89" s="74" t="s">
        <v>36</v>
      </c>
      <c r="S89" s="74">
        <v>48</v>
      </c>
      <c r="T89" s="74" t="s">
        <v>1304</v>
      </c>
    </row>
    <row r="90" spans="15:20" ht="18" hidden="1" customHeight="1" x14ac:dyDescent="0.35">
      <c r="O90" s="74" t="s">
        <v>191</v>
      </c>
      <c r="P90" s="74" t="s">
        <v>192</v>
      </c>
      <c r="Q90" s="74" t="s">
        <v>193</v>
      </c>
      <c r="R90" s="74" t="s">
        <v>36</v>
      </c>
      <c r="S90" s="74">
        <v>52</v>
      </c>
      <c r="T90" s="74" t="s">
        <v>1304</v>
      </c>
    </row>
    <row r="91" spans="15:20" ht="18" hidden="1" customHeight="1" x14ac:dyDescent="0.35">
      <c r="O91" s="74" t="s">
        <v>194</v>
      </c>
      <c r="P91" s="74" t="s">
        <v>195</v>
      </c>
      <c r="Q91" s="74" t="s">
        <v>196</v>
      </c>
      <c r="R91" s="74" t="s">
        <v>36</v>
      </c>
      <c r="S91" s="74">
        <v>40</v>
      </c>
      <c r="T91" s="74" t="s">
        <v>1304</v>
      </c>
    </row>
    <row r="92" spans="15:20" ht="18" hidden="1" customHeight="1" x14ac:dyDescent="0.35">
      <c r="O92" s="74" t="s">
        <v>197</v>
      </c>
      <c r="P92" s="74" t="s">
        <v>198</v>
      </c>
      <c r="Q92" s="74" t="s">
        <v>199</v>
      </c>
      <c r="R92" s="74" t="s">
        <v>33</v>
      </c>
      <c r="S92" s="74">
        <v>100</v>
      </c>
      <c r="T92" s="74" t="s">
        <v>33</v>
      </c>
    </row>
    <row r="93" spans="15:20" ht="18" hidden="1" customHeight="1" x14ac:dyDescent="0.35">
      <c r="O93" s="74" t="s">
        <v>200</v>
      </c>
      <c r="P93" s="74" t="s">
        <v>201</v>
      </c>
      <c r="Q93" s="74" t="s">
        <v>202</v>
      </c>
      <c r="R93" s="74" t="s">
        <v>36</v>
      </c>
      <c r="S93" s="74">
        <v>49</v>
      </c>
      <c r="T93" s="74" t="s">
        <v>1304</v>
      </c>
    </row>
    <row r="94" spans="15:20" ht="18" hidden="1" customHeight="1" x14ac:dyDescent="0.35">
      <c r="O94" s="74" t="s">
        <v>203</v>
      </c>
      <c r="P94" s="74" t="s">
        <v>204</v>
      </c>
      <c r="Q94" s="74" t="s">
        <v>205</v>
      </c>
      <c r="R94" s="74" t="s">
        <v>40</v>
      </c>
      <c r="S94" s="74">
        <v>62</v>
      </c>
      <c r="T94" s="74" t="s">
        <v>40</v>
      </c>
    </row>
    <row r="95" spans="15:20" ht="18" hidden="1" customHeight="1" x14ac:dyDescent="0.35">
      <c r="O95" s="74" t="s">
        <v>206</v>
      </c>
      <c r="P95" s="74" t="s">
        <v>207</v>
      </c>
      <c r="Q95" s="74" t="s">
        <v>208</v>
      </c>
      <c r="R95" s="74" t="s">
        <v>36</v>
      </c>
      <c r="S95" s="74">
        <v>41</v>
      </c>
      <c r="T95" s="74" t="s">
        <v>1304</v>
      </c>
    </row>
    <row r="96" spans="15:20" ht="18" hidden="1" customHeight="1" x14ac:dyDescent="0.35">
      <c r="O96" s="74" t="s">
        <v>209</v>
      </c>
      <c r="P96" s="74" t="s">
        <v>210</v>
      </c>
      <c r="Q96" s="74" t="s">
        <v>211</v>
      </c>
      <c r="R96" s="74" t="s">
        <v>58</v>
      </c>
      <c r="S96" s="74">
        <v>21</v>
      </c>
      <c r="T96" s="74" t="s">
        <v>1304</v>
      </c>
    </row>
    <row r="97" spans="15:20" ht="18" hidden="1" customHeight="1" x14ac:dyDescent="0.35">
      <c r="O97" s="74" t="s">
        <v>212</v>
      </c>
      <c r="P97" s="74" t="s">
        <v>213</v>
      </c>
      <c r="Q97" s="74" t="s">
        <v>214</v>
      </c>
      <c r="R97" s="74" t="s">
        <v>36</v>
      </c>
      <c r="S97" s="74">
        <v>54</v>
      </c>
      <c r="T97" s="74" t="s">
        <v>1304</v>
      </c>
    </row>
    <row r="98" spans="15:20" ht="18" hidden="1" customHeight="1" x14ac:dyDescent="0.35">
      <c r="O98" s="74" t="s">
        <v>215</v>
      </c>
      <c r="P98" s="74" t="s">
        <v>216</v>
      </c>
      <c r="Q98" s="74" t="s">
        <v>217</v>
      </c>
      <c r="R98" s="74" t="s">
        <v>36</v>
      </c>
      <c r="S98" s="74">
        <v>60</v>
      </c>
      <c r="T98" s="74" t="s">
        <v>40</v>
      </c>
    </row>
    <row r="99" spans="15:20" ht="18" hidden="1" customHeight="1" x14ac:dyDescent="0.35">
      <c r="O99" s="74" t="s">
        <v>218</v>
      </c>
      <c r="P99" s="74" t="s">
        <v>219</v>
      </c>
      <c r="Q99" s="74" t="s">
        <v>220</v>
      </c>
      <c r="R99" s="74" t="s">
        <v>40</v>
      </c>
      <c r="S99" s="74">
        <v>80</v>
      </c>
      <c r="T99" s="74" t="s">
        <v>40</v>
      </c>
    </row>
    <row r="100" spans="15:20" ht="18" hidden="1" customHeight="1" x14ac:dyDescent="0.35">
      <c r="O100" s="74" t="s">
        <v>221</v>
      </c>
      <c r="P100" s="74" t="s">
        <v>222</v>
      </c>
      <c r="Q100" s="74" t="s">
        <v>223</v>
      </c>
      <c r="R100" s="74" t="s">
        <v>40</v>
      </c>
      <c r="S100" s="74">
        <v>62</v>
      </c>
      <c r="T100" s="74" t="s">
        <v>40</v>
      </c>
    </row>
    <row r="101" spans="15:20" ht="18" hidden="1" customHeight="1" x14ac:dyDescent="0.35">
      <c r="O101" s="74" t="s">
        <v>224</v>
      </c>
      <c r="P101" s="74" t="s">
        <v>225</v>
      </c>
      <c r="Q101" s="74" t="s">
        <v>226</v>
      </c>
      <c r="R101" s="74" t="s">
        <v>40</v>
      </c>
      <c r="S101" s="74">
        <v>64</v>
      </c>
      <c r="T101" s="74" t="s">
        <v>40</v>
      </c>
    </row>
    <row r="102" spans="15:20" ht="18" hidden="1" customHeight="1" x14ac:dyDescent="0.35">
      <c r="O102" s="74" t="s">
        <v>227</v>
      </c>
      <c r="P102" s="74" t="s">
        <v>228</v>
      </c>
      <c r="Q102" s="74" t="s">
        <v>229</v>
      </c>
      <c r="R102" s="74" t="s">
        <v>40</v>
      </c>
      <c r="S102" s="74">
        <v>61</v>
      </c>
      <c r="T102" s="74" t="s">
        <v>40</v>
      </c>
    </row>
    <row r="103" spans="15:20" ht="18" hidden="1" customHeight="1" x14ac:dyDescent="0.35">
      <c r="O103" s="74" t="s">
        <v>230</v>
      </c>
      <c r="P103" s="74" t="s">
        <v>231</v>
      </c>
      <c r="Q103" s="74" t="s">
        <v>232</v>
      </c>
      <c r="R103" s="74" t="s">
        <v>40</v>
      </c>
      <c r="S103" s="74">
        <v>72</v>
      </c>
      <c r="T103" s="74" t="s">
        <v>40</v>
      </c>
    </row>
    <row r="104" spans="15:20" ht="18" hidden="1" customHeight="1" x14ac:dyDescent="0.35">
      <c r="O104" s="74" t="s">
        <v>233</v>
      </c>
      <c r="P104" s="74" t="s">
        <v>234</v>
      </c>
      <c r="Q104" s="74" t="s">
        <v>235</v>
      </c>
      <c r="R104" s="74" t="s">
        <v>33</v>
      </c>
      <c r="S104" s="74">
        <v>100</v>
      </c>
      <c r="T104" s="74" t="s">
        <v>33</v>
      </c>
    </row>
    <row r="105" spans="15:20" ht="18" hidden="1" customHeight="1" x14ac:dyDescent="0.35">
      <c r="O105" s="74" t="s">
        <v>236</v>
      </c>
      <c r="P105" s="74" t="s">
        <v>237</v>
      </c>
      <c r="Q105" s="74" t="s">
        <v>238</v>
      </c>
      <c r="R105" s="74" t="s">
        <v>36</v>
      </c>
      <c r="S105" s="74">
        <v>39</v>
      </c>
      <c r="T105" s="74" t="s">
        <v>1304</v>
      </c>
    </row>
    <row r="106" spans="15:20" ht="18" hidden="1" customHeight="1" x14ac:dyDescent="0.35">
      <c r="O106" s="74" t="s">
        <v>239</v>
      </c>
      <c r="P106" s="74" t="s">
        <v>240</v>
      </c>
      <c r="Q106" s="74" t="s">
        <v>241</v>
      </c>
      <c r="R106" s="74" t="s">
        <v>40</v>
      </c>
      <c r="S106" s="74">
        <v>74</v>
      </c>
      <c r="T106" s="74" t="s">
        <v>40</v>
      </c>
    </row>
    <row r="107" spans="15:20" ht="18" hidden="1" customHeight="1" x14ac:dyDescent="0.35">
      <c r="O107" s="74" t="s">
        <v>242</v>
      </c>
      <c r="P107" s="74" t="s">
        <v>243</v>
      </c>
      <c r="Q107" s="74" t="s">
        <v>244</v>
      </c>
      <c r="R107" s="74" t="s">
        <v>58</v>
      </c>
      <c r="S107" s="74">
        <v>28</v>
      </c>
      <c r="T107" s="74" t="s">
        <v>40</v>
      </c>
    </row>
    <row r="108" spans="15:20" ht="18" hidden="1" customHeight="1" x14ac:dyDescent="0.35">
      <c r="O108" s="74" t="s">
        <v>245</v>
      </c>
      <c r="P108" s="74" t="s">
        <v>246</v>
      </c>
      <c r="Q108" s="74" t="s">
        <v>247</v>
      </c>
      <c r="R108" s="74" t="s">
        <v>58</v>
      </c>
      <c r="S108" s="74">
        <v>30</v>
      </c>
      <c r="T108" s="74" t="s">
        <v>40</v>
      </c>
    </row>
    <row r="109" spans="15:20" ht="18" hidden="1" customHeight="1" x14ac:dyDescent="0.35">
      <c r="O109" s="74" t="s">
        <v>248</v>
      </c>
      <c r="P109" s="74" t="s">
        <v>249</v>
      </c>
      <c r="Q109" s="74" t="s">
        <v>250</v>
      </c>
      <c r="R109" s="74" t="s">
        <v>36</v>
      </c>
      <c r="S109" s="74">
        <v>51</v>
      </c>
      <c r="T109" s="74" t="s">
        <v>40</v>
      </c>
    </row>
    <row r="110" spans="15:20" ht="18" hidden="1" customHeight="1" x14ac:dyDescent="0.35">
      <c r="O110" s="74" t="s">
        <v>251</v>
      </c>
      <c r="P110" s="74" t="s">
        <v>252</v>
      </c>
      <c r="Q110" s="74" t="s">
        <v>253</v>
      </c>
      <c r="R110" s="74" t="s">
        <v>58</v>
      </c>
      <c r="S110" s="74">
        <v>21</v>
      </c>
      <c r="T110" s="74" t="s">
        <v>40</v>
      </c>
    </row>
    <row r="111" spans="15:20" ht="18" hidden="1" customHeight="1" x14ac:dyDescent="0.35">
      <c r="O111" s="74" t="s">
        <v>254</v>
      </c>
      <c r="P111" s="74" t="s">
        <v>255</v>
      </c>
      <c r="Q111" s="74" t="s">
        <v>256</v>
      </c>
      <c r="R111" s="74" t="s">
        <v>36</v>
      </c>
      <c r="S111" s="74">
        <v>47</v>
      </c>
      <c r="T111" s="74" t="s">
        <v>40</v>
      </c>
    </row>
    <row r="112" spans="15:20" ht="18" hidden="1" customHeight="1" x14ac:dyDescent="0.35">
      <c r="O112" s="74" t="s">
        <v>257</v>
      </c>
      <c r="P112" s="74" t="s">
        <v>258</v>
      </c>
      <c r="Q112" s="74" t="s">
        <v>259</v>
      </c>
      <c r="R112" s="74" t="s">
        <v>36</v>
      </c>
      <c r="S112" s="74">
        <v>49</v>
      </c>
      <c r="T112" s="74" t="s">
        <v>40</v>
      </c>
    </row>
    <row r="113" spans="15:20" ht="18" hidden="1" customHeight="1" x14ac:dyDescent="0.35">
      <c r="O113" s="74" t="s">
        <v>260</v>
      </c>
      <c r="P113" s="74" t="s">
        <v>261</v>
      </c>
      <c r="Q113" s="74" t="s">
        <v>262</v>
      </c>
      <c r="R113" s="74" t="s">
        <v>58</v>
      </c>
      <c r="S113" s="74">
        <v>30</v>
      </c>
      <c r="T113" s="74" t="s">
        <v>40</v>
      </c>
    </row>
    <row r="114" spans="15:20" ht="18" hidden="1" customHeight="1" x14ac:dyDescent="0.35">
      <c r="O114" s="74" t="s">
        <v>263</v>
      </c>
      <c r="P114" s="74" t="s">
        <v>264</v>
      </c>
      <c r="Q114" s="74" t="s">
        <v>265</v>
      </c>
      <c r="R114" s="74" t="s">
        <v>36</v>
      </c>
      <c r="S114" s="74">
        <v>42</v>
      </c>
      <c r="T114" s="74" t="s">
        <v>40</v>
      </c>
    </row>
    <row r="115" spans="15:20" ht="18" hidden="1" customHeight="1" x14ac:dyDescent="0.35">
      <c r="O115" s="74" t="s">
        <v>266</v>
      </c>
      <c r="P115" s="74" t="s">
        <v>267</v>
      </c>
      <c r="Q115" s="74" t="s">
        <v>268</v>
      </c>
      <c r="R115" s="74" t="s">
        <v>40</v>
      </c>
      <c r="S115" s="74">
        <v>80</v>
      </c>
      <c r="T115" s="74" t="s">
        <v>40</v>
      </c>
    </row>
    <row r="116" spans="15:20" ht="18" hidden="1" customHeight="1" x14ac:dyDescent="0.35">
      <c r="O116" s="74" t="s">
        <v>269</v>
      </c>
      <c r="P116" s="74" t="s">
        <v>270</v>
      </c>
      <c r="Q116" s="74" t="s">
        <v>271</v>
      </c>
      <c r="R116" s="74" t="s">
        <v>40</v>
      </c>
      <c r="S116" s="74">
        <v>80</v>
      </c>
      <c r="T116" s="74" t="s">
        <v>40</v>
      </c>
    </row>
    <row r="117" spans="15:20" ht="18" hidden="1" customHeight="1" x14ac:dyDescent="0.35">
      <c r="O117" s="74" t="s">
        <v>272</v>
      </c>
      <c r="P117" s="74" t="s">
        <v>273</v>
      </c>
      <c r="Q117" s="74" t="s">
        <v>274</v>
      </c>
      <c r="R117" s="74" t="s">
        <v>40</v>
      </c>
      <c r="S117" s="74">
        <v>80</v>
      </c>
      <c r="T117" s="74" t="s">
        <v>40</v>
      </c>
    </row>
    <row r="118" spans="15:20" ht="18" hidden="1" customHeight="1" x14ac:dyDescent="0.35">
      <c r="O118" s="74" t="s">
        <v>275</v>
      </c>
      <c r="P118" s="74" t="s">
        <v>276</v>
      </c>
      <c r="Q118" s="74" t="s">
        <v>277</v>
      </c>
      <c r="R118" s="74" t="s">
        <v>58</v>
      </c>
      <c r="S118" s="74">
        <v>29</v>
      </c>
      <c r="T118" s="74" t="s">
        <v>40</v>
      </c>
    </row>
    <row r="119" spans="15:20" ht="18" hidden="1" customHeight="1" x14ac:dyDescent="0.35">
      <c r="O119" s="74" t="s">
        <v>278</v>
      </c>
      <c r="P119" s="74" t="s">
        <v>279</v>
      </c>
      <c r="Q119" s="74" t="s">
        <v>280</v>
      </c>
      <c r="R119" s="74" t="s">
        <v>40</v>
      </c>
      <c r="S119" s="74">
        <v>80</v>
      </c>
      <c r="T119" s="74" t="s">
        <v>40</v>
      </c>
    </row>
    <row r="120" spans="15:20" ht="18" hidden="1" customHeight="1" x14ac:dyDescent="0.35">
      <c r="O120" s="74" t="s">
        <v>281</v>
      </c>
      <c r="P120" s="74" t="s">
        <v>282</v>
      </c>
      <c r="Q120" s="74" t="s">
        <v>283</v>
      </c>
      <c r="R120" s="74" t="s">
        <v>36</v>
      </c>
      <c r="S120" s="74">
        <v>39</v>
      </c>
      <c r="T120" s="74" t="s">
        <v>40</v>
      </c>
    </row>
    <row r="121" spans="15:20" ht="18" hidden="1" customHeight="1" x14ac:dyDescent="0.35">
      <c r="O121" s="74" t="s">
        <v>284</v>
      </c>
      <c r="P121" s="74" t="s">
        <v>285</v>
      </c>
      <c r="Q121" s="74" t="s">
        <v>286</v>
      </c>
      <c r="R121" s="74" t="s">
        <v>36</v>
      </c>
      <c r="S121" s="74">
        <v>43</v>
      </c>
      <c r="T121" s="74" t="s">
        <v>40</v>
      </c>
    </row>
    <row r="122" spans="15:20" ht="18" hidden="1" customHeight="1" x14ac:dyDescent="0.35">
      <c r="O122" s="74" t="s">
        <v>287</v>
      </c>
      <c r="P122" s="74" t="s">
        <v>288</v>
      </c>
      <c r="Q122" s="74" t="s">
        <v>289</v>
      </c>
      <c r="R122" s="74" t="s">
        <v>36</v>
      </c>
      <c r="S122" s="74">
        <v>38</v>
      </c>
      <c r="T122" s="74" t="s">
        <v>40</v>
      </c>
    </row>
    <row r="123" spans="15:20" ht="18" hidden="1" customHeight="1" x14ac:dyDescent="0.35">
      <c r="O123" s="74" t="s">
        <v>290</v>
      </c>
      <c r="P123" s="74" t="s">
        <v>291</v>
      </c>
      <c r="Q123" s="74" t="s">
        <v>292</v>
      </c>
      <c r="R123" s="74" t="s">
        <v>36</v>
      </c>
      <c r="S123" s="74">
        <v>50</v>
      </c>
      <c r="T123" s="74" t="s">
        <v>40</v>
      </c>
    </row>
    <row r="124" spans="15:20" ht="18" hidden="1" customHeight="1" x14ac:dyDescent="0.35">
      <c r="O124" s="74" t="s">
        <v>293</v>
      </c>
      <c r="P124" s="74" t="s">
        <v>294</v>
      </c>
      <c r="Q124" s="74" t="s">
        <v>295</v>
      </c>
      <c r="R124" s="74" t="s">
        <v>36</v>
      </c>
      <c r="S124" s="74">
        <v>60</v>
      </c>
      <c r="T124" s="74" t="s">
        <v>40</v>
      </c>
    </row>
    <row r="125" spans="15:20" ht="18" hidden="1" customHeight="1" x14ac:dyDescent="0.35">
      <c r="O125" s="74" t="s">
        <v>296</v>
      </c>
      <c r="P125" s="74" t="s">
        <v>297</v>
      </c>
      <c r="Q125" s="74" t="s">
        <v>298</v>
      </c>
      <c r="R125" s="74" t="s">
        <v>36</v>
      </c>
      <c r="S125" s="74">
        <v>36</v>
      </c>
      <c r="T125" s="74" t="s">
        <v>40</v>
      </c>
    </row>
    <row r="126" spans="15:20" ht="18" hidden="1" customHeight="1" x14ac:dyDescent="0.35">
      <c r="O126" s="74" t="s">
        <v>299</v>
      </c>
      <c r="P126" s="74" t="s">
        <v>300</v>
      </c>
      <c r="Q126" s="74" t="s">
        <v>301</v>
      </c>
      <c r="R126" s="74" t="s">
        <v>40</v>
      </c>
      <c r="S126" s="74">
        <v>80</v>
      </c>
      <c r="T126" s="74" t="s">
        <v>40</v>
      </c>
    </row>
    <row r="127" spans="15:20" ht="18" hidden="1" customHeight="1" x14ac:dyDescent="0.35">
      <c r="O127" s="74" t="s">
        <v>302</v>
      </c>
      <c r="P127" s="74" t="s">
        <v>303</v>
      </c>
      <c r="Q127" s="74"/>
      <c r="R127" s="74" t="s">
        <v>36</v>
      </c>
      <c r="S127" s="74">
        <v>41</v>
      </c>
      <c r="T127" s="74" t="s">
        <v>40</v>
      </c>
    </row>
    <row r="128" spans="15:20" ht="18" hidden="1" customHeight="1" x14ac:dyDescent="0.35">
      <c r="O128" s="74" t="s">
        <v>304</v>
      </c>
      <c r="P128" s="74" t="s">
        <v>305</v>
      </c>
      <c r="Q128" s="74" t="s">
        <v>306</v>
      </c>
      <c r="R128" s="74" t="s">
        <v>40</v>
      </c>
      <c r="S128" s="74">
        <v>61</v>
      </c>
      <c r="T128" s="74" t="s">
        <v>40</v>
      </c>
    </row>
    <row r="129" spans="15:20" ht="18" hidden="1" customHeight="1" x14ac:dyDescent="0.35">
      <c r="O129" s="74" t="s">
        <v>307</v>
      </c>
      <c r="P129" s="74" t="s">
        <v>308</v>
      </c>
      <c r="Q129" s="74" t="s">
        <v>309</v>
      </c>
      <c r="R129" s="74" t="s">
        <v>33</v>
      </c>
      <c r="S129" s="74">
        <v>100</v>
      </c>
      <c r="T129" s="74" t="s">
        <v>40</v>
      </c>
    </row>
    <row r="130" spans="15:20" ht="18" hidden="1" customHeight="1" x14ac:dyDescent="0.35">
      <c r="O130" s="74" t="s">
        <v>310</v>
      </c>
      <c r="P130" s="74" t="s">
        <v>311</v>
      </c>
      <c r="Q130" s="74" t="s">
        <v>312</v>
      </c>
      <c r="R130" s="74" t="s">
        <v>36</v>
      </c>
      <c r="S130" s="74">
        <v>54</v>
      </c>
      <c r="T130" s="74" t="s">
        <v>40</v>
      </c>
    </row>
    <row r="131" spans="15:20" ht="18" hidden="1" customHeight="1" x14ac:dyDescent="0.35">
      <c r="O131" s="74" t="s">
        <v>313</v>
      </c>
      <c r="P131" s="74" t="s">
        <v>314</v>
      </c>
      <c r="Q131" s="74" t="s">
        <v>315</v>
      </c>
      <c r="R131" s="74" t="s">
        <v>40</v>
      </c>
      <c r="S131" s="74">
        <v>80</v>
      </c>
      <c r="T131" s="74" t="s">
        <v>40</v>
      </c>
    </row>
    <row r="132" spans="15:20" ht="18" hidden="1" customHeight="1" x14ac:dyDescent="0.35">
      <c r="O132" s="74" t="s">
        <v>316</v>
      </c>
      <c r="P132" s="74" t="s">
        <v>317</v>
      </c>
      <c r="Q132" s="74" t="s">
        <v>318</v>
      </c>
      <c r="R132" s="74" t="s">
        <v>58</v>
      </c>
      <c r="S132" s="74">
        <v>30</v>
      </c>
      <c r="T132" s="74" t="s">
        <v>33</v>
      </c>
    </row>
    <row r="133" spans="15:20" ht="18" hidden="1" customHeight="1" x14ac:dyDescent="0.35">
      <c r="O133" s="74" t="s">
        <v>319</v>
      </c>
      <c r="P133" s="74" t="s">
        <v>320</v>
      </c>
      <c r="Q133" s="74" t="s">
        <v>321</v>
      </c>
      <c r="R133" s="74" t="s">
        <v>40</v>
      </c>
      <c r="S133" s="74">
        <v>64</v>
      </c>
      <c r="T133" s="74" t="s">
        <v>40</v>
      </c>
    </row>
    <row r="134" spans="15:20" ht="18" hidden="1" customHeight="1" x14ac:dyDescent="0.35">
      <c r="O134" s="74" t="s">
        <v>322</v>
      </c>
      <c r="P134" s="74" t="s">
        <v>323</v>
      </c>
      <c r="Q134" s="74" t="s">
        <v>324</v>
      </c>
      <c r="R134" s="74" t="s">
        <v>36</v>
      </c>
      <c r="S134" s="74">
        <v>39</v>
      </c>
      <c r="T134" s="74" t="s">
        <v>40</v>
      </c>
    </row>
    <row r="135" spans="15:20" ht="18" hidden="1" customHeight="1" x14ac:dyDescent="0.35">
      <c r="O135" s="74" t="s">
        <v>325</v>
      </c>
      <c r="P135" s="74" t="s">
        <v>326</v>
      </c>
      <c r="Q135" s="74" t="s">
        <v>327</v>
      </c>
      <c r="R135" s="74" t="s">
        <v>36</v>
      </c>
      <c r="S135" s="74">
        <v>38</v>
      </c>
      <c r="T135" s="74" t="s">
        <v>1304</v>
      </c>
    </row>
    <row r="136" spans="15:20" ht="18" hidden="1" customHeight="1" x14ac:dyDescent="0.35">
      <c r="O136" s="74" t="s">
        <v>328</v>
      </c>
      <c r="P136" s="74" t="s">
        <v>329</v>
      </c>
      <c r="Q136" s="74" t="s">
        <v>330</v>
      </c>
      <c r="R136" s="74" t="s">
        <v>58</v>
      </c>
      <c r="S136" s="74">
        <v>30</v>
      </c>
      <c r="T136" s="74" t="s">
        <v>1304</v>
      </c>
    </row>
    <row r="137" spans="15:20" ht="18" hidden="1" customHeight="1" x14ac:dyDescent="0.35">
      <c r="O137" s="74" t="s">
        <v>331</v>
      </c>
      <c r="P137" s="74" t="s">
        <v>332</v>
      </c>
      <c r="Q137" s="74" t="s">
        <v>333</v>
      </c>
      <c r="R137" s="74" t="s">
        <v>36</v>
      </c>
      <c r="S137" s="74">
        <v>45</v>
      </c>
      <c r="T137" s="74" t="s">
        <v>1304</v>
      </c>
    </row>
    <row r="138" spans="15:20" ht="18" hidden="1" customHeight="1" x14ac:dyDescent="0.35">
      <c r="O138" s="74" t="s">
        <v>334</v>
      </c>
      <c r="P138" s="74" t="s">
        <v>335</v>
      </c>
      <c r="Q138" s="74" t="s">
        <v>336</v>
      </c>
      <c r="R138" s="74" t="s">
        <v>36</v>
      </c>
      <c r="S138" s="74">
        <v>51</v>
      </c>
      <c r="T138" s="74" t="s">
        <v>1304</v>
      </c>
    </row>
    <row r="139" spans="15:20" ht="18" hidden="1" customHeight="1" x14ac:dyDescent="0.35">
      <c r="O139" s="74" t="s">
        <v>337</v>
      </c>
      <c r="P139" s="74" t="s">
        <v>338</v>
      </c>
      <c r="Q139" s="74" t="s">
        <v>339</v>
      </c>
      <c r="R139" s="74"/>
      <c r="S139" s="74">
        <v>100</v>
      </c>
      <c r="T139" s="74" t="s">
        <v>1304</v>
      </c>
    </row>
    <row r="140" spans="15:20" ht="18" hidden="1" customHeight="1" x14ac:dyDescent="0.35">
      <c r="O140" s="74" t="s">
        <v>340</v>
      </c>
      <c r="P140" s="74" t="s">
        <v>341</v>
      </c>
      <c r="Q140" s="74" t="s">
        <v>342</v>
      </c>
      <c r="R140" s="74" t="s">
        <v>33</v>
      </c>
      <c r="S140" s="74">
        <v>100</v>
      </c>
      <c r="T140" s="74" t="s">
        <v>33</v>
      </c>
    </row>
    <row r="141" spans="15:20" ht="18" hidden="1" customHeight="1" x14ac:dyDescent="0.35">
      <c r="O141" s="74" t="s">
        <v>343</v>
      </c>
      <c r="P141" s="74" t="s">
        <v>344</v>
      </c>
      <c r="Q141" s="74" t="s">
        <v>345</v>
      </c>
      <c r="R141" s="74" t="s">
        <v>33</v>
      </c>
      <c r="S141" s="74">
        <v>100</v>
      </c>
      <c r="T141" s="74" t="s">
        <v>33</v>
      </c>
    </row>
    <row r="142" spans="15:20" ht="18" hidden="1" customHeight="1" x14ac:dyDescent="0.35">
      <c r="O142" s="74" t="s">
        <v>346</v>
      </c>
      <c r="P142" s="74" t="s">
        <v>347</v>
      </c>
      <c r="Q142" s="74" t="s">
        <v>348</v>
      </c>
      <c r="R142" s="74" t="s">
        <v>36</v>
      </c>
      <c r="S142" s="74">
        <v>60</v>
      </c>
      <c r="T142" s="74" t="s">
        <v>1304</v>
      </c>
    </row>
    <row r="143" spans="15:20" ht="18" hidden="1" customHeight="1" x14ac:dyDescent="0.35">
      <c r="O143" s="74" t="s">
        <v>349</v>
      </c>
      <c r="P143" s="74" t="s">
        <v>350</v>
      </c>
      <c r="Q143" s="74" t="s">
        <v>351</v>
      </c>
      <c r="R143" s="74" t="s">
        <v>36</v>
      </c>
      <c r="S143" s="74">
        <v>39</v>
      </c>
      <c r="T143" s="74" t="s">
        <v>1304</v>
      </c>
    </row>
    <row r="144" spans="15:20" ht="18" hidden="1" customHeight="1" x14ac:dyDescent="0.35">
      <c r="O144" s="74" t="s">
        <v>352</v>
      </c>
      <c r="P144" s="74" t="s">
        <v>353</v>
      </c>
      <c r="Q144" s="74" t="s">
        <v>354</v>
      </c>
      <c r="R144" s="74" t="s">
        <v>36</v>
      </c>
      <c r="S144" s="74">
        <v>54</v>
      </c>
      <c r="T144" s="74" t="s">
        <v>40</v>
      </c>
    </row>
    <row r="145" spans="15:20" ht="18" hidden="1" customHeight="1" x14ac:dyDescent="0.35">
      <c r="O145" s="74" t="s">
        <v>355</v>
      </c>
      <c r="P145" s="74" t="s">
        <v>356</v>
      </c>
      <c r="Q145" s="74" t="s">
        <v>357</v>
      </c>
      <c r="R145" s="74" t="s">
        <v>36</v>
      </c>
      <c r="S145" s="74">
        <v>60</v>
      </c>
      <c r="T145" s="74" t="s">
        <v>1304</v>
      </c>
    </row>
    <row r="146" spans="15:20" ht="18" hidden="1" customHeight="1" x14ac:dyDescent="0.35">
      <c r="O146" s="74" t="s">
        <v>358</v>
      </c>
      <c r="P146" s="74" t="s">
        <v>359</v>
      </c>
      <c r="Q146" s="74" t="s">
        <v>360</v>
      </c>
      <c r="R146" s="74" t="s">
        <v>40</v>
      </c>
      <c r="S146" s="74">
        <v>61</v>
      </c>
      <c r="T146" s="74" t="s">
        <v>40</v>
      </c>
    </row>
    <row r="147" spans="15:20" ht="18" hidden="1" customHeight="1" x14ac:dyDescent="0.35">
      <c r="O147" s="74" t="s">
        <v>361</v>
      </c>
      <c r="P147" s="74" t="s">
        <v>362</v>
      </c>
      <c r="Q147" s="74" t="s">
        <v>363</v>
      </c>
      <c r="R147" s="74" t="s">
        <v>58</v>
      </c>
      <c r="S147" s="74">
        <v>30</v>
      </c>
      <c r="T147" s="74" t="s">
        <v>1304</v>
      </c>
    </row>
    <row r="148" spans="15:20" ht="18" hidden="1" customHeight="1" x14ac:dyDescent="0.35">
      <c r="O148" s="74" t="s">
        <v>364</v>
      </c>
      <c r="P148" s="74" t="s">
        <v>365</v>
      </c>
      <c r="Q148" s="74" t="s">
        <v>366</v>
      </c>
      <c r="R148" s="74" t="s">
        <v>36</v>
      </c>
      <c r="S148" s="74">
        <v>41</v>
      </c>
      <c r="T148" s="74" t="s">
        <v>1304</v>
      </c>
    </row>
    <row r="149" spans="15:20" ht="18" hidden="1" customHeight="1" x14ac:dyDescent="0.35">
      <c r="O149" s="74" t="s">
        <v>367</v>
      </c>
      <c r="P149" s="74" t="s">
        <v>368</v>
      </c>
      <c r="Q149" s="74" t="s">
        <v>369</v>
      </c>
      <c r="R149" s="74" t="s">
        <v>36</v>
      </c>
      <c r="S149" s="74">
        <v>60</v>
      </c>
      <c r="T149" s="74" t="s">
        <v>40</v>
      </c>
    </row>
    <row r="150" spans="15:20" ht="18" hidden="1" customHeight="1" x14ac:dyDescent="0.35">
      <c r="O150" s="74" t="s">
        <v>370</v>
      </c>
      <c r="P150" s="74" t="s">
        <v>371</v>
      </c>
      <c r="Q150" s="74" t="s">
        <v>372</v>
      </c>
      <c r="R150" s="74" t="s">
        <v>40</v>
      </c>
      <c r="S150" s="74">
        <v>80</v>
      </c>
      <c r="T150" s="74" t="s">
        <v>40</v>
      </c>
    </row>
    <row r="151" spans="15:20" ht="18" hidden="1" customHeight="1" x14ac:dyDescent="0.35">
      <c r="O151" s="74" t="s">
        <v>373</v>
      </c>
      <c r="P151" s="74" t="s">
        <v>374</v>
      </c>
      <c r="Q151" s="74" t="s">
        <v>375</v>
      </c>
      <c r="R151" s="74" t="s">
        <v>36</v>
      </c>
      <c r="S151" s="74">
        <v>54</v>
      </c>
      <c r="T151" s="74" t="s">
        <v>40</v>
      </c>
    </row>
    <row r="152" spans="15:20" ht="18" hidden="1" customHeight="1" x14ac:dyDescent="0.35">
      <c r="O152" s="74" t="s">
        <v>376</v>
      </c>
      <c r="P152" s="74" t="s">
        <v>377</v>
      </c>
      <c r="Q152" s="74" t="s">
        <v>378</v>
      </c>
      <c r="R152" s="74" t="s">
        <v>36</v>
      </c>
      <c r="S152" s="74">
        <v>43</v>
      </c>
      <c r="T152" s="74" t="s">
        <v>1304</v>
      </c>
    </row>
    <row r="153" spans="15:20" ht="18" hidden="1" customHeight="1" x14ac:dyDescent="0.35">
      <c r="O153" s="74" t="s">
        <v>379</v>
      </c>
      <c r="P153" s="74" t="s">
        <v>380</v>
      </c>
      <c r="Q153" s="74" t="s">
        <v>381</v>
      </c>
      <c r="R153" s="74" t="s">
        <v>33</v>
      </c>
      <c r="S153" s="74">
        <v>100</v>
      </c>
      <c r="T153" s="74" t="s">
        <v>33</v>
      </c>
    </row>
    <row r="154" spans="15:20" ht="18" hidden="1" customHeight="1" x14ac:dyDescent="0.35">
      <c r="O154" s="74" t="s">
        <v>382</v>
      </c>
      <c r="P154" s="74" t="s">
        <v>383</v>
      </c>
      <c r="Q154" s="74" t="s">
        <v>384</v>
      </c>
      <c r="R154" s="74" t="s">
        <v>58</v>
      </c>
      <c r="S154" s="74">
        <v>30</v>
      </c>
      <c r="T154" s="74" t="s">
        <v>1304</v>
      </c>
    </row>
    <row r="155" spans="15:20" ht="18" hidden="1" customHeight="1" x14ac:dyDescent="0.35">
      <c r="O155" s="74" t="s">
        <v>385</v>
      </c>
      <c r="P155" s="74" t="s">
        <v>386</v>
      </c>
      <c r="Q155" s="74"/>
      <c r="R155" s="74" t="s">
        <v>40</v>
      </c>
      <c r="S155" s="74">
        <v>100</v>
      </c>
      <c r="T155" s="74" t="s">
        <v>1304</v>
      </c>
    </row>
    <row r="156" spans="15:20" ht="18" hidden="1" customHeight="1" x14ac:dyDescent="0.35">
      <c r="O156" s="74" t="s">
        <v>385</v>
      </c>
      <c r="P156" s="74" t="s">
        <v>387</v>
      </c>
      <c r="Q156" s="74" t="s">
        <v>388</v>
      </c>
      <c r="R156" s="74" t="s">
        <v>36</v>
      </c>
      <c r="S156" s="74">
        <v>53</v>
      </c>
      <c r="T156" s="74" t="s">
        <v>1304</v>
      </c>
    </row>
    <row r="157" spans="15:20" ht="18" hidden="1" customHeight="1" x14ac:dyDescent="0.35">
      <c r="O157" s="74" t="s">
        <v>389</v>
      </c>
      <c r="P157" s="74" t="s">
        <v>390</v>
      </c>
      <c r="Q157" s="74" t="s">
        <v>391</v>
      </c>
      <c r="R157" s="74" t="s">
        <v>36</v>
      </c>
      <c r="S157" s="74">
        <v>47</v>
      </c>
      <c r="T157" s="74" t="s">
        <v>1304</v>
      </c>
    </row>
    <row r="158" spans="15:20" ht="18" hidden="1" customHeight="1" x14ac:dyDescent="0.35">
      <c r="O158" s="74" t="s">
        <v>392</v>
      </c>
      <c r="P158" s="74" t="s">
        <v>393</v>
      </c>
      <c r="Q158" s="74" t="s">
        <v>394</v>
      </c>
      <c r="R158" s="74" t="s">
        <v>40</v>
      </c>
      <c r="S158" s="74">
        <v>65</v>
      </c>
      <c r="T158" s="74" t="s">
        <v>40</v>
      </c>
    </row>
    <row r="159" spans="15:20" ht="18" hidden="1" customHeight="1" x14ac:dyDescent="0.35">
      <c r="O159" s="74" t="s">
        <v>395</v>
      </c>
      <c r="P159" s="74" t="s">
        <v>396</v>
      </c>
      <c r="Q159" s="74" t="s">
        <v>395</v>
      </c>
      <c r="R159" s="74" t="s">
        <v>40</v>
      </c>
      <c r="S159" s="74">
        <v>63</v>
      </c>
      <c r="T159" s="74" t="s">
        <v>40</v>
      </c>
    </row>
    <row r="160" spans="15:20" ht="18" hidden="1" customHeight="1" x14ac:dyDescent="0.35">
      <c r="O160" s="74" t="s">
        <v>397</v>
      </c>
      <c r="P160" s="74" t="s">
        <v>398</v>
      </c>
      <c r="Q160" s="74" t="s">
        <v>399</v>
      </c>
      <c r="R160" s="74" t="s">
        <v>36</v>
      </c>
      <c r="S160" s="74">
        <v>46</v>
      </c>
      <c r="T160" s="74" t="s">
        <v>1304</v>
      </c>
    </row>
    <row r="161" spans="15:20" ht="18" hidden="1" customHeight="1" x14ac:dyDescent="0.35">
      <c r="O161" s="74" t="s">
        <v>400</v>
      </c>
      <c r="P161" s="74" t="s">
        <v>401</v>
      </c>
      <c r="Q161" s="74" t="s">
        <v>402</v>
      </c>
      <c r="R161" s="74" t="s">
        <v>40</v>
      </c>
      <c r="S161" s="74">
        <v>71</v>
      </c>
      <c r="T161" s="74" t="s">
        <v>40</v>
      </c>
    </row>
    <row r="162" spans="15:20" ht="18" hidden="1" customHeight="1" x14ac:dyDescent="0.35">
      <c r="O162" s="74" t="s">
        <v>403</v>
      </c>
      <c r="P162" s="74" t="s">
        <v>404</v>
      </c>
      <c r="Q162" s="74" t="s">
        <v>405</v>
      </c>
      <c r="R162" s="74" t="s">
        <v>36</v>
      </c>
      <c r="S162" s="74">
        <v>52</v>
      </c>
      <c r="T162" s="74" t="s">
        <v>1304</v>
      </c>
    </row>
    <row r="163" spans="15:20" ht="18" hidden="1" customHeight="1" x14ac:dyDescent="0.35">
      <c r="O163" s="74" t="s">
        <v>406</v>
      </c>
      <c r="P163" s="74" t="s">
        <v>407</v>
      </c>
      <c r="Q163" s="74" t="s">
        <v>408</v>
      </c>
      <c r="R163" s="74" t="s">
        <v>40</v>
      </c>
      <c r="S163" s="74">
        <v>64</v>
      </c>
      <c r="T163" s="74" t="s">
        <v>40</v>
      </c>
    </row>
    <row r="164" spans="15:20" ht="18" hidden="1" customHeight="1" x14ac:dyDescent="0.35">
      <c r="O164" s="74" t="s">
        <v>409</v>
      </c>
      <c r="P164" s="74" t="s">
        <v>410</v>
      </c>
      <c r="Q164" s="74" t="s">
        <v>411</v>
      </c>
      <c r="R164" s="74" t="s">
        <v>33</v>
      </c>
      <c r="S164" s="74">
        <v>100</v>
      </c>
      <c r="T164" s="74" t="s">
        <v>33</v>
      </c>
    </row>
    <row r="165" spans="15:20" ht="18" hidden="1" customHeight="1" x14ac:dyDescent="0.35">
      <c r="O165" s="74" t="s">
        <v>412</v>
      </c>
      <c r="P165" s="74" t="s">
        <v>413</v>
      </c>
      <c r="Q165" s="74" t="s">
        <v>414</v>
      </c>
      <c r="R165" s="74" t="s">
        <v>58</v>
      </c>
      <c r="S165" s="74">
        <v>30</v>
      </c>
      <c r="T165" s="74" t="s">
        <v>1304</v>
      </c>
    </row>
    <row r="166" spans="15:20" ht="18" hidden="1" customHeight="1" x14ac:dyDescent="0.35">
      <c r="O166" s="74" t="s">
        <v>415</v>
      </c>
      <c r="P166" s="74" t="s">
        <v>416</v>
      </c>
      <c r="Q166" s="74" t="s">
        <v>417</v>
      </c>
      <c r="R166" s="74" t="s">
        <v>36</v>
      </c>
      <c r="S166" s="74">
        <v>40</v>
      </c>
      <c r="T166" s="74" t="s">
        <v>1304</v>
      </c>
    </row>
    <row r="167" spans="15:20" ht="18" hidden="1" customHeight="1" x14ac:dyDescent="0.35">
      <c r="O167" s="74" t="s">
        <v>418</v>
      </c>
      <c r="P167" s="74" t="s">
        <v>419</v>
      </c>
      <c r="Q167" s="74" t="s">
        <v>420</v>
      </c>
      <c r="R167" s="74" t="s">
        <v>58</v>
      </c>
      <c r="S167" s="74">
        <v>30</v>
      </c>
      <c r="T167" s="74" t="s">
        <v>1304</v>
      </c>
    </row>
    <row r="168" spans="15:20" ht="18" hidden="1" customHeight="1" x14ac:dyDescent="0.35">
      <c r="O168" s="74" t="s">
        <v>421</v>
      </c>
      <c r="P168" s="74" t="s">
        <v>422</v>
      </c>
      <c r="Q168" s="74" t="s">
        <v>423</v>
      </c>
      <c r="R168" s="74" t="s">
        <v>36</v>
      </c>
      <c r="S168" s="74">
        <v>47</v>
      </c>
      <c r="T168" s="74" t="s">
        <v>1304</v>
      </c>
    </row>
    <row r="169" spans="15:20" ht="18" hidden="1" customHeight="1" x14ac:dyDescent="0.35">
      <c r="O169" s="74" t="s">
        <v>424</v>
      </c>
      <c r="P169" s="74" t="s">
        <v>425</v>
      </c>
      <c r="Q169" s="74" t="s">
        <v>426</v>
      </c>
      <c r="R169" s="74" t="s">
        <v>36</v>
      </c>
      <c r="S169" s="74">
        <v>53</v>
      </c>
      <c r="T169" s="74" t="s">
        <v>1304</v>
      </c>
    </row>
    <row r="170" spans="15:20" ht="18" hidden="1" customHeight="1" x14ac:dyDescent="0.35">
      <c r="O170" s="74" t="s">
        <v>427</v>
      </c>
      <c r="P170" s="74" t="s">
        <v>428</v>
      </c>
      <c r="Q170" s="74" t="s">
        <v>429</v>
      </c>
      <c r="R170" s="74" t="s">
        <v>36</v>
      </c>
      <c r="S170" s="74">
        <v>50</v>
      </c>
      <c r="T170" s="74" t="s">
        <v>1304</v>
      </c>
    </row>
    <row r="171" spans="15:20" ht="18" hidden="1" customHeight="1" x14ac:dyDescent="0.35">
      <c r="O171" s="74" t="s">
        <v>430</v>
      </c>
      <c r="P171" s="74" t="s">
        <v>431</v>
      </c>
      <c r="Q171" s="74" t="s">
        <v>432</v>
      </c>
      <c r="R171" s="74" t="s">
        <v>40</v>
      </c>
      <c r="S171" s="74">
        <v>80</v>
      </c>
      <c r="T171" s="74" t="s">
        <v>40</v>
      </c>
    </row>
    <row r="172" spans="15:20" ht="18" hidden="1" customHeight="1" x14ac:dyDescent="0.35">
      <c r="O172" s="74" t="s">
        <v>433</v>
      </c>
      <c r="P172" s="74" t="s">
        <v>434</v>
      </c>
      <c r="Q172" s="74" t="s">
        <v>435</v>
      </c>
      <c r="R172" s="74" t="s">
        <v>36</v>
      </c>
      <c r="S172" s="74">
        <v>52</v>
      </c>
      <c r="T172" s="74" t="s">
        <v>1304</v>
      </c>
    </row>
    <row r="173" spans="15:20" ht="18" hidden="1" customHeight="1" x14ac:dyDescent="0.35">
      <c r="O173" s="74" t="s">
        <v>436</v>
      </c>
      <c r="P173" s="74" t="s">
        <v>437</v>
      </c>
      <c r="Q173" s="74" t="s">
        <v>438</v>
      </c>
      <c r="R173" s="74" t="s">
        <v>36</v>
      </c>
      <c r="S173" s="74">
        <v>47</v>
      </c>
      <c r="T173" s="74" t="s">
        <v>1304</v>
      </c>
    </row>
    <row r="174" spans="15:20" ht="18" hidden="1" customHeight="1" x14ac:dyDescent="0.35">
      <c r="O174" s="74" t="s">
        <v>439</v>
      </c>
      <c r="P174" s="74" t="s">
        <v>440</v>
      </c>
      <c r="Q174" s="74" t="s">
        <v>441</v>
      </c>
      <c r="R174" s="74" t="s">
        <v>40</v>
      </c>
      <c r="S174" s="74">
        <v>73</v>
      </c>
      <c r="T174" s="74" t="s">
        <v>40</v>
      </c>
    </row>
    <row r="175" spans="15:20" ht="18" hidden="1" customHeight="1" x14ac:dyDescent="0.35">
      <c r="O175" s="74" t="s">
        <v>442</v>
      </c>
      <c r="P175" s="74" t="s">
        <v>443</v>
      </c>
      <c r="Q175" s="74" t="s">
        <v>444</v>
      </c>
      <c r="R175" s="74" t="s">
        <v>36</v>
      </c>
      <c r="S175" s="74">
        <v>42</v>
      </c>
      <c r="T175" s="74" t="s">
        <v>1304</v>
      </c>
    </row>
    <row r="176" spans="15:20" ht="18" hidden="1" customHeight="1" x14ac:dyDescent="0.35">
      <c r="O176" s="74" t="s">
        <v>445</v>
      </c>
      <c r="P176" s="74" t="s">
        <v>446</v>
      </c>
      <c r="Q176" s="74" t="s">
        <v>447</v>
      </c>
      <c r="R176" s="74" t="s">
        <v>36</v>
      </c>
      <c r="S176" s="74">
        <v>50</v>
      </c>
      <c r="T176" s="74" t="s">
        <v>1304</v>
      </c>
    </row>
    <row r="177" spans="15:20" ht="18" hidden="1" customHeight="1" x14ac:dyDescent="0.35">
      <c r="O177" s="74" t="s">
        <v>448</v>
      </c>
      <c r="P177" s="74" t="s">
        <v>449</v>
      </c>
      <c r="Q177" s="74" t="s">
        <v>450</v>
      </c>
      <c r="R177" s="74" t="s">
        <v>36</v>
      </c>
      <c r="S177" s="74">
        <v>38</v>
      </c>
      <c r="T177" s="74" t="s">
        <v>1304</v>
      </c>
    </row>
    <row r="178" spans="15:20" ht="18" hidden="1" customHeight="1" x14ac:dyDescent="0.35">
      <c r="O178" s="74" t="s">
        <v>451</v>
      </c>
      <c r="P178" s="74" t="s">
        <v>452</v>
      </c>
      <c r="Q178" s="74" t="s">
        <v>453</v>
      </c>
      <c r="R178" s="74" t="s">
        <v>40</v>
      </c>
      <c r="S178" s="74">
        <v>68</v>
      </c>
      <c r="T178" s="74" t="s">
        <v>40</v>
      </c>
    </row>
    <row r="179" spans="15:20" ht="18" hidden="1" customHeight="1" x14ac:dyDescent="0.35">
      <c r="O179" s="74" t="s">
        <v>454</v>
      </c>
      <c r="P179" s="74" t="s">
        <v>455</v>
      </c>
      <c r="Q179" s="74" t="s">
        <v>456</v>
      </c>
      <c r="R179" s="74" t="s">
        <v>40</v>
      </c>
      <c r="S179" s="74">
        <v>80</v>
      </c>
      <c r="T179" s="74" t="s">
        <v>40</v>
      </c>
    </row>
    <row r="180" spans="15:20" ht="18" hidden="1" customHeight="1" x14ac:dyDescent="0.35">
      <c r="O180" s="74" t="s">
        <v>457</v>
      </c>
      <c r="P180" s="74" t="s">
        <v>458</v>
      </c>
      <c r="Q180" s="74" t="s">
        <v>459</v>
      </c>
      <c r="R180" s="74" t="s">
        <v>58</v>
      </c>
      <c r="S180" s="74">
        <v>30</v>
      </c>
      <c r="T180" s="74" t="s">
        <v>1304</v>
      </c>
    </row>
    <row r="181" spans="15:20" ht="18" hidden="1" customHeight="1" x14ac:dyDescent="0.35">
      <c r="O181" s="74" t="s">
        <v>460</v>
      </c>
      <c r="P181" s="74" t="s">
        <v>461</v>
      </c>
      <c r="Q181" s="74" t="s">
        <v>462</v>
      </c>
      <c r="R181" s="74" t="s">
        <v>40</v>
      </c>
      <c r="S181" s="74">
        <v>68</v>
      </c>
      <c r="T181" s="74" t="s">
        <v>40</v>
      </c>
    </row>
    <row r="182" spans="15:20" ht="18" hidden="1" customHeight="1" x14ac:dyDescent="0.35">
      <c r="O182" s="74" t="s">
        <v>463</v>
      </c>
      <c r="P182" s="74" t="s">
        <v>464</v>
      </c>
      <c r="Q182" s="74" t="s">
        <v>465</v>
      </c>
      <c r="R182" s="74" t="s">
        <v>36</v>
      </c>
      <c r="S182" s="74">
        <v>39</v>
      </c>
      <c r="T182" s="74" t="s">
        <v>1304</v>
      </c>
    </row>
    <row r="183" spans="15:20" ht="18" hidden="1" customHeight="1" x14ac:dyDescent="0.35">
      <c r="O183" s="74" t="s">
        <v>466</v>
      </c>
      <c r="P183" s="74" t="s">
        <v>467</v>
      </c>
      <c r="Q183" s="74" t="s">
        <v>468</v>
      </c>
      <c r="R183" s="74" t="s">
        <v>36</v>
      </c>
      <c r="S183" s="74">
        <v>60</v>
      </c>
      <c r="T183" s="74" t="s">
        <v>40</v>
      </c>
    </row>
    <row r="184" spans="15:20" ht="18" hidden="1" customHeight="1" x14ac:dyDescent="0.35">
      <c r="O184" s="74" t="s">
        <v>469</v>
      </c>
      <c r="P184" s="74" t="s">
        <v>470</v>
      </c>
      <c r="Q184" s="74" t="s">
        <v>471</v>
      </c>
      <c r="R184" s="74" t="s">
        <v>36</v>
      </c>
      <c r="S184" s="74">
        <v>40</v>
      </c>
      <c r="T184" s="74" t="s">
        <v>1304</v>
      </c>
    </row>
    <row r="185" spans="15:20" ht="18" hidden="1" customHeight="1" x14ac:dyDescent="0.35">
      <c r="O185" s="74" t="s">
        <v>472</v>
      </c>
      <c r="P185" s="74" t="s">
        <v>473</v>
      </c>
      <c r="Q185" s="74" t="s">
        <v>474</v>
      </c>
      <c r="R185" s="74" t="s">
        <v>36</v>
      </c>
      <c r="S185" s="74">
        <v>53</v>
      </c>
      <c r="T185" s="74" t="s">
        <v>1304</v>
      </c>
    </row>
    <row r="186" spans="15:20" ht="18" hidden="1" customHeight="1" x14ac:dyDescent="0.35">
      <c r="O186" s="74" t="s">
        <v>475</v>
      </c>
      <c r="P186" s="74" t="s">
        <v>476</v>
      </c>
      <c r="Q186" s="74" t="s">
        <v>477</v>
      </c>
      <c r="R186" s="74" t="s">
        <v>36</v>
      </c>
      <c r="S186" s="74">
        <v>41</v>
      </c>
      <c r="T186" s="74" t="s">
        <v>1304</v>
      </c>
    </row>
    <row r="187" spans="15:20" ht="18" hidden="1" customHeight="1" x14ac:dyDescent="0.35">
      <c r="O187" s="74" t="s">
        <v>478</v>
      </c>
      <c r="P187" s="74" t="s">
        <v>479</v>
      </c>
      <c r="Q187" s="74" t="s">
        <v>480</v>
      </c>
      <c r="R187" s="74" t="s">
        <v>36</v>
      </c>
      <c r="S187" s="74">
        <v>60</v>
      </c>
      <c r="T187" s="74" t="s">
        <v>40</v>
      </c>
    </row>
    <row r="188" spans="15:20" ht="18" hidden="1" customHeight="1" x14ac:dyDescent="0.35">
      <c r="O188" s="74" t="s">
        <v>481</v>
      </c>
      <c r="P188" s="74" t="s">
        <v>482</v>
      </c>
      <c r="Q188" s="74" t="s">
        <v>483</v>
      </c>
      <c r="R188" s="74" t="s">
        <v>40</v>
      </c>
      <c r="S188" s="74">
        <v>80</v>
      </c>
      <c r="T188" s="74" t="s">
        <v>40</v>
      </c>
    </row>
    <row r="189" spans="15:20" ht="18" hidden="1" customHeight="1" x14ac:dyDescent="0.35">
      <c r="O189" s="74" t="s">
        <v>484</v>
      </c>
      <c r="P189" s="74" t="s">
        <v>485</v>
      </c>
      <c r="Q189" s="74" t="s">
        <v>486</v>
      </c>
      <c r="R189" s="74" t="s">
        <v>40</v>
      </c>
      <c r="S189" s="74">
        <v>61</v>
      </c>
      <c r="T189" s="74" t="s">
        <v>40</v>
      </c>
    </row>
    <row r="190" spans="15:20" ht="18" hidden="1" customHeight="1" x14ac:dyDescent="0.35">
      <c r="O190" s="74" t="s">
        <v>487</v>
      </c>
      <c r="P190" s="74" t="s">
        <v>488</v>
      </c>
      <c r="Q190" s="74" t="s">
        <v>489</v>
      </c>
      <c r="R190" s="74" t="s">
        <v>40</v>
      </c>
      <c r="S190" s="74">
        <v>80</v>
      </c>
      <c r="T190" s="74" t="s">
        <v>33</v>
      </c>
    </row>
    <row r="191" spans="15:20" ht="18" hidden="1" customHeight="1" x14ac:dyDescent="0.35">
      <c r="O191" s="74" t="s">
        <v>490</v>
      </c>
      <c r="P191" s="74" t="s">
        <v>491</v>
      </c>
      <c r="Q191" s="74" t="s">
        <v>492</v>
      </c>
      <c r="R191" s="74" t="s">
        <v>58</v>
      </c>
      <c r="S191" s="74">
        <v>30</v>
      </c>
      <c r="T191" s="74" t="s">
        <v>1304</v>
      </c>
    </row>
    <row r="192" spans="15:20" ht="18" hidden="1" customHeight="1" x14ac:dyDescent="0.35">
      <c r="O192" s="74" t="s">
        <v>493</v>
      </c>
      <c r="P192" s="74" t="s">
        <v>494</v>
      </c>
      <c r="Q192" s="74" t="s">
        <v>495</v>
      </c>
      <c r="R192" s="74" t="s">
        <v>36</v>
      </c>
      <c r="S192" s="74">
        <v>48</v>
      </c>
      <c r="T192" s="74" t="s">
        <v>40</v>
      </c>
    </row>
    <row r="193" spans="15:20" ht="18" hidden="1" customHeight="1" x14ac:dyDescent="0.35">
      <c r="O193" s="74" t="s">
        <v>496</v>
      </c>
      <c r="P193" s="74" t="s">
        <v>497</v>
      </c>
      <c r="Q193" s="74" t="s">
        <v>498</v>
      </c>
      <c r="R193" s="74" t="s">
        <v>36</v>
      </c>
      <c r="S193" s="74">
        <v>47</v>
      </c>
      <c r="T193" s="74" t="s">
        <v>1304</v>
      </c>
    </row>
    <row r="194" spans="15:20" ht="18" hidden="1" customHeight="1" x14ac:dyDescent="0.35">
      <c r="O194" s="74" t="s">
        <v>499</v>
      </c>
      <c r="P194" s="74" t="s">
        <v>500</v>
      </c>
      <c r="Q194" s="74" t="s">
        <v>501</v>
      </c>
      <c r="R194" s="74" t="s">
        <v>36</v>
      </c>
      <c r="S194" s="74">
        <v>54</v>
      </c>
      <c r="T194" s="74" t="s">
        <v>40</v>
      </c>
    </row>
    <row r="195" spans="15:20" ht="18" hidden="1" customHeight="1" x14ac:dyDescent="0.35">
      <c r="O195" s="74" t="s">
        <v>502</v>
      </c>
      <c r="P195" s="74" t="s">
        <v>503</v>
      </c>
      <c r="Q195" s="74" t="s">
        <v>504</v>
      </c>
      <c r="R195" s="74" t="s">
        <v>58</v>
      </c>
      <c r="S195" s="74">
        <v>29</v>
      </c>
      <c r="T195" s="74" t="s">
        <v>1304</v>
      </c>
    </row>
    <row r="196" spans="15:20" ht="18" hidden="1" customHeight="1" x14ac:dyDescent="0.35">
      <c r="O196" s="74" t="s">
        <v>505</v>
      </c>
      <c r="P196" s="74" t="s">
        <v>506</v>
      </c>
      <c r="Q196" s="74"/>
      <c r="R196" s="74"/>
      <c r="S196" s="74">
        <v>100</v>
      </c>
      <c r="T196" s="74" t="s">
        <v>1304</v>
      </c>
    </row>
    <row r="197" spans="15:20" ht="18" hidden="1" customHeight="1" x14ac:dyDescent="0.35">
      <c r="O197" s="74" t="s">
        <v>507</v>
      </c>
      <c r="P197" s="74" t="s">
        <v>508</v>
      </c>
      <c r="Q197" s="74" t="s">
        <v>509</v>
      </c>
      <c r="R197" s="74" t="s">
        <v>58</v>
      </c>
      <c r="S197" s="74">
        <v>29</v>
      </c>
      <c r="T197" s="74" t="s">
        <v>1304</v>
      </c>
    </row>
    <row r="198" spans="15:20" ht="18" hidden="1" customHeight="1" x14ac:dyDescent="0.35">
      <c r="O198" s="74" t="s">
        <v>510</v>
      </c>
      <c r="P198" s="74" t="s">
        <v>511</v>
      </c>
      <c r="Q198" s="74" t="s">
        <v>512</v>
      </c>
      <c r="R198" s="74" t="s">
        <v>40</v>
      </c>
      <c r="S198" s="74">
        <v>63</v>
      </c>
      <c r="T198" s="74" t="s">
        <v>40</v>
      </c>
    </row>
    <row r="199" spans="15:20" ht="18" hidden="1" customHeight="1" x14ac:dyDescent="0.35">
      <c r="O199" s="74" t="s">
        <v>513</v>
      </c>
      <c r="P199" s="74" t="s">
        <v>514</v>
      </c>
      <c r="Q199" s="74" t="s">
        <v>515</v>
      </c>
      <c r="R199" s="74" t="s">
        <v>40</v>
      </c>
      <c r="S199" s="74">
        <v>72</v>
      </c>
      <c r="T199" s="74" t="s">
        <v>40</v>
      </c>
    </row>
    <row r="200" spans="15:20" ht="18" hidden="1" customHeight="1" x14ac:dyDescent="0.35">
      <c r="O200" s="74" t="s">
        <v>516</v>
      </c>
      <c r="P200" s="74" t="s">
        <v>517</v>
      </c>
      <c r="Q200" s="74" t="s">
        <v>518</v>
      </c>
      <c r="R200" s="74" t="s">
        <v>40</v>
      </c>
      <c r="S200" s="74">
        <v>66</v>
      </c>
      <c r="T200" s="74" t="s">
        <v>40</v>
      </c>
    </row>
    <row r="201" spans="15:20" ht="18" hidden="1" customHeight="1" x14ac:dyDescent="0.35">
      <c r="O201" s="74" t="s">
        <v>519</v>
      </c>
      <c r="P201" s="74" t="s">
        <v>520</v>
      </c>
      <c r="Q201" s="74" t="s">
        <v>521</v>
      </c>
      <c r="R201" s="74" t="s">
        <v>36</v>
      </c>
      <c r="S201" s="74">
        <v>45</v>
      </c>
      <c r="T201" s="74" t="s">
        <v>1304</v>
      </c>
    </row>
    <row r="202" spans="15:20" ht="18" hidden="1" customHeight="1" x14ac:dyDescent="0.35">
      <c r="O202" s="74" t="s">
        <v>522</v>
      </c>
      <c r="P202" s="74" t="s">
        <v>523</v>
      </c>
      <c r="Q202" s="74" t="s">
        <v>524</v>
      </c>
      <c r="R202" s="74" t="s">
        <v>36</v>
      </c>
      <c r="S202" s="74">
        <v>37</v>
      </c>
      <c r="T202" s="74" t="s">
        <v>1304</v>
      </c>
    </row>
    <row r="203" spans="15:20" ht="18" hidden="1" customHeight="1" x14ac:dyDescent="0.35">
      <c r="O203" s="74" t="s">
        <v>525</v>
      </c>
      <c r="P203" s="74" t="s">
        <v>526</v>
      </c>
      <c r="Q203" s="74" t="s">
        <v>527</v>
      </c>
      <c r="R203" s="74" t="s">
        <v>58</v>
      </c>
      <c r="S203" s="74">
        <v>26</v>
      </c>
      <c r="T203" s="74" t="s">
        <v>1304</v>
      </c>
    </row>
    <row r="204" spans="15:20" ht="18" hidden="1" customHeight="1" x14ac:dyDescent="0.35">
      <c r="O204" s="74" t="s">
        <v>528</v>
      </c>
      <c r="P204" s="74" t="s">
        <v>528</v>
      </c>
      <c r="Q204" s="74" t="s">
        <v>529</v>
      </c>
      <c r="R204" s="74" t="s">
        <v>58</v>
      </c>
      <c r="S204" s="74">
        <v>26</v>
      </c>
      <c r="T204" s="74" t="s">
        <v>1304</v>
      </c>
    </row>
    <row r="205" spans="15:20" ht="18" hidden="1" customHeight="1" x14ac:dyDescent="0.35">
      <c r="O205" s="74" t="s">
        <v>530</v>
      </c>
      <c r="P205" s="74" t="s">
        <v>531</v>
      </c>
      <c r="Q205" s="74" t="s">
        <v>532</v>
      </c>
      <c r="R205" s="74" t="s">
        <v>36</v>
      </c>
      <c r="S205" s="74">
        <v>52</v>
      </c>
      <c r="T205" s="74" t="s">
        <v>1304</v>
      </c>
    </row>
    <row r="206" spans="15:20" ht="18" hidden="1" customHeight="1" x14ac:dyDescent="0.35">
      <c r="O206" s="74" t="s">
        <v>533</v>
      </c>
      <c r="P206" s="74" t="s">
        <v>534</v>
      </c>
      <c r="Q206" s="74" t="s">
        <v>535</v>
      </c>
      <c r="R206" s="74" t="s">
        <v>40</v>
      </c>
      <c r="S206" s="74">
        <v>76</v>
      </c>
      <c r="T206" s="74" t="s">
        <v>40</v>
      </c>
    </row>
    <row r="207" spans="15:20" ht="18" hidden="1" customHeight="1" x14ac:dyDescent="0.35">
      <c r="O207" s="74" t="s">
        <v>536</v>
      </c>
      <c r="P207" s="74" t="s">
        <v>537</v>
      </c>
      <c r="Q207" s="74" t="s">
        <v>538</v>
      </c>
      <c r="R207" s="74" t="s">
        <v>36</v>
      </c>
      <c r="S207" s="74">
        <v>48</v>
      </c>
      <c r="T207" s="74" t="s">
        <v>1304</v>
      </c>
    </row>
    <row r="208" spans="15:20" ht="18" hidden="1" customHeight="1" x14ac:dyDescent="0.35">
      <c r="O208" s="74" t="s">
        <v>539</v>
      </c>
      <c r="P208" s="74" t="s">
        <v>540</v>
      </c>
      <c r="Q208" s="74" t="s">
        <v>541</v>
      </c>
      <c r="R208" s="74" t="s">
        <v>40</v>
      </c>
      <c r="S208" s="74">
        <v>80</v>
      </c>
      <c r="T208" s="74" t="s">
        <v>40</v>
      </c>
    </row>
    <row r="209" spans="15:20" ht="18" hidden="1" customHeight="1" x14ac:dyDescent="0.35">
      <c r="O209" s="74" t="s">
        <v>542</v>
      </c>
      <c r="P209" s="74" t="s">
        <v>543</v>
      </c>
      <c r="Q209" s="74" t="s">
        <v>544</v>
      </c>
      <c r="R209" s="74" t="s">
        <v>36</v>
      </c>
      <c r="S209" s="74">
        <v>52</v>
      </c>
      <c r="T209" s="74" t="s">
        <v>1304</v>
      </c>
    </row>
    <row r="210" spans="15:20" ht="18" hidden="1" customHeight="1" x14ac:dyDescent="0.35">
      <c r="O210" s="74" t="s">
        <v>545</v>
      </c>
      <c r="P210" s="74" t="s">
        <v>546</v>
      </c>
      <c r="Q210" s="74" t="s">
        <v>547</v>
      </c>
      <c r="R210" s="74" t="s">
        <v>40</v>
      </c>
      <c r="S210" s="74">
        <v>80</v>
      </c>
      <c r="T210" s="74" t="s">
        <v>40</v>
      </c>
    </row>
    <row r="211" spans="15:20" ht="18" hidden="1" customHeight="1" x14ac:dyDescent="0.35">
      <c r="O211" s="74" t="s">
        <v>548</v>
      </c>
      <c r="P211" s="74" t="s">
        <v>549</v>
      </c>
      <c r="Q211" s="74" t="s">
        <v>550</v>
      </c>
      <c r="R211" s="74" t="s">
        <v>36</v>
      </c>
      <c r="S211" s="74">
        <v>49</v>
      </c>
      <c r="T211" s="74" t="s">
        <v>1304</v>
      </c>
    </row>
    <row r="212" spans="15:20" ht="18" hidden="1" customHeight="1" x14ac:dyDescent="0.35">
      <c r="O212" s="74" t="s">
        <v>551</v>
      </c>
      <c r="P212" s="74" t="s">
        <v>552</v>
      </c>
      <c r="Q212" s="74" t="s">
        <v>553</v>
      </c>
      <c r="R212" s="74" t="s">
        <v>36</v>
      </c>
      <c r="S212" s="74">
        <v>60</v>
      </c>
      <c r="T212" s="74" t="s">
        <v>40</v>
      </c>
    </row>
    <row r="213" spans="15:20" ht="18" hidden="1" customHeight="1" x14ac:dyDescent="0.35">
      <c r="O213" s="74" t="s">
        <v>554</v>
      </c>
      <c r="P213" s="74" t="s">
        <v>555</v>
      </c>
      <c r="Q213" s="74" t="s">
        <v>556</v>
      </c>
      <c r="R213" s="74" t="s">
        <v>58</v>
      </c>
      <c r="S213" s="74">
        <v>28</v>
      </c>
      <c r="T213" s="74" t="s">
        <v>1304</v>
      </c>
    </row>
    <row r="214" spans="15:20" ht="18" hidden="1" customHeight="1" x14ac:dyDescent="0.35">
      <c r="O214" s="74" t="s">
        <v>557</v>
      </c>
      <c r="P214" s="74" t="s">
        <v>558</v>
      </c>
      <c r="Q214" s="74" t="s">
        <v>559</v>
      </c>
      <c r="R214" s="74" t="s">
        <v>36</v>
      </c>
      <c r="S214" s="74">
        <v>60</v>
      </c>
      <c r="T214" s="74" t="s">
        <v>1304</v>
      </c>
    </row>
    <row r="215" spans="15:20" ht="18" hidden="1" customHeight="1" x14ac:dyDescent="0.35">
      <c r="O215" s="74" t="s">
        <v>560</v>
      </c>
      <c r="P215" s="74" t="s">
        <v>561</v>
      </c>
      <c r="Q215" s="74" t="s">
        <v>562</v>
      </c>
      <c r="R215" s="74" t="s">
        <v>58</v>
      </c>
      <c r="S215" s="74">
        <v>30</v>
      </c>
      <c r="T215" s="74" t="s">
        <v>1304</v>
      </c>
    </row>
    <row r="216" spans="15:20" ht="18" hidden="1" customHeight="1" x14ac:dyDescent="0.35">
      <c r="O216" s="74" t="s">
        <v>563</v>
      </c>
      <c r="P216" s="74" t="s">
        <v>564</v>
      </c>
      <c r="Q216" s="74" t="s">
        <v>565</v>
      </c>
      <c r="R216" s="74" t="s">
        <v>36</v>
      </c>
      <c r="S216" s="74">
        <v>48</v>
      </c>
      <c r="T216" s="74" t="s">
        <v>1304</v>
      </c>
    </row>
    <row r="217" spans="15:20" ht="18" hidden="1" customHeight="1" x14ac:dyDescent="0.35">
      <c r="O217" s="74" t="s">
        <v>566</v>
      </c>
      <c r="P217" s="74" t="s">
        <v>567</v>
      </c>
      <c r="Q217" s="74" t="s">
        <v>568</v>
      </c>
      <c r="R217" s="74" t="s">
        <v>36</v>
      </c>
      <c r="S217" s="74">
        <v>45</v>
      </c>
      <c r="T217" s="74" t="s">
        <v>1304</v>
      </c>
    </row>
    <row r="218" spans="15:20" ht="18" hidden="1" customHeight="1" x14ac:dyDescent="0.35">
      <c r="O218" s="74" t="s">
        <v>569</v>
      </c>
      <c r="P218" s="74" t="s">
        <v>570</v>
      </c>
      <c r="Q218" s="74" t="s">
        <v>571</v>
      </c>
      <c r="R218" s="74" t="s">
        <v>36</v>
      </c>
      <c r="S218" s="74">
        <v>38</v>
      </c>
      <c r="T218" s="74" t="s">
        <v>1304</v>
      </c>
    </row>
    <row r="219" spans="15:20" ht="18" hidden="1" customHeight="1" x14ac:dyDescent="0.35">
      <c r="O219" s="74" t="s">
        <v>572</v>
      </c>
      <c r="P219" s="74" t="s">
        <v>573</v>
      </c>
      <c r="Q219" s="74" t="s">
        <v>574</v>
      </c>
      <c r="R219" s="74" t="s">
        <v>36</v>
      </c>
      <c r="S219" s="74">
        <v>37</v>
      </c>
      <c r="T219" s="74" t="s">
        <v>1304</v>
      </c>
    </row>
    <row r="220" spans="15:20" ht="18" hidden="1" customHeight="1" x14ac:dyDescent="0.35">
      <c r="O220" s="74" t="s">
        <v>575</v>
      </c>
      <c r="P220" s="74" t="s">
        <v>576</v>
      </c>
      <c r="Q220" s="74" t="s">
        <v>577</v>
      </c>
      <c r="R220" s="74" t="s">
        <v>40</v>
      </c>
      <c r="S220" s="74">
        <v>80</v>
      </c>
      <c r="T220" s="74" t="s">
        <v>33</v>
      </c>
    </row>
    <row r="221" spans="15:20" ht="18" hidden="1" customHeight="1" x14ac:dyDescent="0.35">
      <c r="O221" s="74" t="s">
        <v>578</v>
      </c>
      <c r="P221" s="74" t="s">
        <v>579</v>
      </c>
      <c r="Q221" s="74" t="s">
        <v>580</v>
      </c>
      <c r="R221" s="74" t="s">
        <v>36</v>
      </c>
      <c r="S221" s="74">
        <v>42</v>
      </c>
      <c r="T221" s="74" t="s">
        <v>1304</v>
      </c>
    </row>
    <row r="222" spans="15:20" ht="18" hidden="1" customHeight="1" x14ac:dyDescent="0.35">
      <c r="O222" s="74" t="s">
        <v>581</v>
      </c>
      <c r="P222" s="74" t="s">
        <v>582</v>
      </c>
      <c r="Q222" s="74" t="s">
        <v>583</v>
      </c>
      <c r="R222" s="74" t="s">
        <v>36</v>
      </c>
      <c r="S222" s="74">
        <v>47</v>
      </c>
      <c r="T222" s="74" t="s">
        <v>1304</v>
      </c>
    </row>
    <row r="223" spans="15:20" ht="18" hidden="1" customHeight="1" x14ac:dyDescent="0.35">
      <c r="O223" s="74" t="s">
        <v>584</v>
      </c>
      <c r="P223" s="74" t="s">
        <v>585</v>
      </c>
      <c r="Q223" s="74"/>
      <c r="R223" s="74" t="s">
        <v>36</v>
      </c>
      <c r="S223" s="74">
        <v>38</v>
      </c>
      <c r="T223" s="74" t="s">
        <v>1304</v>
      </c>
    </row>
    <row r="224" spans="15:20" ht="18" hidden="1" customHeight="1" x14ac:dyDescent="0.35">
      <c r="O224" s="74" t="s">
        <v>586</v>
      </c>
      <c r="P224" s="74" t="s">
        <v>587</v>
      </c>
      <c r="Q224" s="74" t="s">
        <v>588</v>
      </c>
      <c r="R224" s="74" t="s">
        <v>36</v>
      </c>
      <c r="S224" s="74">
        <v>46</v>
      </c>
      <c r="T224" s="74" t="s">
        <v>1304</v>
      </c>
    </row>
    <row r="225" spans="15:20" ht="18" hidden="1" customHeight="1" x14ac:dyDescent="0.35">
      <c r="O225" s="74" t="s">
        <v>589</v>
      </c>
      <c r="P225" s="74" t="s">
        <v>590</v>
      </c>
      <c r="Q225" s="74" t="s">
        <v>591</v>
      </c>
      <c r="R225" s="74" t="s">
        <v>36</v>
      </c>
      <c r="S225" s="74">
        <v>44</v>
      </c>
      <c r="T225" s="74" t="s">
        <v>1304</v>
      </c>
    </row>
    <row r="226" spans="15:20" ht="18" hidden="1" customHeight="1" x14ac:dyDescent="0.35">
      <c r="O226" s="74" t="s">
        <v>592</v>
      </c>
      <c r="P226" s="74" t="s">
        <v>593</v>
      </c>
      <c r="Q226" s="74" t="s">
        <v>594</v>
      </c>
      <c r="R226" s="74" t="s">
        <v>36</v>
      </c>
      <c r="S226" s="74">
        <v>44</v>
      </c>
      <c r="T226" s="74" t="s">
        <v>1304</v>
      </c>
    </row>
    <row r="227" spans="15:20" ht="18" hidden="1" customHeight="1" x14ac:dyDescent="0.35">
      <c r="O227" s="74" t="s">
        <v>595</v>
      </c>
      <c r="P227" s="74" t="s">
        <v>596</v>
      </c>
      <c r="Q227" s="74" t="s">
        <v>597</v>
      </c>
      <c r="R227" s="74" t="s">
        <v>36</v>
      </c>
      <c r="S227" s="74">
        <v>47</v>
      </c>
      <c r="T227" s="74" t="s">
        <v>1304</v>
      </c>
    </row>
    <row r="228" spans="15:20" ht="18" hidden="1" customHeight="1" x14ac:dyDescent="0.35">
      <c r="O228" s="74" t="s">
        <v>598</v>
      </c>
      <c r="P228" s="74" t="s">
        <v>599</v>
      </c>
      <c r="Q228" s="74" t="s">
        <v>600</v>
      </c>
      <c r="R228" s="74" t="s">
        <v>36</v>
      </c>
      <c r="S228" s="74">
        <v>54</v>
      </c>
      <c r="T228" s="74" t="s">
        <v>1304</v>
      </c>
    </row>
    <row r="229" spans="15:20" ht="18" hidden="1" customHeight="1" x14ac:dyDescent="0.35">
      <c r="O229" s="74" t="s">
        <v>601</v>
      </c>
      <c r="P229" s="74" t="s">
        <v>602</v>
      </c>
      <c r="Q229" s="74" t="s">
        <v>603</v>
      </c>
      <c r="R229" s="74" t="s">
        <v>36</v>
      </c>
      <c r="S229" s="74">
        <v>52</v>
      </c>
      <c r="T229" s="74" t="s">
        <v>1304</v>
      </c>
    </row>
    <row r="230" spans="15:20" ht="18" hidden="1" customHeight="1" x14ac:dyDescent="0.35">
      <c r="O230" s="74" t="s">
        <v>604</v>
      </c>
      <c r="P230" s="74" t="s">
        <v>605</v>
      </c>
      <c r="Q230" s="74" t="s">
        <v>606</v>
      </c>
      <c r="R230" s="74" t="s">
        <v>33</v>
      </c>
      <c r="S230" s="74">
        <v>100</v>
      </c>
      <c r="T230" s="74" t="s">
        <v>33</v>
      </c>
    </row>
    <row r="231" spans="15:20" ht="18" hidden="1" customHeight="1" x14ac:dyDescent="0.35">
      <c r="O231" s="74" t="s">
        <v>607</v>
      </c>
      <c r="P231" s="74" t="s">
        <v>608</v>
      </c>
      <c r="Q231" s="74" t="s">
        <v>609</v>
      </c>
      <c r="R231" s="74" t="s">
        <v>36</v>
      </c>
      <c r="S231" s="74">
        <v>52</v>
      </c>
      <c r="T231" s="74" t="s">
        <v>1304</v>
      </c>
    </row>
    <row r="232" spans="15:20" ht="18" hidden="1" customHeight="1" x14ac:dyDescent="0.35">
      <c r="O232" s="74" t="s">
        <v>610</v>
      </c>
      <c r="P232" s="74" t="s">
        <v>611</v>
      </c>
      <c r="Q232" s="74" t="s">
        <v>612</v>
      </c>
      <c r="R232" s="74" t="s">
        <v>40</v>
      </c>
      <c r="S232" s="74">
        <v>64</v>
      </c>
      <c r="T232" s="74" t="s">
        <v>40</v>
      </c>
    </row>
    <row r="233" spans="15:20" ht="18" hidden="1" customHeight="1" x14ac:dyDescent="0.35">
      <c r="O233" s="74" t="s">
        <v>613</v>
      </c>
      <c r="P233" s="74" t="s">
        <v>614</v>
      </c>
      <c r="Q233" s="74" t="s">
        <v>615</v>
      </c>
      <c r="R233" s="74" t="s">
        <v>58</v>
      </c>
      <c r="S233" s="74">
        <v>26</v>
      </c>
      <c r="T233" s="74" t="s">
        <v>1304</v>
      </c>
    </row>
    <row r="234" spans="15:20" ht="18" hidden="1" customHeight="1" x14ac:dyDescent="0.35">
      <c r="O234" s="74" t="s">
        <v>616</v>
      </c>
      <c r="P234" s="74" t="s">
        <v>617</v>
      </c>
      <c r="Q234" s="74" t="s">
        <v>618</v>
      </c>
      <c r="R234" s="74" t="s">
        <v>36</v>
      </c>
      <c r="S234" s="74">
        <v>45</v>
      </c>
      <c r="T234" s="74" t="s">
        <v>1304</v>
      </c>
    </row>
    <row r="235" spans="15:20" ht="18" hidden="1" customHeight="1" x14ac:dyDescent="0.35">
      <c r="O235" s="74" t="s">
        <v>619</v>
      </c>
      <c r="P235" s="74" t="s">
        <v>620</v>
      </c>
      <c r="Q235" s="74" t="s">
        <v>621</v>
      </c>
      <c r="R235" s="74" t="s">
        <v>36</v>
      </c>
      <c r="S235" s="74">
        <v>39</v>
      </c>
      <c r="T235" s="74" t="s">
        <v>1304</v>
      </c>
    </row>
    <row r="236" spans="15:20" ht="18" hidden="1" customHeight="1" x14ac:dyDescent="0.35">
      <c r="O236" s="74" t="s">
        <v>622</v>
      </c>
      <c r="P236" s="74" t="s">
        <v>623</v>
      </c>
      <c r="Q236" s="74" t="s">
        <v>624</v>
      </c>
      <c r="R236" s="74" t="s">
        <v>36</v>
      </c>
      <c r="S236" s="74">
        <v>43</v>
      </c>
      <c r="T236" s="74" t="s">
        <v>1304</v>
      </c>
    </row>
    <row r="237" spans="15:20" ht="18" hidden="1" customHeight="1" x14ac:dyDescent="0.35">
      <c r="O237" s="74" t="s">
        <v>625</v>
      </c>
      <c r="P237" s="74" t="s">
        <v>626</v>
      </c>
      <c r="Q237" s="74" t="s">
        <v>627</v>
      </c>
      <c r="R237" s="74" t="s">
        <v>40</v>
      </c>
      <c r="S237" s="74">
        <v>80</v>
      </c>
      <c r="T237" s="74" t="s">
        <v>40</v>
      </c>
    </row>
    <row r="238" spans="15:20" ht="18" hidden="1" customHeight="1" x14ac:dyDescent="0.35">
      <c r="O238" s="74" t="s">
        <v>628</v>
      </c>
      <c r="P238" s="74" t="s">
        <v>629</v>
      </c>
      <c r="Q238" s="74" t="s">
        <v>630</v>
      </c>
      <c r="R238" s="74" t="s">
        <v>33</v>
      </c>
      <c r="S238" s="74">
        <v>100</v>
      </c>
      <c r="T238" s="74" t="s">
        <v>33</v>
      </c>
    </row>
    <row r="239" spans="15:20" ht="18" hidden="1" customHeight="1" x14ac:dyDescent="0.35">
      <c r="O239" s="74" t="s">
        <v>631</v>
      </c>
      <c r="P239" s="74" t="s">
        <v>632</v>
      </c>
      <c r="Q239" s="74" t="s">
        <v>633</v>
      </c>
      <c r="R239" s="74" t="s">
        <v>40</v>
      </c>
      <c r="S239" s="74">
        <v>63</v>
      </c>
      <c r="T239" s="74" t="s">
        <v>40</v>
      </c>
    </row>
    <row r="240" spans="15:20" ht="18" hidden="1" customHeight="1" x14ac:dyDescent="0.35">
      <c r="O240" s="74" t="s">
        <v>634</v>
      </c>
      <c r="P240" s="74" t="s">
        <v>635</v>
      </c>
      <c r="Q240" s="74" t="s">
        <v>636</v>
      </c>
      <c r="R240" s="74" t="s">
        <v>33</v>
      </c>
      <c r="S240" s="74">
        <v>100</v>
      </c>
      <c r="T240" s="74" t="s">
        <v>33</v>
      </c>
    </row>
    <row r="241" spans="15:20" ht="18" hidden="1" customHeight="1" x14ac:dyDescent="0.35">
      <c r="O241" s="74" t="s">
        <v>637</v>
      </c>
      <c r="P241" s="74" t="s">
        <v>638</v>
      </c>
      <c r="Q241" s="74" t="s">
        <v>639</v>
      </c>
      <c r="R241" s="74" t="s">
        <v>36</v>
      </c>
      <c r="S241" s="74">
        <v>60</v>
      </c>
      <c r="T241" s="74" t="s">
        <v>1304</v>
      </c>
    </row>
    <row r="242" spans="15:20" ht="18" hidden="1" customHeight="1" x14ac:dyDescent="0.35">
      <c r="O242" s="74" t="s">
        <v>640</v>
      </c>
      <c r="P242" s="74" t="s">
        <v>641</v>
      </c>
      <c r="Q242" s="74" t="s">
        <v>642</v>
      </c>
      <c r="R242" s="74" t="s">
        <v>40</v>
      </c>
      <c r="S242" s="74">
        <v>80</v>
      </c>
      <c r="T242" s="74" t="s">
        <v>40</v>
      </c>
    </row>
    <row r="243" spans="15:20" ht="18" hidden="1" customHeight="1" x14ac:dyDescent="0.35">
      <c r="O243" s="74" t="s">
        <v>643</v>
      </c>
      <c r="P243" s="74" t="s">
        <v>644</v>
      </c>
      <c r="Q243" s="74" t="s">
        <v>645</v>
      </c>
      <c r="R243" s="74" t="s">
        <v>58</v>
      </c>
      <c r="S243" s="74">
        <v>30</v>
      </c>
      <c r="T243" s="74" t="s">
        <v>1304</v>
      </c>
    </row>
    <row r="244" spans="15:20" ht="18" hidden="1" customHeight="1" x14ac:dyDescent="0.35">
      <c r="O244" s="74" t="s">
        <v>646</v>
      </c>
      <c r="P244" s="74" t="s">
        <v>647</v>
      </c>
      <c r="Q244" s="74" t="s">
        <v>648</v>
      </c>
      <c r="R244" s="74" t="s">
        <v>36</v>
      </c>
      <c r="S244" s="74">
        <v>44</v>
      </c>
      <c r="T244" s="74" t="s">
        <v>1304</v>
      </c>
    </row>
    <row r="245" spans="15:20" ht="18" hidden="1" customHeight="1" x14ac:dyDescent="0.35">
      <c r="O245" s="74" t="s">
        <v>649</v>
      </c>
      <c r="P245" s="74" t="s">
        <v>650</v>
      </c>
      <c r="Q245" s="74" t="s">
        <v>651</v>
      </c>
      <c r="R245" s="74" t="s">
        <v>36</v>
      </c>
      <c r="S245" s="74">
        <v>44</v>
      </c>
      <c r="T245" s="74" t="s">
        <v>1304</v>
      </c>
    </row>
    <row r="246" spans="15:20" ht="18" hidden="1" customHeight="1" x14ac:dyDescent="0.35">
      <c r="O246" s="74" t="s">
        <v>652</v>
      </c>
      <c r="P246" s="74" t="s">
        <v>653</v>
      </c>
      <c r="Q246" s="74" t="s">
        <v>654</v>
      </c>
      <c r="R246" s="74" t="s">
        <v>36</v>
      </c>
      <c r="S246" s="74">
        <v>42</v>
      </c>
      <c r="T246" s="74" t="s">
        <v>1304</v>
      </c>
    </row>
    <row r="247" spans="15:20" ht="18" hidden="1" customHeight="1" x14ac:dyDescent="0.35">
      <c r="O247" s="74" t="s">
        <v>655</v>
      </c>
      <c r="P247" s="74" t="s">
        <v>656</v>
      </c>
      <c r="Q247" s="74" t="s">
        <v>657</v>
      </c>
      <c r="R247" s="74" t="s">
        <v>36</v>
      </c>
      <c r="S247" s="74">
        <v>45</v>
      </c>
      <c r="T247" s="74" t="s">
        <v>1304</v>
      </c>
    </row>
    <row r="248" spans="15:20" ht="18" hidden="1" customHeight="1" x14ac:dyDescent="0.35">
      <c r="O248" s="74" t="s">
        <v>658</v>
      </c>
      <c r="P248" s="74" t="s">
        <v>659</v>
      </c>
      <c r="Q248" s="74" t="s">
        <v>660</v>
      </c>
      <c r="R248" s="74" t="s">
        <v>40</v>
      </c>
      <c r="S248" s="74">
        <v>74</v>
      </c>
      <c r="T248" s="74" t="s">
        <v>40</v>
      </c>
    </row>
    <row r="249" spans="15:20" ht="18" hidden="1" customHeight="1" x14ac:dyDescent="0.35">
      <c r="O249" s="74" t="s">
        <v>661</v>
      </c>
      <c r="P249" s="74" t="s">
        <v>662</v>
      </c>
      <c r="Q249" s="74" t="s">
        <v>663</v>
      </c>
      <c r="R249" s="74" t="s">
        <v>33</v>
      </c>
      <c r="S249" s="74">
        <v>100</v>
      </c>
      <c r="T249" s="74" t="s">
        <v>33</v>
      </c>
    </row>
    <row r="250" spans="15:20" ht="18" hidden="1" customHeight="1" x14ac:dyDescent="0.35">
      <c r="O250" s="74" t="s">
        <v>664</v>
      </c>
      <c r="P250" s="74" t="s">
        <v>665</v>
      </c>
      <c r="Q250" s="74" t="s">
        <v>666</v>
      </c>
      <c r="R250" s="74" t="s">
        <v>36</v>
      </c>
      <c r="S250" s="74">
        <v>53</v>
      </c>
      <c r="T250" s="74" t="s">
        <v>1304</v>
      </c>
    </row>
    <row r="251" spans="15:20" ht="18" hidden="1" customHeight="1" x14ac:dyDescent="0.35">
      <c r="O251" s="74" t="s">
        <v>667</v>
      </c>
      <c r="P251" s="74" t="s">
        <v>668</v>
      </c>
      <c r="Q251" s="74" t="s">
        <v>669</v>
      </c>
      <c r="R251" s="74" t="s">
        <v>36</v>
      </c>
      <c r="S251" s="74">
        <v>41</v>
      </c>
      <c r="T251" s="74" t="s">
        <v>1304</v>
      </c>
    </row>
    <row r="252" spans="15:20" ht="18" hidden="1" customHeight="1" x14ac:dyDescent="0.35">
      <c r="O252" s="74" t="s">
        <v>670</v>
      </c>
      <c r="P252" s="74" t="s">
        <v>671</v>
      </c>
      <c r="Q252" s="74" t="s">
        <v>672</v>
      </c>
      <c r="R252" s="74" t="s">
        <v>36</v>
      </c>
      <c r="S252" s="74">
        <v>47</v>
      </c>
      <c r="T252" s="74" t="s">
        <v>1304</v>
      </c>
    </row>
    <row r="253" spans="15:20" ht="18" hidden="1" customHeight="1" x14ac:dyDescent="0.35">
      <c r="O253" s="74" t="s">
        <v>673</v>
      </c>
      <c r="P253" s="74" t="s">
        <v>674</v>
      </c>
      <c r="Q253" s="74" t="s">
        <v>675</v>
      </c>
      <c r="R253" s="74" t="s">
        <v>58</v>
      </c>
      <c r="S253" s="74">
        <v>29</v>
      </c>
      <c r="T253" s="74" t="s">
        <v>1304</v>
      </c>
    </row>
    <row r="254" spans="15:20" ht="18" hidden="1" customHeight="1" x14ac:dyDescent="0.35">
      <c r="O254" s="74" t="s">
        <v>676</v>
      </c>
      <c r="P254" s="74" t="s">
        <v>677</v>
      </c>
      <c r="Q254" s="74" t="s">
        <v>678</v>
      </c>
      <c r="R254" s="74" t="s">
        <v>58</v>
      </c>
      <c r="S254" s="74">
        <v>30</v>
      </c>
      <c r="T254" s="74" t="s">
        <v>1304</v>
      </c>
    </row>
    <row r="255" spans="15:20" ht="18" hidden="1" customHeight="1" x14ac:dyDescent="0.35">
      <c r="O255" s="74" t="s">
        <v>679</v>
      </c>
      <c r="P255" s="74" t="s">
        <v>680</v>
      </c>
      <c r="Q255" s="74" t="s">
        <v>681</v>
      </c>
      <c r="R255" s="74" t="s">
        <v>33</v>
      </c>
      <c r="S255" s="74">
        <v>100</v>
      </c>
      <c r="T255" s="74" t="s">
        <v>33</v>
      </c>
    </row>
    <row r="256" spans="15:20" ht="18" hidden="1" customHeight="1" x14ac:dyDescent="0.35">
      <c r="O256" s="74" t="s">
        <v>682</v>
      </c>
      <c r="P256" s="74" t="s">
        <v>683</v>
      </c>
      <c r="Q256" s="74" t="s">
        <v>684</v>
      </c>
      <c r="R256" s="74" t="s">
        <v>36</v>
      </c>
      <c r="S256" s="74">
        <v>46</v>
      </c>
      <c r="T256" s="74" t="s">
        <v>1304</v>
      </c>
    </row>
    <row r="257" spans="15:20" ht="18" hidden="1" customHeight="1" x14ac:dyDescent="0.35">
      <c r="O257" s="74" t="s">
        <v>685</v>
      </c>
      <c r="P257" s="74" t="s">
        <v>686</v>
      </c>
      <c r="Q257" s="74" t="s">
        <v>687</v>
      </c>
      <c r="R257" s="74" t="s">
        <v>40</v>
      </c>
      <c r="S257" s="74">
        <v>65</v>
      </c>
      <c r="T257" s="74" t="s">
        <v>40</v>
      </c>
    </row>
    <row r="258" spans="15:20" ht="18" hidden="1" customHeight="1" x14ac:dyDescent="0.35">
      <c r="O258" s="74" t="s">
        <v>688</v>
      </c>
      <c r="P258" s="74" t="s">
        <v>689</v>
      </c>
      <c r="Q258" s="74" t="s">
        <v>690</v>
      </c>
      <c r="R258" s="74" t="s">
        <v>36</v>
      </c>
      <c r="S258" s="74">
        <v>54</v>
      </c>
      <c r="T258" s="74" t="s">
        <v>40</v>
      </c>
    </row>
    <row r="259" spans="15:20" ht="18" hidden="1" customHeight="1" x14ac:dyDescent="0.35">
      <c r="O259" s="74" t="s">
        <v>691</v>
      </c>
      <c r="P259" s="74" t="s">
        <v>692</v>
      </c>
      <c r="Q259" s="74" t="s">
        <v>693</v>
      </c>
      <c r="R259" s="74" t="s">
        <v>36</v>
      </c>
      <c r="S259" s="74">
        <v>49</v>
      </c>
      <c r="T259" s="74" t="s">
        <v>1304</v>
      </c>
    </row>
    <row r="260" spans="15:20" ht="18" hidden="1" customHeight="1" x14ac:dyDescent="0.35">
      <c r="O260" s="74" t="s">
        <v>694</v>
      </c>
      <c r="P260" s="74" t="s">
        <v>695</v>
      </c>
      <c r="Q260" s="74" t="s">
        <v>696</v>
      </c>
      <c r="R260" s="74" t="s">
        <v>40</v>
      </c>
      <c r="S260" s="74">
        <v>67</v>
      </c>
      <c r="T260" s="74" t="s">
        <v>40</v>
      </c>
    </row>
    <row r="261" spans="15:20" ht="18" hidden="1" customHeight="1" x14ac:dyDescent="0.35">
      <c r="O261" s="74" t="s">
        <v>697</v>
      </c>
      <c r="P261" s="74" t="s">
        <v>698</v>
      </c>
      <c r="Q261" s="74" t="s">
        <v>699</v>
      </c>
      <c r="R261" s="74" t="s">
        <v>36</v>
      </c>
      <c r="S261" s="74">
        <v>48</v>
      </c>
      <c r="T261" s="74" t="s">
        <v>1304</v>
      </c>
    </row>
    <row r="262" spans="15:20" ht="18" hidden="1" customHeight="1" x14ac:dyDescent="0.35">
      <c r="O262" s="74" t="s">
        <v>700</v>
      </c>
      <c r="P262" s="74" t="s">
        <v>701</v>
      </c>
      <c r="Q262" s="74" t="s">
        <v>702</v>
      </c>
      <c r="R262" s="74" t="s">
        <v>58</v>
      </c>
      <c r="S262" s="74">
        <v>30</v>
      </c>
      <c r="T262" s="74" t="s">
        <v>33</v>
      </c>
    </row>
    <row r="263" spans="15:20" ht="18" hidden="1" customHeight="1" x14ac:dyDescent="0.35">
      <c r="O263" s="74" t="s">
        <v>703</v>
      </c>
      <c r="P263" s="74" t="s">
        <v>704</v>
      </c>
      <c r="Q263" s="74" t="s">
        <v>705</v>
      </c>
      <c r="R263" s="74" t="s">
        <v>36</v>
      </c>
      <c r="S263" s="74">
        <v>46</v>
      </c>
      <c r="T263" s="74" t="s">
        <v>1304</v>
      </c>
    </row>
    <row r="264" spans="15:20" ht="18" hidden="1" customHeight="1" x14ac:dyDescent="0.35">
      <c r="O264" s="74" t="s">
        <v>706</v>
      </c>
      <c r="P264" s="74" t="s">
        <v>707</v>
      </c>
      <c r="Q264" s="74" t="s">
        <v>708</v>
      </c>
      <c r="R264" s="74" t="s">
        <v>40</v>
      </c>
      <c r="S264" s="74">
        <v>61</v>
      </c>
      <c r="T264" s="74" t="s">
        <v>40</v>
      </c>
    </row>
    <row r="265" spans="15:20" ht="18" hidden="1" customHeight="1" x14ac:dyDescent="0.35">
      <c r="O265" s="74" t="s">
        <v>709</v>
      </c>
      <c r="P265" s="74" t="s">
        <v>710</v>
      </c>
      <c r="Q265" s="74" t="s">
        <v>711</v>
      </c>
      <c r="R265" s="74" t="s">
        <v>40</v>
      </c>
      <c r="S265" s="74">
        <v>80</v>
      </c>
      <c r="T265" s="74" t="s">
        <v>40</v>
      </c>
    </row>
    <row r="266" spans="15:20" ht="18" hidden="1" customHeight="1" x14ac:dyDescent="0.35">
      <c r="O266" s="74" t="s">
        <v>712</v>
      </c>
      <c r="P266" s="74" t="s">
        <v>713</v>
      </c>
      <c r="Q266" s="74" t="s">
        <v>714</v>
      </c>
      <c r="R266" s="74" t="s">
        <v>40</v>
      </c>
      <c r="S266" s="74">
        <v>61</v>
      </c>
      <c r="T266" s="74" t="s">
        <v>40</v>
      </c>
    </row>
    <row r="267" spans="15:20" ht="18" hidden="1" customHeight="1" x14ac:dyDescent="0.35">
      <c r="O267" s="74" t="s">
        <v>715</v>
      </c>
      <c r="P267" s="74" t="s">
        <v>716</v>
      </c>
      <c r="Q267" s="74" t="s">
        <v>717</v>
      </c>
      <c r="R267" s="74" t="s">
        <v>40</v>
      </c>
      <c r="S267" s="74">
        <v>65</v>
      </c>
      <c r="T267" s="74" t="s">
        <v>40</v>
      </c>
    </row>
    <row r="268" spans="15:20" ht="18" hidden="1" customHeight="1" x14ac:dyDescent="0.35">
      <c r="O268" s="74" t="s">
        <v>718</v>
      </c>
      <c r="P268" s="74" t="s">
        <v>719</v>
      </c>
      <c r="Q268" s="74" t="s">
        <v>720</v>
      </c>
      <c r="R268" s="74" t="s">
        <v>36</v>
      </c>
      <c r="S268" s="74">
        <v>43</v>
      </c>
      <c r="T268" s="74" t="s">
        <v>1304</v>
      </c>
    </row>
    <row r="269" spans="15:20" ht="18" hidden="1" customHeight="1" x14ac:dyDescent="0.35">
      <c r="O269" s="74" t="s">
        <v>721</v>
      </c>
      <c r="P269" s="74" t="s">
        <v>722</v>
      </c>
      <c r="Q269" s="74" t="s">
        <v>723</v>
      </c>
      <c r="R269" s="74" t="s">
        <v>36</v>
      </c>
      <c r="S269" s="74">
        <v>38</v>
      </c>
      <c r="T269" s="74" t="s">
        <v>1304</v>
      </c>
    </row>
    <row r="270" spans="15:20" ht="18" hidden="1" customHeight="1" x14ac:dyDescent="0.35">
      <c r="O270" s="74" t="s">
        <v>724</v>
      </c>
      <c r="P270" s="74" t="s">
        <v>725</v>
      </c>
      <c r="Q270" s="74" t="s">
        <v>726</v>
      </c>
      <c r="R270" s="74" t="s">
        <v>36</v>
      </c>
      <c r="S270" s="74">
        <v>60</v>
      </c>
      <c r="T270" s="74" t="s">
        <v>40</v>
      </c>
    </row>
    <row r="271" spans="15:20" ht="18" hidden="1" customHeight="1" x14ac:dyDescent="0.35">
      <c r="O271" s="74" t="s">
        <v>727</v>
      </c>
      <c r="P271" s="74" t="s">
        <v>728</v>
      </c>
      <c r="Q271" s="74" t="s">
        <v>729</v>
      </c>
      <c r="R271" s="74" t="s">
        <v>40</v>
      </c>
      <c r="S271" s="74">
        <v>80</v>
      </c>
      <c r="T271" s="74" t="s">
        <v>40</v>
      </c>
    </row>
    <row r="272" spans="15:20" ht="18" hidden="1" customHeight="1" x14ac:dyDescent="0.35">
      <c r="O272" s="74" t="s">
        <v>730</v>
      </c>
      <c r="P272" s="74" t="s">
        <v>731</v>
      </c>
      <c r="Q272" s="74" t="s">
        <v>732</v>
      </c>
      <c r="R272" s="74" t="s">
        <v>33</v>
      </c>
      <c r="S272" s="74">
        <v>100</v>
      </c>
      <c r="T272" s="74" t="s">
        <v>33</v>
      </c>
    </row>
    <row r="273" spans="15:20" ht="18" hidden="1" customHeight="1" x14ac:dyDescent="0.35">
      <c r="O273" s="74" t="s">
        <v>733</v>
      </c>
      <c r="P273" s="74" t="s">
        <v>734</v>
      </c>
      <c r="Q273" s="74" t="s">
        <v>735</v>
      </c>
      <c r="R273" s="74" t="s">
        <v>58</v>
      </c>
      <c r="S273" s="74">
        <v>28</v>
      </c>
      <c r="T273" s="74" t="s">
        <v>1304</v>
      </c>
    </row>
    <row r="274" spans="15:20" ht="18" hidden="1" customHeight="1" x14ac:dyDescent="0.35">
      <c r="O274" s="74" t="s">
        <v>736</v>
      </c>
      <c r="P274" s="74" t="s">
        <v>737</v>
      </c>
      <c r="Q274" s="74"/>
      <c r="R274" s="74" t="s">
        <v>40</v>
      </c>
      <c r="S274" s="74">
        <v>100</v>
      </c>
      <c r="T274" s="74" t="s">
        <v>1304</v>
      </c>
    </row>
    <row r="275" spans="15:20" ht="18" hidden="1" customHeight="1" x14ac:dyDescent="0.35">
      <c r="O275" s="74" t="s">
        <v>738</v>
      </c>
      <c r="P275" s="74" t="s">
        <v>739</v>
      </c>
      <c r="Q275" s="74" t="s">
        <v>740</v>
      </c>
      <c r="R275" s="74" t="s">
        <v>36</v>
      </c>
      <c r="S275" s="74">
        <v>47</v>
      </c>
      <c r="T275" s="74" t="s">
        <v>1304</v>
      </c>
    </row>
    <row r="276" spans="15:20" ht="18" hidden="1" customHeight="1" x14ac:dyDescent="0.35">
      <c r="O276" s="74" t="s">
        <v>741</v>
      </c>
      <c r="P276" s="74" t="s">
        <v>742</v>
      </c>
      <c r="Q276" s="74" t="s">
        <v>743</v>
      </c>
      <c r="R276" s="74" t="s">
        <v>36</v>
      </c>
      <c r="S276" s="74">
        <v>43</v>
      </c>
      <c r="T276" s="74" t="s">
        <v>1304</v>
      </c>
    </row>
    <row r="277" spans="15:20" ht="18" hidden="1" customHeight="1" x14ac:dyDescent="0.35">
      <c r="O277" s="74" t="s">
        <v>744</v>
      </c>
      <c r="P277" s="74" t="s">
        <v>745</v>
      </c>
      <c r="Q277" s="74" t="s">
        <v>744</v>
      </c>
      <c r="R277" s="74" t="s">
        <v>58</v>
      </c>
      <c r="S277" s="74">
        <v>30</v>
      </c>
      <c r="T277" s="74" t="s">
        <v>1304</v>
      </c>
    </row>
    <row r="278" spans="15:20" ht="18" hidden="1" customHeight="1" x14ac:dyDescent="0.35">
      <c r="O278" s="74" t="s">
        <v>746</v>
      </c>
      <c r="P278" s="74" t="s">
        <v>747</v>
      </c>
      <c r="Q278" s="74" t="s">
        <v>748</v>
      </c>
      <c r="R278" s="74" t="s">
        <v>40</v>
      </c>
      <c r="S278" s="74">
        <v>67</v>
      </c>
      <c r="T278" s="74" t="s">
        <v>40</v>
      </c>
    </row>
    <row r="279" spans="15:20" ht="18" hidden="1" customHeight="1" x14ac:dyDescent="0.35">
      <c r="O279" s="74" t="s">
        <v>749</v>
      </c>
      <c r="P279" s="74" t="s">
        <v>750</v>
      </c>
      <c r="Q279" s="74" t="s">
        <v>751</v>
      </c>
      <c r="R279" s="74" t="s">
        <v>36</v>
      </c>
      <c r="S279" s="74">
        <v>52</v>
      </c>
      <c r="T279" s="74" t="s">
        <v>1304</v>
      </c>
    </row>
    <row r="280" spans="15:20" ht="18" hidden="1" customHeight="1" x14ac:dyDescent="0.35">
      <c r="O280" s="74" t="s">
        <v>752</v>
      </c>
      <c r="P280" s="74" t="s">
        <v>753</v>
      </c>
      <c r="Q280" s="74"/>
      <c r="R280" s="74" t="s">
        <v>58</v>
      </c>
      <c r="S280" s="74">
        <v>29</v>
      </c>
      <c r="T280" s="74" t="s">
        <v>1304</v>
      </c>
    </row>
    <row r="281" spans="15:20" ht="18" hidden="1" customHeight="1" x14ac:dyDescent="0.35">
      <c r="O281" s="74" t="s">
        <v>754</v>
      </c>
      <c r="P281" s="74" t="s">
        <v>755</v>
      </c>
      <c r="Q281" s="74" t="s">
        <v>756</v>
      </c>
      <c r="R281" s="74" t="s">
        <v>40</v>
      </c>
      <c r="S281" s="74">
        <v>80</v>
      </c>
      <c r="T281" s="74" t="s">
        <v>40</v>
      </c>
    </row>
    <row r="282" spans="15:20" ht="18" hidden="1" customHeight="1" x14ac:dyDescent="0.35">
      <c r="O282" s="74" t="s">
        <v>757</v>
      </c>
      <c r="P282" s="74" t="s">
        <v>758</v>
      </c>
      <c r="Q282" s="74" t="s">
        <v>759</v>
      </c>
      <c r="R282" s="74" t="s">
        <v>36</v>
      </c>
      <c r="S282" s="74">
        <v>48</v>
      </c>
      <c r="T282" s="74" t="s">
        <v>1304</v>
      </c>
    </row>
    <row r="283" spans="15:20" ht="18" hidden="1" customHeight="1" x14ac:dyDescent="0.35">
      <c r="O283" s="74" t="s">
        <v>760</v>
      </c>
      <c r="P283" s="74" t="s">
        <v>761</v>
      </c>
      <c r="Q283" s="74" t="s">
        <v>762</v>
      </c>
      <c r="R283" s="74" t="s">
        <v>36</v>
      </c>
      <c r="S283" s="74">
        <v>60</v>
      </c>
      <c r="T283" s="74" t="s">
        <v>40</v>
      </c>
    </row>
    <row r="284" spans="15:20" ht="18" hidden="1" customHeight="1" x14ac:dyDescent="0.35">
      <c r="O284" s="74" t="s">
        <v>763</v>
      </c>
      <c r="P284" s="74" t="s">
        <v>764</v>
      </c>
      <c r="Q284" s="74" t="s">
        <v>765</v>
      </c>
      <c r="R284" s="74" t="s">
        <v>36</v>
      </c>
      <c r="S284" s="74">
        <v>54</v>
      </c>
      <c r="T284" s="74" t="s">
        <v>1304</v>
      </c>
    </row>
    <row r="285" spans="15:20" ht="18" hidden="1" customHeight="1" x14ac:dyDescent="0.35">
      <c r="O285" s="74" t="s">
        <v>766</v>
      </c>
      <c r="P285" s="74" t="s">
        <v>767</v>
      </c>
      <c r="Q285" s="74" t="s">
        <v>768</v>
      </c>
      <c r="R285" s="74" t="s">
        <v>36</v>
      </c>
      <c r="S285" s="74">
        <v>60</v>
      </c>
      <c r="T285" s="74" t="s">
        <v>33</v>
      </c>
    </row>
    <row r="286" spans="15:20" ht="18" hidden="1" customHeight="1" x14ac:dyDescent="0.35">
      <c r="O286" s="74" t="s">
        <v>769</v>
      </c>
      <c r="P286" s="74" t="s">
        <v>770</v>
      </c>
      <c r="Q286" s="74" t="s">
        <v>771</v>
      </c>
      <c r="R286" s="74" t="s">
        <v>40</v>
      </c>
      <c r="S286" s="74">
        <v>64</v>
      </c>
      <c r="T286" s="74" t="s">
        <v>40</v>
      </c>
    </row>
    <row r="287" spans="15:20" ht="18" hidden="1" customHeight="1" x14ac:dyDescent="0.35">
      <c r="O287" s="74" t="s">
        <v>772</v>
      </c>
      <c r="P287" s="74" t="s">
        <v>773</v>
      </c>
      <c r="Q287" s="74" t="s">
        <v>774</v>
      </c>
      <c r="R287" s="74" t="s">
        <v>33</v>
      </c>
      <c r="S287" s="74">
        <v>100</v>
      </c>
      <c r="T287" s="74" t="s">
        <v>33</v>
      </c>
    </row>
    <row r="288" spans="15:20" ht="18" hidden="1" customHeight="1" x14ac:dyDescent="0.35">
      <c r="O288" s="74" t="s">
        <v>775</v>
      </c>
      <c r="P288" s="74" t="s">
        <v>776</v>
      </c>
      <c r="Q288" s="74" t="s">
        <v>777</v>
      </c>
      <c r="R288" s="74" t="s">
        <v>36</v>
      </c>
      <c r="S288" s="74">
        <v>48</v>
      </c>
      <c r="T288" s="74" t="s">
        <v>1304</v>
      </c>
    </row>
    <row r="289" spans="15:20" ht="18" hidden="1" customHeight="1" x14ac:dyDescent="0.35">
      <c r="O289" s="74" t="s">
        <v>778</v>
      </c>
      <c r="P289" s="74" t="s">
        <v>779</v>
      </c>
      <c r="Q289" s="74" t="s">
        <v>780</v>
      </c>
      <c r="R289" s="74" t="s">
        <v>40</v>
      </c>
      <c r="S289" s="74">
        <v>71</v>
      </c>
      <c r="T289" s="74" t="s">
        <v>40</v>
      </c>
    </row>
  </sheetData>
  <sheetProtection algorithmName="SHA-512" hashValue="AMxwDgGYInZc8fS3ULs3gEJO+I+SvvMkRfjKGpfTTktEvWD5SlL1wVfGwn8yG4U3feIUpGWyvADzU9/U8ZMVeg==" saltValue="NlT77bKAGFCMeqod4Er9XQ==" spinCount="100000" sheet="1" objects="1" scenarios="1"/>
  <mergeCells count="61">
    <mergeCell ref="G10:I10"/>
    <mergeCell ref="G28:I28"/>
    <mergeCell ref="J8:T8"/>
    <mergeCell ref="A34:T34"/>
    <mergeCell ref="G33:I33"/>
    <mergeCell ref="J33:S33"/>
    <mergeCell ref="J31:S31"/>
    <mergeCell ref="J14:T14"/>
    <mergeCell ref="G18:I18"/>
    <mergeCell ref="G27:K27"/>
    <mergeCell ref="G29:I29"/>
    <mergeCell ref="J29:S29"/>
    <mergeCell ref="R27:S27"/>
    <mergeCell ref="G21:I21"/>
    <mergeCell ref="G30:I30"/>
    <mergeCell ref="AD15:AZ15"/>
    <mergeCell ref="B3:T3"/>
    <mergeCell ref="B18:E18"/>
    <mergeCell ref="R26:S26"/>
    <mergeCell ref="G9:I9"/>
    <mergeCell ref="J7:T7"/>
    <mergeCell ref="G5:T5"/>
    <mergeCell ref="G15:I15"/>
    <mergeCell ref="G24:I24"/>
    <mergeCell ref="J18:S18"/>
    <mergeCell ref="J9:T9"/>
    <mergeCell ref="G14:I14"/>
    <mergeCell ref="J23:S23"/>
    <mergeCell ref="J15:T15"/>
    <mergeCell ref="G20:I20"/>
    <mergeCell ref="J22:S22"/>
    <mergeCell ref="G32:I32"/>
    <mergeCell ref="J19:S19"/>
    <mergeCell ref="J28:S28"/>
    <mergeCell ref="G22:I22"/>
    <mergeCell ref="J11:T11"/>
    <mergeCell ref="L27:N27"/>
    <mergeCell ref="G31:I31"/>
    <mergeCell ref="J30:S30"/>
    <mergeCell ref="G17:AB17"/>
    <mergeCell ref="P26:Q26"/>
    <mergeCell ref="P27:Q27"/>
    <mergeCell ref="G19:I19"/>
    <mergeCell ref="G13:T13"/>
    <mergeCell ref="J32:S32"/>
    <mergeCell ref="B2:T2"/>
    <mergeCell ref="J24:S24"/>
    <mergeCell ref="G11:I11"/>
    <mergeCell ref="G26:K26"/>
    <mergeCell ref="A4:T4"/>
    <mergeCell ref="G23:I23"/>
    <mergeCell ref="G8:I8"/>
    <mergeCell ref="J20:S20"/>
    <mergeCell ref="G7:I7"/>
    <mergeCell ref="B5:E5"/>
    <mergeCell ref="J21:S21"/>
    <mergeCell ref="L26:N26"/>
    <mergeCell ref="J10:T10"/>
    <mergeCell ref="J6:T6"/>
    <mergeCell ref="B6:E16"/>
    <mergeCell ref="G6:I6"/>
  </mergeCells>
  <conditionalFormatting sqref="T27">
    <cfRule type="containsText" dxfId="6" priority="4" operator="containsText" text="Low">
      <formula>NOT(ISERROR(SEARCH("Low",T27)))</formula>
    </cfRule>
    <cfRule type="containsText" dxfId="5" priority="5" operator="containsText" text="Medium">
      <formula>NOT(ISERROR(SEARCH("Medium",T27)))</formula>
    </cfRule>
    <cfRule type="containsText" dxfId="4" priority="6" operator="containsText" text="High">
      <formula>NOT(ISERROR(SEARCH("High",T27)))</formula>
    </cfRule>
    <cfRule type="containsText" dxfId="3" priority="7" operator="containsText" text="Prohibited">
      <formula>NOT(ISERROR(SEARCH("Prohibited",T27)))</formula>
    </cfRule>
  </conditionalFormatting>
  <conditionalFormatting sqref="R27:S27">
    <cfRule type="containsText" dxfId="2" priority="1" operator="containsText" text="N/A">
      <formula>NOT(ISERROR(SEARCH("N/A",R27)))</formula>
    </cfRule>
    <cfRule type="containsText" dxfId="1" priority="2" operator="containsText" text="High">
      <formula>NOT(ISERROR(SEARCH("High",R27)))</formula>
    </cfRule>
    <cfRule type="containsText" dxfId="0" priority="3" operator="containsText" text="Prohibited">
      <formula>NOT(ISERROR(SEARCH("Prohibited",R27)))</formula>
    </cfRule>
  </conditionalFormatting>
  <dataValidations count="3">
    <dataValidation type="list" allowBlank="1" showInputMessage="1" showErrorMessage="1" sqref="J6:T6" xr:uid="{00000000-0002-0000-0000-000000000000}">
      <formula1>"Escalation, Non-Escalation, RFI"</formula1>
    </dataValidation>
    <dataValidation type="list" allowBlank="1" showInputMessage="1" showErrorMessage="1" sqref="G27:K27" xr:uid="{00000000-0002-0000-0000-000001000000}">
      <formula1>$O$36:$O$289</formula1>
    </dataValidation>
    <dataValidation type="list" allowBlank="1" showInputMessage="1" showErrorMessage="1" sqref="J7:T7" xr:uid="{B38546C6-E2F9-484D-A566-ECCDFB0BDED5}">
      <formula1>IF($J$6="RFI", TemplatesRFI, TemplatesStandard)</formula1>
    </dataValidation>
  </dataValidations>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2">
        <x14:dataValidation type="list" allowBlank="1" showInputMessage="1" xr:uid="{9C5027AB-F585-4A63-8C3F-2654CE760CFF}">
          <x14:formula1>
            <xm:f>IF($J$6&amp;"_"&amp;$J$7="Escalation_Wise", ScenarioOptions, Sheet7!$Z$1)</xm:f>
          </x14:formula1>
          <xm:sqref>J9:T9</xm:sqref>
        </x14:dataValidation>
        <x14:dataValidation type="list" allowBlank="1" showInputMessage="1" showErrorMessage="1" xr:uid="{1743BB59-8485-4BDD-B762-95F371D54FB3}">
          <x14:formula1>
            <xm:f>IF($J$6="RFI", Sheet7!$Z$1, Program_Library!$A1:$A97)</xm:f>
          </x14:formula1>
          <xm:sqref>J8:T8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4582E-29E4-45F9-9E50-7339C0D030E7}">
  <sheetPr codeName="Sheet10">
    <tabColor theme="8" tint="0.39997558519241921"/>
  </sheetPr>
  <dimension ref="A1:Z37"/>
  <sheetViews>
    <sheetView zoomScale="70" zoomScaleNormal="70" workbookViewId="0">
      <pane ySplit="1" topLeftCell="A2" activePane="bottomLeft" state="frozen"/>
      <selection pane="bottomLeft" activeCell="C6" sqref="C6"/>
    </sheetView>
  </sheetViews>
  <sheetFormatPr defaultColWidth="0" defaultRowHeight="14.5" zeroHeight="1" x14ac:dyDescent="0.35"/>
  <cols>
    <col min="1" max="1" width="24" style="78" customWidth="1"/>
    <col min="2" max="2" width="34" style="78" customWidth="1"/>
    <col min="3" max="3" width="75" style="78" customWidth="1"/>
    <col min="4" max="4" width="48" style="78" customWidth="1"/>
    <col min="5" max="5" width="11.90625" style="78" customWidth="1"/>
    <col min="6" max="6" width="0.26953125" style="78" hidden="1" customWidth="1"/>
    <col min="7" max="7" width="1.08984375" style="78" hidden="1" customWidth="1"/>
    <col min="8" max="8" width="8.984375E-2" style="78" hidden="1" customWidth="1"/>
    <col min="9" max="10" width="14" style="78" hidden="1" customWidth="1"/>
    <col min="11" max="11" width="0.6328125" style="78" hidden="1" customWidth="1"/>
    <col min="12" max="14" width="14" style="78" hidden="1" customWidth="1"/>
    <col min="15" max="15" width="8.6328125" style="78" customWidth="1"/>
    <col min="16" max="19" width="8.6328125" style="78" hidden="1" customWidth="1"/>
    <col min="20" max="24" width="15.6328125" style="78" hidden="1" customWidth="1"/>
    <col min="25" max="25" width="16.1796875" style="78" hidden="1" customWidth="1"/>
    <col min="26" max="26" width="13.1796875" style="78" hidden="1" customWidth="1"/>
    <col min="27" max="16384" width="8.6328125" style="78" hidden="1"/>
  </cols>
  <sheetData>
    <row r="1" spans="1:14" ht="30" customHeight="1" x14ac:dyDescent="0.35">
      <c r="A1" s="95" t="s">
        <v>1290</v>
      </c>
      <c r="B1" s="96" t="s">
        <v>1291</v>
      </c>
      <c r="C1" s="96" t="s">
        <v>1299</v>
      </c>
      <c r="D1" s="96" t="s">
        <v>1292</v>
      </c>
      <c r="E1" s="97" t="s">
        <v>1300</v>
      </c>
      <c r="F1" s="98"/>
      <c r="G1" s="98"/>
      <c r="H1" s="98"/>
      <c r="I1" s="98"/>
      <c r="J1" s="98"/>
      <c r="K1" s="98"/>
      <c r="L1" s="98"/>
      <c r="M1" s="98"/>
      <c r="N1" s="98"/>
    </row>
    <row r="2" spans="1:14" ht="15" customHeight="1" x14ac:dyDescent="0.35">
      <c r="A2" s="99" t="str">
        <f>IF(Sheet1!$J$14="","Customer",Sheet1!$J$14&amp;" (Customer)")</f>
        <v>Tonik Sobczak, Zieba Sp.K. (Customer)</v>
      </c>
      <c r="B2" s="93" t="s">
        <v>1293</v>
      </c>
      <c r="C2" s="93" t="str">
        <f t="shared" ref="C2:C36" si="0">IF(L2="","",L2)</f>
        <v>https://www.google.com/search?q=Tonik+Sobczak,+Zieba+Sp.K.&amp;num=100&amp;hl=en</v>
      </c>
      <c r="D2" s="93" t="str">
        <f>IF(F2="","",Sheet1!$J$10&amp;"_"&amp;Sheet1!$J$11&amp;"_Customer_"&amp;N2&amp;"_Google.pdf")</f>
        <v>128504_ALERT2350097_Customer_1_Google.pdf</v>
      </c>
      <c r="E2" s="79" t="s">
        <v>1298</v>
      </c>
      <c r="F2" s="98" t="str">
        <f>IF(Sheet1!$J$14="","",Sheet1!$J$14)</f>
        <v>Tonik Sobczak, Zieba Sp.K.</v>
      </c>
      <c r="G2" s="98" t="str">
        <f t="shared" ref="G2:G36" si="1">IF(F2="","",SUBSTITUTE(F2,CHAR(34),"%22"))</f>
        <v>Tonik Sobczak, Zieba Sp.K.</v>
      </c>
      <c r="H2" s="98" t="str">
        <f t="shared" ref="H2:H36" si="2">IF(G2="","",SUBSTITUTE(G2,"&amp;","%26"))</f>
        <v>Tonik Sobczak, Zieba Sp.K.</v>
      </c>
      <c r="I2" s="98" t="str">
        <f t="shared" ref="I2:I36" si="3">IF(H2="","",SUBSTITUTE(H2,"(","%28"))</f>
        <v>Tonik Sobczak, Zieba Sp.K.</v>
      </c>
      <c r="J2" s="98" t="str">
        <f t="shared" ref="J2:J36" si="4">IF(I2="","",SUBSTITUTE(I2,")","%29"))</f>
        <v>Tonik Sobczak, Zieba Sp.K.</v>
      </c>
      <c r="K2" s="98" t="str">
        <f t="shared" ref="K2:K36" si="5">IF(J2="","",SUBSTITUTE(J2," ","+"))</f>
        <v>Tonik+Sobczak,+Zieba+Sp.K.</v>
      </c>
      <c r="L2" s="98" t="str">
        <f>IF(K2="","","https://www.google.com/search?q="&amp;K2&amp;"&amp;num=100&amp;hl=en")</f>
        <v>https://www.google.com/search?q=Tonik+Sobczak,+Zieba+Sp.K.&amp;num=100&amp;hl=en</v>
      </c>
      <c r="M2" s="98">
        <f t="shared" ref="M2:M36" si="6">IF(F2="",0,1)</f>
        <v>1</v>
      </c>
      <c r="N2" s="98">
        <f>SUM($M$2:M2)</f>
        <v>1</v>
      </c>
    </row>
    <row r="3" spans="1:14" ht="15" customHeight="1" x14ac:dyDescent="0.35">
      <c r="A3" s="100" t="str">
        <f>IF(Sheet1!$J$14="","Customer",Sheet1!$J$14&amp;" (Customer)")</f>
        <v>Tonik Sobczak, Zieba Sp.K. (Customer)</v>
      </c>
      <c r="B3" s="94" t="s">
        <v>1294</v>
      </c>
      <c r="C3" s="94" t="str">
        <f t="shared" si="0"/>
        <v>https://www.google.com/search?q=JANA+KOCHANOWSKIEGO+4+LOK.+4+POZNAN,+60-844,+Poland&amp;num=100&amp;hl=en</v>
      </c>
      <c r="D3" s="94" t="str">
        <f>IF(F3="","",Sheet1!$J$10&amp;"_"&amp;Sheet1!$J$11&amp;"_Customer_"&amp;N3&amp;"_Address.pdf")</f>
        <v>128504_ALERT2350097_Customer_2_Address.pdf</v>
      </c>
      <c r="E3" s="79" t="s">
        <v>1298</v>
      </c>
      <c r="F3" s="98" t="str">
        <f>IF(Sheet1!$J$15="","",Sheet1!$J$15)</f>
        <v>JANA KOCHANOWSKIEGO 4 LOK. 4 POZNAN, 60-844, Poland</v>
      </c>
      <c r="G3" s="98" t="str">
        <f t="shared" si="1"/>
        <v>JANA KOCHANOWSKIEGO 4 LOK. 4 POZNAN, 60-844, Poland</v>
      </c>
      <c r="H3" s="98" t="str">
        <f t="shared" si="2"/>
        <v>JANA KOCHANOWSKIEGO 4 LOK. 4 POZNAN, 60-844, Poland</v>
      </c>
      <c r="I3" s="98" t="str">
        <f t="shared" si="3"/>
        <v>JANA KOCHANOWSKIEGO 4 LOK. 4 POZNAN, 60-844, Poland</v>
      </c>
      <c r="J3" s="98" t="str">
        <f t="shared" si="4"/>
        <v>JANA KOCHANOWSKIEGO 4 LOK. 4 POZNAN, 60-844, Poland</v>
      </c>
      <c r="K3" s="98" t="str">
        <f t="shared" si="5"/>
        <v>JANA+KOCHANOWSKIEGO+4+LOK.+4+POZNAN,+60-844,+Poland</v>
      </c>
      <c r="L3" s="98" t="str">
        <f>IF(K3="","","https://www.google.com/search?q="&amp;K3&amp;"&amp;num=100&amp;hl=en")</f>
        <v>https://www.google.com/search?q=JANA+KOCHANOWSKIEGO+4+LOK.+4+POZNAN,+60-844,+Poland&amp;num=100&amp;hl=en</v>
      </c>
      <c r="M3" s="98">
        <f t="shared" si="6"/>
        <v>1</v>
      </c>
      <c r="N3" s="98">
        <f>SUM($M$2:M3)</f>
        <v>2</v>
      </c>
    </row>
    <row r="4" spans="1:14" ht="15" customHeight="1" x14ac:dyDescent="0.35">
      <c r="A4" s="99" t="str">
        <f>IF(Sheet1!$J$14="","Customer",Sheet1!$J$14&amp;" (Customer)")</f>
        <v>Tonik Sobczak, Zieba Sp.K. (Customer)</v>
      </c>
      <c r="B4" s="93" t="s">
        <v>1295</v>
      </c>
      <c r="C4" s="93" t="str">
        <f t="shared" si="0"/>
        <v>https://www.google.com/search?q=Tonik+Sobczak,+Zieba+Sp.K.+JANA+KOCHANOWSKIEGO+4+LOK.+4+POZNAN,+60-844,+Poland&amp;num=100&amp;hl=en</v>
      </c>
      <c r="D4" s="93" t="str">
        <f>IF(F4="","",Sheet1!$J$10&amp;"_"&amp;Sheet1!$J$11&amp;"_Customer_"&amp;N4&amp;"_Google+Address.pdf")</f>
        <v>128504_ALERT2350097_Customer_3_Google+Address.pdf</v>
      </c>
      <c r="E4" s="79" t="s">
        <v>1298</v>
      </c>
      <c r="F4" s="98" t="str">
        <f>IF(OR(Sheet1!$J$14="",Sheet1!$J$15=""),"",Sheet1!$J$14&amp;" "&amp;Sheet1!$J$15)</f>
        <v>Tonik Sobczak, Zieba Sp.K. JANA KOCHANOWSKIEGO 4 LOK. 4 POZNAN, 60-844, Poland</v>
      </c>
      <c r="G4" s="98" t="str">
        <f t="shared" si="1"/>
        <v>Tonik Sobczak, Zieba Sp.K. JANA KOCHANOWSKIEGO 4 LOK. 4 POZNAN, 60-844, Poland</v>
      </c>
      <c r="H4" s="98" t="str">
        <f t="shared" si="2"/>
        <v>Tonik Sobczak, Zieba Sp.K. JANA KOCHANOWSKIEGO 4 LOK. 4 POZNAN, 60-844, Poland</v>
      </c>
      <c r="I4" s="98" t="str">
        <f t="shared" si="3"/>
        <v>Tonik Sobczak, Zieba Sp.K. JANA KOCHANOWSKIEGO 4 LOK. 4 POZNAN, 60-844, Poland</v>
      </c>
      <c r="J4" s="98" t="str">
        <f t="shared" si="4"/>
        <v>Tonik Sobczak, Zieba Sp.K. JANA KOCHANOWSKIEGO 4 LOK. 4 POZNAN, 60-844, Poland</v>
      </c>
      <c r="K4" s="98" t="str">
        <f t="shared" si="5"/>
        <v>Tonik+Sobczak,+Zieba+Sp.K.+JANA+KOCHANOWSKIEGO+4+LOK.+4+POZNAN,+60-844,+Poland</v>
      </c>
      <c r="L4" s="98" t="str">
        <f>IF(K4="","","https://www.google.com/search?q="&amp;K4&amp;"&amp;num=100&amp;hl=en")</f>
        <v>https://www.google.com/search?q=Tonik+Sobczak,+Zieba+Sp.K.+JANA+KOCHANOWSKIEGO+4+LOK.+4+POZNAN,+60-844,+Poland&amp;num=100&amp;hl=en</v>
      </c>
      <c r="M4" s="98">
        <f t="shared" si="6"/>
        <v>1</v>
      </c>
      <c r="N4" s="98">
        <f>SUM($M$2:M4)</f>
        <v>3</v>
      </c>
    </row>
    <row r="5" spans="1:14" ht="15" customHeight="1" x14ac:dyDescent="0.35">
      <c r="A5" s="100" t="str">
        <f>IF(Sheet1!$J$14="","Customer",Sheet1!$J$14&amp;" (Customer)")</f>
        <v>Tonik Sobczak, Zieba Sp.K. (Customer)</v>
      </c>
      <c r="B5" s="94" t="s">
        <v>1296</v>
      </c>
      <c r="C5" s="94" t="str">
        <f t="shared" si="0"/>
        <v>https://www.google.com/search?q=%22Tonik+Sobczak,+Zieba+Sp.K.%22+AND+%28arrest+OR+corruption+OR+sentencing+OR+money+laundering+OR+AML+OR+launder+OR+embezzle+OR+evas+OR+evad+OR+crime+OR+corrupt+OR+bribe+OR+theft+OR+extort+OR+drug+OR+traffic+OR+trafficking+OR+felony+OR+sanction+OR+counterfeit+OR+terror%29&amp;num=100&amp;hl=en</v>
      </c>
      <c r="D5" s="94" t="str">
        <f>IF(F5="","",Sheet1!$J$10&amp;"_"&amp;Sheet1!$J$11&amp;"_Customer_"&amp;N5&amp;"_Negative News 1.pdf")</f>
        <v>128504_ALERT2350097_Customer_4_Negative News 1.pdf</v>
      </c>
      <c r="E5" s="79" t="s">
        <v>1298</v>
      </c>
      <c r="F5" s="98" t="str">
        <f>IF(Sheet1!$J$14="","",CHAR(34)&amp;Sheet1!$J$14&amp;CHAR(34)&amp;" AND (arrest OR corruption OR sentencing OR money laundering OR AML OR launder OR embezzle OR evas OR evad OR crime OR corrupt OR bribe OR theft OR extort OR drug OR traffic OR trafficking OR felony OR sanction OR counterfeit OR terror)")</f>
        <v>"Tonik Sobczak, Zieba Sp.K." AND (arrest OR corruption OR sentencing OR money laundering OR AML OR launder OR embezzle OR evas OR evad OR crime OR corrupt OR bribe OR theft OR extort OR drug OR traffic OR trafficking OR felony OR sanction OR counterfeit OR terror)</v>
      </c>
      <c r="G5" s="98" t="str">
        <f t="shared" si="1"/>
        <v>%22Tonik Sobczak, Zieba Sp.K.%22 AND (arrest OR corruption OR sentencing OR money laundering OR AML OR launder OR embezzle OR evas OR evad OR crime OR corrupt OR bribe OR theft OR extort OR drug OR traffic OR trafficking OR felony OR sanction OR counterfeit OR terror)</v>
      </c>
      <c r="H5" s="98" t="str">
        <f t="shared" si="2"/>
        <v>%22Tonik Sobczak, Zieba Sp.K.%22 AND (arrest OR corruption OR sentencing OR money laundering OR AML OR launder OR embezzle OR evas OR evad OR crime OR corrupt OR bribe OR theft OR extort OR drug OR traffic OR trafficking OR felony OR sanction OR counterfeit OR terror)</v>
      </c>
      <c r="I5" s="98" t="str">
        <f t="shared" si="3"/>
        <v>%22Tonik Sobczak, Zieba Sp.K.%22 AND %28arrest OR corruption OR sentencing OR money laundering OR AML OR launder OR embezzle OR evas OR evad OR crime OR corrupt OR bribe OR theft OR extort OR drug OR traffic OR trafficking OR felony OR sanction OR counterfeit OR terror)</v>
      </c>
      <c r="J5" s="98" t="str">
        <f t="shared" si="4"/>
        <v>%22Tonik Sobczak, Zieba Sp.K.%22 AND %28arrest OR corruption OR sentencing OR money laundering OR AML OR launder OR embezzle OR evas OR evad OR crime OR corrupt OR bribe OR theft OR extort OR drug OR traffic OR trafficking OR felony OR sanction OR counterfeit OR terror%29</v>
      </c>
      <c r="K5" s="98" t="str">
        <f t="shared" si="5"/>
        <v>%22Tonik+Sobczak,+Zieba+Sp.K.%22+AND+%28arrest+OR+corruption+OR+sentencing+OR+money+laundering+OR+AML+OR+launder+OR+embezzle+OR+evas+OR+evad+OR+crime+OR+corrupt+OR+bribe+OR+theft+OR+extort+OR+drug+OR+traffic+OR+trafficking+OR+felony+OR+sanction+OR+counterfeit+OR+terror%29</v>
      </c>
      <c r="L5" s="98" t="str">
        <f>IF(K5="","","https://www.google.com/search?q="&amp;K5&amp;"&amp;num=100&amp;hl=en")</f>
        <v>https://www.google.com/search?q=%22Tonik+Sobczak,+Zieba+Sp.K.%22+AND+%28arrest+OR+corruption+OR+sentencing+OR+money+laundering+OR+AML+OR+launder+OR+embezzle+OR+evas+OR+evad+OR+crime+OR+corrupt+OR+bribe+OR+theft+OR+extort+OR+drug+OR+traffic+OR+trafficking+OR+felony+OR+sanction+OR+counterfeit+OR+terror%29&amp;num=100&amp;hl=en</v>
      </c>
      <c r="M5" s="98">
        <f t="shared" si="6"/>
        <v>1</v>
      </c>
      <c r="N5" s="98">
        <f>SUM($M$2:M5)</f>
        <v>4</v>
      </c>
    </row>
    <row r="6" spans="1:14" ht="15" customHeight="1" x14ac:dyDescent="0.35">
      <c r="A6" s="99" t="str">
        <f>IF(Sheet1!$J$14="","Customer",Sheet1!$J$14&amp;" (Customer)")</f>
        <v>Tonik Sobczak, Zieba Sp.K. (Customer)</v>
      </c>
      <c r="B6" s="93" t="s">
        <v>1297</v>
      </c>
      <c r="C6" s="93" t="str">
        <f t="shared" si="0"/>
        <v>https://www.google.com/search?q=%22Tonik+Sobczak,+Zieba+Sp.K.%22+AND+%28arrest+OR+corruption+OR+sentencing+OR+money+laundering+OR+AML+OR+launder+OR+embezzle+OR+evas+OR+evad+OR+crime+OR+corrupt+OR+bribe+OR+theft+OR+extort+OR+drug+OR+traffic+OR+trafficking+OR+felony+OR+sanction+OR+counterfeit+OR+terror%29&amp;num=100&amp;hl=en&amp;start=100</v>
      </c>
      <c r="D6" s="93" t="str">
        <f>IF(F6="","",Sheet1!$J$10&amp;"_"&amp;Sheet1!$J$11&amp;"_Customer_"&amp;N6&amp;"_Negative News 2.pdf")</f>
        <v>128504_ALERT2350097_Customer_5_Negative News 2.pdf</v>
      </c>
      <c r="E6" s="79" t="s">
        <v>1298</v>
      </c>
      <c r="F6" s="98" t="str">
        <f>IF(Sheet1!$J$14="","",CHAR(34)&amp;Sheet1!$J$14&amp;CHAR(34)&amp;" AND (arrest OR corruption OR sentencing OR money laundering OR AML OR launder OR embezzle OR evas OR evad OR crime OR corrupt OR bribe OR theft OR extort OR drug OR traffic OR trafficking OR felony OR sanction OR counterfeit OR terror)")</f>
        <v>"Tonik Sobczak, Zieba Sp.K." AND (arrest OR corruption OR sentencing OR money laundering OR AML OR launder OR embezzle OR evas OR evad OR crime OR corrupt OR bribe OR theft OR extort OR drug OR traffic OR trafficking OR felony OR sanction OR counterfeit OR terror)</v>
      </c>
      <c r="G6" s="98" t="str">
        <f t="shared" si="1"/>
        <v>%22Tonik Sobczak, Zieba Sp.K.%22 AND (arrest OR corruption OR sentencing OR money laundering OR AML OR launder OR embezzle OR evas OR evad OR crime OR corrupt OR bribe OR theft OR extort OR drug OR traffic OR trafficking OR felony OR sanction OR counterfeit OR terror)</v>
      </c>
      <c r="H6" s="98" t="str">
        <f t="shared" si="2"/>
        <v>%22Tonik Sobczak, Zieba Sp.K.%22 AND (arrest OR corruption OR sentencing OR money laundering OR AML OR launder OR embezzle OR evas OR evad OR crime OR corrupt OR bribe OR theft OR extort OR drug OR traffic OR trafficking OR felony OR sanction OR counterfeit OR terror)</v>
      </c>
      <c r="I6" s="98" t="str">
        <f t="shared" si="3"/>
        <v>%22Tonik Sobczak, Zieba Sp.K.%22 AND %28arrest OR corruption OR sentencing OR money laundering OR AML OR launder OR embezzle OR evas OR evad OR crime OR corrupt OR bribe OR theft OR extort OR drug OR traffic OR trafficking OR felony OR sanction OR counterfeit OR terror)</v>
      </c>
      <c r="J6" s="98" t="str">
        <f t="shared" si="4"/>
        <v>%22Tonik Sobczak, Zieba Sp.K.%22 AND %28arrest OR corruption OR sentencing OR money laundering OR AML OR launder OR embezzle OR evas OR evad OR crime OR corrupt OR bribe OR theft OR extort OR drug OR traffic OR trafficking OR felony OR sanction OR counterfeit OR terror%29</v>
      </c>
      <c r="K6" s="98" t="str">
        <f t="shared" si="5"/>
        <v>%22Tonik+Sobczak,+Zieba+Sp.K.%22+AND+%28arrest+OR+corruption+OR+sentencing+OR+money+laundering+OR+AML+OR+launder+OR+embezzle+OR+evas+OR+evad+OR+crime+OR+corrupt+OR+bribe+OR+theft+OR+extort+OR+drug+OR+traffic+OR+trafficking+OR+felony+OR+sanction+OR+counterfeit+OR+terror%29</v>
      </c>
      <c r="L6" s="98" t="str">
        <f>IF(K6="","","https://www.google.com/search?q="&amp;K6&amp;"&amp;num=100&amp;hl=en&amp;start=100")</f>
        <v>https://www.google.com/search?q=%22Tonik+Sobczak,+Zieba+Sp.K.%22+AND+%28arrest+OR+corruption+OR+sentencing+OR+money+laundering+OR+AML+OR+launder+OR+embezzle+OR+evas+OR+evad+OR+crime+OR+corrupt+OR+bribe+OR+theft+OR+extort+OR+drug+OR+traffic+OR+trafficking+OR+felony+OR+sanction+OR+counterfeit+OR+terror%29&amp;num=100&amp;hl=en&amp;start=100</v>
      </c>
      <c r="M6" s="98">
        <f t="shared" si="6"/>
        <v>1</v>
      </c>
      <c r="N6" s="98">
        <f>SUM($M$2:M6)</f>
        <v>5</v>
      </c>
    </row>
    <row r="7" spans="1:14" ht="15" customHeight="1" x14ac:dyDescent="0.35">
      <c r="A7" s="100" t="str">
        <f>IF(Sheet1!$J$19="","Counterparty 1",Sheet1!$J$19&amp;" (CP1)")</f>
        <v>Counterparty 1</v>
      </c>
      <c r="B7" s="94" t="s">
        <v>1293</v>
      </c>
      <c r="C7" s="94" t="str">
        <f t="shared" si="0"/>
        <v/>
      </c>
      <c r="D7" s="94" t="str">
        <f>IF(F7="","",Sheet1!$J$10&amp;"_"&amp;Sheet1!$J$11&amp;"_CP1_"&amp;N7&amp;"_Google.pdf")</f>
        <v/>
      </c>
      <c r="E7" s="79"/>
      <c r="F7" s="98" t="str">
        <f>IF(Sheet1!$J$19="","",Sheet1!$J$19)</f>
        <v/>
      </c>
      <c r="G7" s="98" t="str">
        <f t="shared" si="1"/>
        <v/>
      </c>
      <c r="H7" s="98" t="str">
        <f t="shared" si="2"/>
        <v/>
      </c>
      <c r="I7" s="98" t="str">
        <f t="shared" si="3"/>
        <v/>
      </c>
      <c r="J7" s="98" t="str">
        <f t="shared" si="4"/>
        <v/>
      </c>
      <c r="K7" s="98" t="str">
        <f t="shared" si="5"/>
        <v/>
      </c>
      <c r="L7" s="98" t="str">
        <f>IF(K7="","","https://www.google.com/search?q="&amp;K7&amp;"&amp;num=100&amp;hl=en")</f>
        <v/>
      </c>
      <c r="M7" s="98">
        <f t="shared" si="6"/>
        <v>0</v>
      </c>
      <c r="N7" s="98">
        <f>SUM($M$7:M7)</f>
        <v>0</v>
      </c>
    </row>
    <row r="8" spans="1:14" ht="15" customHeight="1" x14ac:dyDescent="0.35">
      <c r="A8" s="99" t="str">
        <f>IF(Sheet1!$J$19="","Counterparty 1",Sheet1!$J$19&amp;" (CP1)")</f>
        <v>Counterparty 1</v>
      </c>
      <c r="B8" s="93" t="s">
        <v>1294</v>
      </c>
      <c r="C8" s="93" t="str">
        <f t="shared" si="0"/>
        <v/>
      </c>
      <c r="D8" s="93" t="str">
        <f>IF(F8="","",Sheet1!$J$10&amp;"_"&amp;Sheet1!$J$11&amp;"_CP1_"&amp;N8&amp;"_Address.pdf")</f>
        <v/>
      </c>
      <c r="E8" s="79"/>
      <c r="F8" s="98" t="str">
        <f>IF(Sheet1!$T$19="","",Sheet1!$T$19)</f>
        <v/>
      </c>
      <c r="G8" s="98" t="str">
        <f t="shared" si="1"/>
        <v/>
      </c>
      <c r="H8" s="98" t="str">
        <f t="shared" si="2"/>
        <v/>
      </c>
      <c r="I8" s="98" t="str">
        <f t="shared" si="3"/>
        <v/>
      </c>
      <c r="J8" s="98" t="str">
        <f t="shared" si="4"/>
        <v/>
      </c>
      <c r="K8" s="98" t="str">
        <f t="shared" si="5"/>
        <v/>
      </c>
      <c r="L8" s="98" t="str">
        <f>IF(K8="","","https://www.google.com/search?q="&amp;K8&amp;"&amp;num=100&amp;hl=en")</f>
        <v/>
      </c>
      <c r="M8" s="98">
        <f t="shared" si="6"/>
        <v>0</v>
      </c>
      <c r="N8" s="98">
        <f>SUM($M$7:M8)</f>
        <v>0</v>
      </c>
    </row>
    <row r="9" spans="1:14" ht="15" customHeight="1" x14ac:dyDescent="0.35">
      <c r="A9" s="100" t="str">
        <f>IF(Sheet1!$J$19="","Counterparty 1",Sheet1!$J$19&amp;" (CP1)")</f>
        <v>Counterparty 1</v>
      </c>
      <c r="B9" s="94" t="s">
        <v>1295</v>
      </c>
      <c r="C9" s="94" t="str">
        <f t="shared" si="0"/>
        <v/>
      </c>
      <c r="D9" s="94" t="str">
        <f>IF(F9="","",Sheet1!$J$10&amp;"_"&amp;Sheet1!$J$11&amp;"_CP1_"&amp;N9&amp;"_Google+Address.pdf")</f>
        <v/>
      </c>
      <c r="E9" s="79"/>
      <c r="F9" s="98" t="str">
        <f>IF(OR(Sheet1!$J$19="",Sheet1!$T$19=""),"",Sheet1!$J$19&amp;" "&amp;Sheet1!$T$19)</f>
        <v/>
      </c>
      <c r="G9" s="98" t="str">
        <f t="shared" si="1"/>
        <v/>
      </c>
      <c r="H9" s="98" t="str">
        <f t="shared" si="2"/>
        <v/>
      </c>
      <c r="I9" s="98" t="str">
        <f t="shared" si="3"/>
        <v/>
      </c>
      <c r="J9" s="98" t="str">
        <f t="shared" si="4"/>
        <v/>
      </c>
      <c r="K9" s="98" t="str">
        <f t="shared" si="5"/>
        <v/>
      </c>
      <c r="L9" s="98" t="str">
        <f>IF(K9="","","https://www.google.com/search?q="&amp;K9&amp;"&amp;num=100&amp;hl=en")</f>
        <v/>
      </c>
      <c r="M9" s="98">
        <f t="shared" si="6"/>
        <v>0</v>
      </c>
      <c r="N9" s="98">
        <f>SUM($M$7:M9)</f>
        <v>0</v>
      </c>
    </row>
    <row r="10" spans="1:14" ht="15" customHeight="1" x14ac:dyDescent="0.35">
      <c r="A10" s="99" t="str">
        <f>IF(Sheet1!$J$19="","Counterparty 1",Sheet1!$J$19&amp;" (CP1)")</f>
        <v>Counterparty 1</v>
      </c>
      <c r="B10" s="93" t="s">
        <v>1296</v>
      </c>
      <c r="C10" s="93" t="str">
        <f t="shared" si="0"/>
        <v/>
      </c>
      <c r="D10" s="93" t="str">
        <f>IF(F10="","",Sheet1!$J$10&amp;"_"&amp;Sheet1!$J$11&amp;"_CP1_"&amp;N10&amp;"_Negative News 1.pdf")</f>
        <v/>
      </c>
      <c r="E10" s="79"/>
      <c r="F10" s="98"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0" s="98" t="str">
        <f t="shared" si="1"/>
        <v/>
      </c>
      <c r="H10" s="98" t="str">
        <f t="shared" si="2"/>
        <v/>
      </c>
      <c r="I10" s="98" t="str">
        <f t="shared" si="3"/>
        <v/>
      </c>
      <c r="J10" s="98" t="str">
        <f t="shared" si="4"/>
        <v/>
      </c>
      <c r="K10" s="98" t="str">
        <f t="shared" si="5"/>
        <v/>
      </c>
      <c r="L10" s="98" t="str">
        <f>IF(K10="","","https://www.google.com/search?q="&amp;K10&amp;"&amp;num=100&amp;hl=en")</f>
        <v/>
      </c>
      <c r="M10" s="98">
        <f t="shared" si="6"/>
        <v>0</v>
      </c>
      <c r="N10" s="98">
        <f>SUM($M$7:M10)</f>
        <v>0</v>
      </c>
    </row>
    <row r="11" spans="1:14" ht="15" customHeight="1" x14ac:dyDescent="0.35">
      <c r="A11" s="100" t="str">
        <f>IF(Sheet1!$J$19="","Counterparty 1",Sheet1!$J$19&amp;" (CP1)")</f>
        <v>Counterparty 1</v>
      </c>
      <c r="B11" s="94" t="s">
        <v>1297</v>
      </c>
      <c r="C11" s="94" t="str">
        <f t="shared" si="0"/>
        <v/>
      </c>
      <c r="D11" s="94" t="str">
        <f>IF(F11="","",Sheet1!$J$10&amp;"_"&amp;Sheet1!$J$11&amp;"_CP1_"&amp;N11&amp;"_Negative News 2.pdf")</f>
        <v/>
      </c>
      <c r="E11" s="79"/>
      <c r="F11" s="98"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1" s="98" t="str">
        <f t="shared" si="1"/>
        <v/>
      </c>
      <c r="H11" s="98" t="str">
        <f t="shared" si="2"/>
        <v/>
      </c>
      <c r="I11" s="98" t="str">
        <f t="shared" si="3"/>
        <v/>
      </c>
      <c r="J11" s="98" t="str">
        <f t="shared" si="4"/>
        <v/>
      </c>
      <c r="K11" s="98" t="str">
        <f t="shared" si="5"/>
        <v/>
      </c>
      <c r="L11" s="98" t="str">
        <f>IF(K11="","","https://www.google.com/search?q="&amp;K11&amp;"&amp;num=100&amp;hl=en&amp;start=100")</f>
        <v/>
      </c>
      <c r="M11" s="98">
        <f t="shared" si="6"/>
        <v>0</v>
      </c>
      <c r="N11" s="98">
        <f>SUM($M$7:M11)</f>
        <v>0</v>
      </c>
    </row>
    <row r="12" spans="1:14" ht="15" customHeight="1" x14ac:dyDescent="0.35">
      <c r="A12" s="99" t="str">
        <f>IF(Sheet1!$J$20="","Counterparty 2",Sheet1!$J$20&amp;" (CP2)")</f>
        <v>Counterparty 2</v>
      </c>
      <c r="B12" s="93" t="s">
        <v>1293</v>
      </c>
      <c r="C12" s="93" t="str">
        <f t="shared" si="0"/>
        <v/>
      </c>
      <c r="D12" s="93" t="str">
        <f>IF(F12="","",Sheet1!$J$10&amp;"_"&amp;Sheet1!$J$11&amp;"_CP2_"&amp;N12&amp;"_Google.pdf")</f>
        <v/>
      </c>
      <c r="E12" s="79"/>
      <c r="F12" s="98" t="str">
        <f>IF(Sheet1!$J$20="","",Sheet1!$J$20)</f>
        <v/>
      </c>
      <c r="G12" s="98" t="str">
        <f t="shared" si="1"/>
        <v/>
      </c>
      <c r="H12" s="98" t="str">
        <f t="shared" si="2"/>
        <v/>
      </c>
      <c r="I12" s="98" t="str">
        <f t="shared" si="3"/>
        <v/>
      </c>
      <c r="J12" s="98" t="str">
        <f t="shared" si="4"/>
        <v/>
      </c>
      <c r="K12" s="98" t="str">
        <f t="shared" si="5"/>
        <v/>
      </c>
      <c r="L12" s="98" t="str">
        <f>IF(K12="","","https://www.google.com/search?q="&amp;K12&amp;"&amp;num=100&amp;hl=en")</f>
        <v/>
      </c>
      <c r="M12" s="98">
        <f t="shared" si="6"/>
        <v>0</v>
      </c>
      <c r="N12" s="98">
        <f>SUM($M$12:M12)</f>
        <v>0</v>
      </c>
    </row>
    <row r="13" spans="1:14" ht="15" customHeight="1" x14ac:dyDescent="0.35">
      <c r="A13" s="100" t="str">
        <f>IF(Sheet1!$J$20="","Counterparty 2",Sheet1!$J$20&amp;" (CP2)")</f>
        <v>Counterparty 2</v>
      </c>
      <c r="B13" s="94" t="s">
        <v>1294</v>
      </c>
      <c r="C13" s="94" t="str">
        <f t="shared" si="0"/>
        <v/>
      </c>
      <c r="D13" s="94" t="str">
        <f>IF(F13="","",Sheet1!$J$10&amp;"_"&amp;Sheet1!$J$11&amp;"_CP2_"&amp;N13&amp;"_Address.pdf")</f>
        <v/>
      </c>
      <c r="E13" s="79"/>
      <c r="F13" s="98" t="str">
        <f>IF(Sheet1!$T$20="","",Sheet1!$T$20)</f>
        <v/>
      </c>
      <c r="G13" s="98" t="str">
        <f t="shared" si="1"/>
        <v/>
      </c>
      <c r="H13" s="98" t="str">
        <f t="shared" si="2"/>
        <v/>
      </c>
      <c r="I13" s="98" t="str">
        <f t="shared" si="3"/>
        <v/>
      </c>
      <c r="J13" s="98" t="str">
        <f t="shared" si="4"/>
        <v/>
      </c>
      <c r="K13" s="98" t="str">
        <f t="shared" si="5"/>
        <v/>
      </c>
      <c r="L13" s="98" t="str">
        <f>IF(K13="","","https://www.google.com/search?q="&amp;K13&amp;"&amp;num=100&amp;hl=en")</f>
        <v/>
      </c>
      <c r="M13" s="98">
        <f t="shared" si="6"/>
        <v>0</v>
      </c>
      <c r="N13" s="98">
        <f>SUM($M$12:M13)</f>
        <v>0</v>
      </c>
    </row>
    <row r="14" spans="1:14" ht="15" customHeight="1" x14ac:dyDescent="0.35">
      <c r="A14" s="99" t="str">
        <f>IF(Sheet1!$J$20="","Counterparty 2",Sheet1!$J$20&amp;" (CP2)")</f>
        <v>Counterparty 2</v>
      </c>
      <c r="B14" s="93" t="s">
        <v>1295</v>
      </c>
      <c r="C14" s="93" t="str">
        <f t="shared" si="0"/>
        <v/>
      </c>
      <c r="D14" s="93" t="str">
        <f>IF(F14="","",Sheet1!$J$10&amp;"_"&amp;Sheet1!$J$11&amp;"_CP2_"&amp;N14&amp;"_Google+Address.pdf")</f>
        <v/>
      </c>
      <c r="E14" s="79"/>
      <c r="F14" s="98" t="str">
        <f>IF(OR(Sheet1!$J$20="",Sheet1!$T$20=""),"",Sheet1!$J$20&amp;" "&amp;Sheet1!$T$20)</f>
        <v/>
      </c>
      <c r="G14" s="98" t="str">
        <f t="shared" si="1"/>
        <v/>
      </c>
      <c r="H14" s="98" t="str">
        <f t="shared" si="2"/>
        <v/>
      </c>
      <c r="I14" s="98" t="str">
        <f t="shared" si="3"/>
        <v/>
      </c>
      <c r="J14" s="98" t="str">
        <f t="shared" si="4"/>
        <v/>
      </c>
      <c r="K14" s="98" t="str">
        <f t="shared" si="5"/>
        <v/>
      </c>
      <c r="L14" s="98" t="str">
        <f>IF(K14="","","https://www.google.com/search?q="&amp;K14&amp;"&amp;num=100&amp;hl=en")</f>
        <v/>
      </c>
      <c r="M14" s="98">
        <f t="shared" si="6"/>
        <v>0</v>
      </c>
      <c r="N14" s="98">
        <f>SUM($M$12:M14)</f>
        <v>0</v>
      </c>
    </row>
    <row r="15" spans="1:14" ht="15" customHeight="1" x14ac:dyDescent="0.35">
      <c r="A15" s="100" t="str">
        <f>IF(Sheet1!$J$20="","Counterparty 2",Sheet1!$J$20&amp;" (CP2)")</f>
        <v>Counterparty 2</v>
      </c>
      <c r="B15" s="94" t="s">
        <v>1296</v>
      </c>
      <c r="C15" s="94" t="str">
        <f t="shared" si="0"/>
        <v/>
      </c>
      <c r="D15" s="94" t="str">
        <f>IF(F15="","",Sheet1!$J$10&amp;"_"&amp;Sheet1!$J$11&amp;"_CP2_"&amp;N15&amp;"_Negative News 1.pdf")</f>
        <v/>
      </c>
      <c r="E15" s="79"/>
      <c r="F15" s="98"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5" s="98" t="str">
        <f t="shared" si="1"/>
        <v/>
      </c>
      <c r="H15" s="98" t="str">
        <f t="shared" si="2"/>
        <v/>
      </c>
      <c r="I15" s="98" t="str">
        <f t="shared" si="3"/>
        <v/>
      </c>
      <c r="J15" s="98" t="str">
        <f t="shared" si="4"/>
        <v/>
      </c>
      <c r="K15" s="98" t="str">
        <f t="shared" si="5"/>
        <v/>
      </c>
      <c r="L15" s="98" t="str">
        <f>IF(K15="","","https://www.google.com/search?q="&amp;K15&amp;"&amp;num=100&amp;hl=en")</f>
        <v/>
      </c>
      <c r="M15" s="98">
        <f t="shared" si="6"/>
        <v>0</v>
      </c>
      <c r="N15" s="98">
        <f>SUM($M$12:M15)</f>
        <v>0</v>
      </c>
    </row>
    <row r="16" spans="1:14" ht="15" customHeight="1" x14ac:dyDescent="0.35">
      <c r="A16" s="99" t="str">
        <f>IF(Sheet1!$J$20="","Counterparty 2",Sheet1!$J$20&amp;" (CP2)")</f>
        <v>Counterparty 2</v>
      </c>
      <c r="B16" s="93" t="s">
        <v>1297</v>
      </c>
      <c r="C16" s="93" t="str">
        <f t="shared" si="0"/>
        <v/>
      </c>
      <c r="D16" s="93" t="str">
        <f>IF(F16="","",Sheet1!$J$10&amp;"_"&amp;Sheet1!$J$11&amp;"_CP2_"&amp;N16&amp;"_Negative News 2.pdf")</f>
        <v/>
      </c>
      <c r="E16" s="79"/>
      <c r="F16" s="98"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6" s="98" t="str">
        <f t="shared" si="1"/>
        <v/>
      </c>
      <c r="H16" s="98" t="str">
        <f t="shared" si="2"/>
        <v/>
      </c>
      <c r="I16" s="98" t="str">
        <f t="shared" si="3"/>
        <v/>
      </c>
      <c r="J16" s="98" t="str">
        <f t="shared" si="4"/>
        <v/>
      </c>
      <c r="K16" s="98" t="str">
        <f t="shared" si="5"/>
        <v/>
      </c>
      <c r="L16" s="98" t="str">
        <f>IF(K16="","","https://www.google.com/search?q="&amp;K16&amp;"&amp;num=100&amp;hl=en&amp;start=100")</f>
        <v/>
      </c>
      <c r="M16" s="98">
        <f t="shared" si="6"/>
        <v>0</v>
      </c>
      <c r="N16" s="98">
        <f>SUM($M$12:M16)</f>
        <v>0</v>
      </c>
    </row>
    <row r="17" spans="1:14" ht="15" customHeight="1" x14ac:dyDescent="0.35">
      <c r="A17" s="100" t="str">
        <f>IF(Sheet1!$J$21="","Counterparty 3",Sheet1!$J$21&amp;" (CP3)")</f>
        <v>Counterparty 3</v>
      </c>
      <c r="B17" s="94" t="s">
        <v>1293</v>
      </c>
      <c r="C17" s="94" t="str">
        <f t="shared" si="0"/>
        <v/>
      </c>
      <c r="D17" s="94" t="str">
        <f>IF(F17="","",Sheet1!$J$10&amp;"_"&amp;Sheet1!$J$11&amp;"_CP3_"&amp;N17&amp;"_Google.pdf")</f>
        <v/>
      </c>
      <c r="E17" s="79"/>
      <c r="F17" s="98" t="str">
        <f>IF(Sheet1!$J$21="","",Sheet1!$J$21)</f>
        <v/>
      </c>
      <c r="G17" s="98" t="str">
        <f t="shared" si="1"/>
        <v/>
      </c>
      <c r="H17" s="98" t="str">
        <f t="shared" si="2"/>
        <v/>
      </c>
      <c r="I17" s="98" t="str">
        <f t="shared" si="3"/>
        <v/>
      </c>
      <c r="J17" s="98" t="str">
        <f t="shared" si="4"/>
        <v/>
      </c>
      <c r="K17" s="98" t="str">
        <f t="shared" si="5"/>
        <v/>
      </c>
      <c r="L17" s="98" t="str">
        <f>IF(K17="","","https://www.google.com/search?q="&amp;K17&amp;"&amp;num=100&amp;hl=en")</f>
        <v/>
      </c>
      <c r="M17" s="98">
        <f t="shared" si="6"/>
        <v>0</v>
      </c>
      <c r="N17" s="98">
        <f>SUM($M$17:M17)</f>
        <v>0</v>
      </c>
    </row>
    <row r="18" spans="1:14" ht="15" customHeight="1" x14ac:dyDescent="0.35">
      <c r="A18" s="99" t="str">
        <f>IF(Sheet1!$J$21="","Counterparty 3",Sheet1!$J$21&amp;" (CP3)")</f>
        <v>Counterparty 3</v>
      </c>
      <c r="B18" s="93" t="s">
        <v>1294</v>
      </c>
      <c r="C18" s="93" t="str">
        <f t="shared" si="0"/>
        <v/>
      </c>
      <c r="D18" s="93" t="str">
        <f>IF(F18="","",Sheet1!$J$10&amp;"_"&amp;Sheet1!$J$11&amp;"_CP3_"&amp;N18&amp;"_Address.pdf")</f>
        <v/>
      </c>
      <c r="E18" s="79"/>
      <c r="F18" s="98" t="str">
        <f>IF(Sheet1!$T$21="","",Sheet1!$T$21)</f>
        <v/>
      </c>
      <c r="G18" s="98" t="str">
        <f t="shared" si="1"/>
        <v/>
      </c>
      <c r="H18" s="98" t="str">
        <f t="shared" si="2"/>
        <v/>
      </c>
      <c r="I18" s="98" t="str">
        <f t="shared" si="3"/>
        <v/>
      </c>
      <c r="J18" s="98" t="str">
        <f t="shared" si="4"/>
        <v/>
      </c>
      <c r="K18" s="98" t="str">
        <f t="shared" si="5"/>
        <v/>
      </c>
      <c r="L18" s="98" t="str">
        <f>IF(K18="","","https://www.google.com/search?q="&amp;K18&amp;"&amp;num=100&amp;hl=en")</f>
        <v/>
      </c>
      <c r="M18" s="98">
        <f t="shared" si="6"/>
        <v>0</v>
      </c>
      <c r="N18" s="98">
        <f>SUM($M$17:M18)</f>
        <v>0</v>
      </c>
    </row>
    <row r="19" spans="1:14" ht="15" customHeight="1" x14ac:dyDescent="0.35">
      <c r="A19" s="100" t="str">
        <f>IF(Sheet1!$J$21="","Counterparty 3",Sheet1!$J$21&amp;" (CP3)")</f>
        <v>Counterparty 3</v>
      </c>
      <c r="B19" s="94" t="s">
        <v>1295</v>
      </c>
      <c r="C19" s="94" t="str">
        <f t="shared" si="0"/>
        <v/>
      </c>
      <c r="D19" s="94" t="str">
        <f>IF(F19="","",Sheet1!$J$10&amp;"_"&amp;Sheet1!$J$11&amp;"_CP3_"&amp;N19&amp;"_Google+Address.pdf")</f>
        <v/>
      </c>
      <c r="E19" s="79"/>
      <c r="F19" s="98" t="str">
        <f>IF(OR(Sheet1!$J$21="",Sheet1!$T$21=""),"",Sheet1!$J$21&amp;" "&amp;Sheet1!$T$21)</f>
        <v/>
      </c>
      <c r="G19" s="98" t="str">
        <f t="shared" si="1"/>
        <v/>
      </c>
      <c r="H19" s="98" t="str">
        <f t="shared" si="2"/>
        <v/>
      </c>
      <c r="I19" s="98" t="str">
        <f t="shared" si="3"/>
        <v/>
      </c>
      <c r="J19" s="98" t="str">
        <f t="shared" si="4"/>
        <v/>
      </c>
      <c r="K19" s="98" t="str">
        <f t="shared" si="5"/>
        <v/>
      </c>
      <c r="L19" s="98" t="str">
        <f>IF(K19="","","https://www.google.com/search?q="&amp;K19&amp;"&amp;num=100&amp;hl=en")</f>
        <v/>
      </c>
      <c r="M19" s="98">
        <f t="shared" si="6"/>
        <v>0</v>
      </c>
      <c r="N19" s="98">
        <f>SUM($M$17:M19)</f>
        <v>0</v>
      </c>
    </row>
    <row r="20" spans="1:14" ht="15" customHeight="1" x14ac:dyDescent="0.35">
      <c r="A20" s="99" t="str">
        <f>IF(Sheet1!$J$21="","Counterparty 3",Sheet1!$J$21&amp;" (CP3)")</f>
        <v>Counterparty 3</v>
      </c>
      <c r="B20" s="93" t="s">
        <v>1296</v>
      </c>
      <c r="C20" s="93" t="str">
        <f t="shared" si="0"/>
        <v/>
      </c>
      <c r="D20" s="93" t="str">
        <f>IF(F20="","",Sheet1!$J$10&amp;"_"&amp;Sheet1!$J$11&amp;"_CP3_"&amp;N20&amp;"_Negative News 1.pdf")</f>
        <v/>
      </c>
      <c r="E20" s="79"/>
      <c r="F20" s="98"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0" s="98" t="str">
        <f t="shared" si="1"/>
        <v/>
      </c>
      <c r="H20" s="98" t="str">
        <f t="shared" si="2"/>
        <v/>
      </c>
      <c r="I20" s="98" t="str">
        <f t="shared" si="3"/>
        <v/>
      </c>
      <c r="J20" s="98" t="str">
        <f t="shared" si="4"/>
        <v/>
      </c>
      <c r="K20" s="98" t="str">
        <f t="shared" si="5"/>
        <v/>
      </c>
      <c r="L20" s="98" t="str">
        <f>IF(K20="","","https://www.google.com/search?q="&amp;K20&amp;"&amp;num=100&amp;hl=en")</f>
        <v/>
      </c>
      <c r="M20" s="98">
        <f t="shared" si="6"/>
        <v>0</v>
      </c>
      <c r="N20" s="98">
        <f>SUM($M$17:M20)</f>
        <v>0</v>
      </c>
    </row>
    <row r="21" spans="1:14" ht="15" customHeight="1" x14ac:dyDescent="0.35">
      <c r="A21" s="100" t="str">
        <f>IF(Sheet1!$J$21="","Counterparty 3",Sheet1!$J$21&amp;" (CP3)")</f>
        <v>Counterparty 3</v>
      </c>
      <c r="B21" s="94" t="s">
        <v>1297</v>
      </c>
      <c r="C21" s="94" t="str">
        <f t="shared" si="0"/>
        <v/>
      </c>
      <c r="D21" s="94" t="str">
        <f>IF(F21="","",Sheet1!$J$10&amp;"_"&amp;Sheet1!$J$11&amp;"_CP3_"&amp;N21&amp;"_Negative News 2.pdf")</f>
        <v/>
      </c>
      <c r="E21" s="79"/>
      <c r="F21" s="98"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1" s="98" t="str">
        <f t="shared" si="1"/>
        <v/>
      </c>
      <c r="H21" s="98" t="str">
        <f t="shared" si="2"/>
        <v/>
      </c>
      <c r="I21" s="98" t="str">
        <f t="shared" si="3"/>
        <v/>
      </c>
      <c r="J21" s="98" t="str">
        <f t="shared" si="4"/>
        <v/>
      </c>
      <c r="K21" s="98" t="str">
        <f t="shared" si="5"/>
        <v/>
      </c>
      <c r="L21" s="98" t="str">
        <f>IF(K21="","","https://www.google.com/search?q="&amp;K21&amp;"&amp;num=100&amp;hl=en&amp;start=100")</f>
        <v/>
      </c>
      <c r="M21" s="98">
        <f t="shared" si="6"/>
        <v>0</v>
      </c>
      <c r="N21" s="98">
        <f>SUM($M$17:M21)</f>
        <v>0</v>
      </c>
    </row>
    <row r="22" spans="1:14" ht="15" customHeight="1" x14ac:dyDescent="0.35">
      <c r="A22" s="99" t="str">
        <f>IF(Sheet1!$J$22="","Counterparty 4",Sheet1!$J$22&amp;" (CP4)")</f>
        <v>Counterparty 4</v>
      </c>
      <c r="B22" s="93" t="s">
        <v>1293</v>
      </c>
      <c r="C22" s="93" t="str">
        <f t="shared" si="0"/>
        <v/>
      </c>
      <c r="D22" s="93" t="str">
        <f>IF(F22="","",Sheet1!$J$10&amp;"_"&amp;Sheet1!$J$11&amp;"_CP4_"&amp;N22&amp;"_Google.pdf")</f>
        <v/>
      </c>
      <c r="E22" s="79"/>
      <c r="F22" s="98" t="str">
        <f>IF(Sheet1!$J$22="","",Sheet1!$J$22)</f>
        <v/>
      </c>
      <c r="G22" s="98" t="str">
        <f t="shared" si="1"/>
        <v/>
      </c>
      <c r="H22" s="98" t="str">
        <f t="shared" si="2"/>
        <v/>
      </c>
      <c r="I22" s="98" t="str">
        <f t="shared" si="3"/>
        <v/>
      </c>
      <c r="J22" s="98" t="str">
        <f t="shared" si="4"/>
        <v/>
      </c>
      <c r="K22" s="98" t="str">
        <f t="shared" si="5"/>
        <v/>
      </c>
      <c r="L22" s="98" t="str">
        <f>IF(K22="","","https://www.google.com/search?q="&amp;K22&amp;"&amp;num=100&amp;hl=en")</f>
        <v/>
      </c>
      <c r="M22" s="98">
        <f t="shared" si="6"/>
        <v>0</v>
      </c>
      <c r="N22" s="98">
        <f>SUM($M$22:M22)</f>
        <v>0</v>
      </c>
    </row>
    <row r="23" spans="1:14" ht="15" customHeight="1" x14ac:dyDescent="0.35">
      <c r="A23" s="100" t="str">
        <f>IF(Sheet1!$J$22="","Counterparty 4",Sheet1!$J$22&amp;" (CP4)")</f>
        <v>Counterparty 4</v>
      </c>
      <c r="B23" s="94" t="s">
        <v>1294</v>
      </c>
      <c r="C23" s="94" t="str">
        <f t="shared" si="0"/>
        <v/>
      </c>
      <c r="D23" s="94" t="str">
        <f>IF(F23="","",Sheet1!$J$10&amp;"_"&amp;Sheet1!$J$11&amp;"_CP4_"&amp;N23&amp;"_Address.pdf")</f>
        <v/>
      </c>
      <c r="E23" s="79"/>
      <c r="F23" s="98" t="str">
        <f>IF(Sheet1!$T$22="","",Sheet1!$T$22)</f>
        <v/>
      </c>
      <c r="G23" s="98" t="str">
        <f t="shared" si="1"/>
        <v/>
      </c>
      <c r="H23" s="98" t="str">
        <f t="shared" si="2"/>
        <v/>
      </c>
      <c r="I23" s="98" t="str">
        <f t="shared" si="3"/>
        <v/>
      </c>
      <c r="J23" s="98" t="str">
        <f t="shared" si="4"/>
        <v/>
      </c>
      <c r="K23" s="98" t="str">
        <f t="shared" si="5"/>
        <v/>
      </c>
      <c r="L23" s="98" t="str">
        <f>IF(K23="","","https://www.google.com/search?q="&amp;K23&amp;"&amp;num=100&amp;hl=en")</f>
        <v/>
      </c>
      <c r="M23" s="98">
        <f t="shared" si="6"/>
        <v>0</v>
      </c>
      <c r="N23" s="98">
        <f>SUM($M$22:M23)</f>
        <v>0</v>
      </c>
    </row>
    <row r="24" spans="1:14" ht="15" customHeight="1" x14ac:dyDescent="0.35">
      <c r="A24" s="99" t="str">
        <f>IF(Sheet1!$J$22="","Counterparty 4",Sheet1!$J$22&amp;" (CP4)")</f>
        <v>Counterparty 4</v>
      </c>
      <c r="B24" s="93" t="s">
        <v>1295</v>
      </c>
      <c r="C24" s="93" t="str">
        <f t="shared" si="0"/>
        <v/>
      </c>
      <c r="D24" s="93" t="str">
        <f>IF(F24="","",Sheet1!$J$10&amp;"_"&amp;Sheet1!$J$11&amp;"_CP4_"&amp;N24&amp;"_Google+Address.pdf")</f>
        <v/>
      </c>
      <c r="E24" s="79"/>
      <c r="F24" s="98" t="str">
        <f>IF(OR(Sheet1!$J$22="",Sheet1!$T$22=""),"",Sheet1!$J$22&amp;" "&amp;Sheet1!$T$22)</f>
        <v/>
      </c>
      <c r="G24" s="98" t="str">
        <f t="shared" si="1"/>
        <v/>
      </c>
      <c r="H24" s="98" t="str">
        <f t="shared" si="2"/>
        <v/>
      </c>
      <c r="I24" s="98" t="str">
        <f t="shared" si="3"/>
        <v/>
      </c>
      <c r="J24" s="98" t="str">
        <f t="shared" si="4"/>
        <v/>
      </c>
      <c r="K24" s="98" t="str">
        <f t="shared" si="5"/>
        <v/>
      </c>
      <c r="L24" s="98" t="str">
        <f>IF(K24="","","https://www.google.com/search?q="&amp;K24&amp;"&amp;num=100&amp;hl=en")</f>
        <v/>
      </c>
      <c r="M24" s="98">
        <f t="shared" si="6"/>
        <v>0</v>
      </c>
      <c r="N24" s="98">
        <f>SUM($M$22:M24)</f>
        <v>0</v>
      </c>
    </row>
    <row r="25" spans="1:14" ht="15" customHeight="1" x14ac:dyDescent="0.35">
      <c r="A25" s="100" t="str">
        <f>IF(Sheet1!$J$22="","Counterparty 4",Sheet1!$J$22&amp;" (CP4)")</f>
        <v>Counterparty 4</v>
      </c>
      <c r="B25" s="94" t="s">
        <v>1296</v>
      </c>
      <c r="C25" s="94" t="str">
        <f t="shared" si="0"/>
        <v/>
      </c>
      <c r="D25" s="94" t="str">
        <f>IF(F25="","",Sheet1!$J$10&amp;"_"&amp;Sheet1!$J$11&amp;"_CP4_"&amp;N25&amp;"_Negative News 1.pdf")</f>
        <v/>
      </c>
      <c r="E25" s="79"/>
      <c r="F25" s="98"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5" s="98" t="str">
        <f t="shared" si="1"/>
        <v/>
      </c>
      <c r="H25" s="98" t="str">
        <f t="shared" si="2"/>
        <v/>
      </c>
      <c r="I25" s="98" t="str">
        <f t="shared" si="3"/>
        <v/>
      </c>
      <c r="J25" s="98" t="str">
        <f t="shared" si="4"/>
        <v/>
      </c>
      <c r="K25" s="98" t="str">
        <f t="shared" si="5"/>
        <v/>
      </c>
      <c r="L25" s="98" t="str">
        <f>IF(K25="","","https://www.google.com/search?q="&amp;K25&amp;"&amp;num=100&amp;hl=en")</f>
        <v/>
      </c>
      <c r="M25" s="98">
        <f t="shared" si="6"/>
        <v>0</v>
      </c>
      <c r="N25" s="98">
        <f>SUM($M$22:M25)</f>
        <v>0</v>
      </c>
    </row>
    <row r="26" spans="1:14" ht="15" customHeight="1" x14ac:dyDescent="0.35">
      <c r="A26" s="99" t="str">
        <f>IF(Sheet1!$J$22="","Counterparty 4",Sheet1!$J$22&amp;" (CP4)")</f>
        <v>Counterparty 4</v>
      </c>
      <c r="B26" s="93" t="s">
        <v>1297</v>
      </c>
      <c r="C26" s="93" t="str">
        <f t="shared" si="0"/>
        <v/>
      </c>
      <c r="D26" s="93" t="str">
        <f>IF(F26="","",Sheet1!$J$10&amp;"_"&amp;Sheet1!$J$11&amp;"_CP4_"&amp;N26&amp;"_Negative News 2.pdf")</f>
        <v/>
      </c>
      <c r="E26" s="79"/>
      <c r="F26" s="98"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6" s="98" t="str">
        <f t="shared" si="1"/>
        <v/>
      </c>
      <c r="H26" s="98" t="str">
        <f t="shared" si="2"/>
        <v/>
      </c>
      <c r="I26" s="98" t="str">
        <f t="shared" si="3"/>
        <v/>
      </c>
      <c r="J26" s="98" t="str">
        <f t="shared" si="4"/>
        <v/>
      </c>
      <c r="K26" s="98" t="str">
        <f t="shared" si="5"/>
        <v/>
      </c>
      <c r="L26" s="98" t="str">
        <f>IF(K26="","","https://www.google.com/search?q="&amp;K26&amp;"&amp;num=100&amp;hl=en&amp;start=100")</f>
        <v/>
      </c>
      <c r="M26" s="98">
        <f t="shared" si="6"/>
        <v>0</v>
      </c>
      <c r="N26" s="98">
        <f>SUM($M$22:M26)</f>
        <v>0</v>
      </c>
    </row>
    <row r="27" spans="1:14" ht="15" customHeight="1" x14ac:dyDescent="0.35">
      <c r="A27" s="100" t="str">
        <f>IF(Sheet1!$J$23="","Counterparty 5",Sheet1!$J$23&amp;" (CP5)")</f>
        <v>Counterparty 5</v>
      </c>
      <c r="B27" s="94" t="s">
        <v>1293</v>
      </c>
      <c r="C27" s="94" t="str">
        <f t="shared" si="0"/>
        <v/>
      </c>
      <c r="D27" s="94" t="str">
        <f>IF(F27="","",Sheet1!$J$10&amp;"_"&amp;Sheet1!$J$11&amp;"_CP5_"&amp;N27&amp;"_Google.pdf")</f>
        <v/>
      </c>
      <c r="E27" s="79"/>
      <c r="F27" s="98" t="str">
        <f>IF(Sheet1!$J$23="","",Sheet1!$J$23)</f>
        <v/>
      </c>
      <c r="G27" s="98" t="str">
        <f t="shared" si="1"/>
        <v/>
      </c>
      <c r="H27" s="98" t="str">
        <f t="shared" si="2"/>
        <v/>
      </c>
      <c r="I27" s="98" t="str">
        <f t="shared" si="3"/>
        <v/>
      </c>
      <c r="J27" s="98" t="str">
        <f t="shared" si="4"/>
        <v/>
      </c>
      <c r="K27" s="98" t="str">
        <f t="shared" si="5"/>
        <v/>
      </c>
      <c r="L27" s="98" t="str">
        <f>IF(K27="","","https://www.google.com/search?q="&amp;K27&amp;"&amp;num=100&amp;hl=en")</f>
        <v/>
      </c>
      <c r="M27" s="98">
        <f t="shared" si="6"/>
        <v>0</v>
      </c>
      <c r="N27" s="98">
        <f>SUM($M$27:M27)</f>
        <v>0</v>
      </c>
    </row>
    <row r="28" spans="1:14" ht="15" customHeight="1" x14ac:dyDescent="0.35">
      <c r="A28" s="99" t="str">
        <f>IF(Sheet1!$J$23="","Counterparty 5",Sheet1!$J$23&amp;" (CP5)")</f>
        <v>Counterparty 5</v>
      </c>
      <c r="B28" s="93" t="s">
        <v>1294</v>
      </c>
      <c r="C28" s="93" t="str">
        <f t="shared" si="0"/>
        <v/>
      </c>
      <c r="D28" s="93" t="str">
        <f>IF(F28="","",Sheet1!$J$10&amp;"_"&amp;Sheet1!$J$11&amp;"_CP5_"&amp;N28&amp;"_Address.pdf")</f>
        <v/>
      </c>
      <c r="E28" s="101"/>
      <c r="F28" s="98" t="str">
        <f>IF(Sheet1!$T$23="","",Sheet1!$T$23)</f>
        <v/>
      </c>
      <c r="G28" s="98" t="str">
        <f t="shared" si="1"/>
        <v/>
      </c>
      <c r="H28" s="98" t="str">
        <f t="shared" si="2"/>
        <v/>
      </c>
      <c r="I28" s="98" t="str">
        <f t="shared" si="3"/>
        <v/>
      </c>
      <c r="J28" s="98" t="str">
        <f t="shared" si="4"/>
        <v/>
      </c>
      <c r="K28" s="98" t="str">
        <f t="shared" si="5"/>
        <v/>
      </c>
      <c r="L28" s="98" t="str">
        <f>IF(K28="","","https://www.google.com/search?q="&amp;K28&amp;"&amp;num=100&amp;hl=en")</f>
        <v/>
      </c>
      <c r="M28" s="98">
        <f t="shared" si="6"/>
        <v>0</v>
      </c>
      <c r="N28" s="98">
        <f>SUM($M$27:M28)</f>
        <v>0</v>
      </c>
    </row>
    <row r="29" spans="1:14" ht="15" customHeight="1" x14ac:dyDescent="0.35">
      <c r="A29" s="100" t="str">
        <f>IF(Sheet1!$J$23="","Counterparty 5",Sheet1!$J$23&amp;" (CP5)")</f>
        <v>Counterparty 5</v>
      </c>
      <c r="B29" s="94" t="s">
        <v>1295</v>
      </c>
      <c r="C29" s="94" t="str">
        <f t="shared" si="0"/>
        <v/>
      </c>
      <c r="D29" s="94" t="str">
        <f>IF(F29="","",Sheet1!$J$10&amp;"_"&amp;Sheet1!$J$11&amp;"_CP5_"&amp;N29&amp;"_Google+Address.pdf")</f>
        <v/>
      </c>
      <c r="E29" s="102"/>
      <c r="F29" s="98" t="str">
        <f>IF(OR(Sheet1!$J$23="",Sheet1!$T$23=""),"",Sheet1!$J$23&amp;" "&amp;Sheet1!$T$23)</f>
        <v/>
      </c>
      <c r="G29" s="98" t="str">
        <f t="shared" si="1"/>
        <v/>
      </c>
      <c r="H29" s="98" t="str">
        <f t="shared" si="2"/>
        <v/>
      </c>
      <c r="I29" s="98" t="str">
        <f t="shared" si="3"/>
        <v/>
      </c>
      <c r="J29" s="98" t="str">
        <f t="shared" si="4"/>
        <v/>
      </c>
      <c r="K29" s="98" t="str">
        <f t="shared" si="5"/>
        <v/>
      </c>
      <c r="L29" s="98" t="str">
        <f>IF(K29="","","https://www.google.com/search?q="&amp;K29&amp;"&amp;num=100&amp;hl=en")</f>
        <v/>
      </c>
      <c r="M29" s="98">
        <f t="shared" si="6"/>
        <v>0</v>
      </c>
      <c r="N29" s="98">
        <f>SUM($M$27:M29)</f>
        <v>0</v>
      </c>
    </row>
    <row r="30" spans="1:14" ht="15" customHeight="1" x14ac:dyDescent="0.35">
      <c r="A30" s="99" t="str">
        <f>IF(Sheet1!$J$23="","Counterparty 5",Sheet1!$J$23&amp;" (CP5)")</f>
        <v>Counterparty 5</v>
      </c>
      <c r="B30" s="93" t="s">
        <v>1296</v>
      </c>
      <c r="C30" s="93" t="str">
        <f t="shared" si="0"/>
        <v/>
      </c>
      <c r="D30" s="93" t="str">
        <f>IF(F30="","",Sheet1!$J$10&amp;"_"&amp;Sheet1!$J$11&amp;"_CP5_"&amp;N30&amp;"_Negative News 1.pdf")</f>
        <v/>
      </c>
      <c r="E30" s="79"/>
      <c r="F30" s="98"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0" s="98" t="str">
        <f t="shared" si="1"/>
        <v/>
      </c>
      <c r="H30" s="98" t="str">
        <f t="shared" si="2"/>
        <v/>
      </c>
      <c r="I30" s="98" t="str">
        <f t="shared" si="3"/>
        <v/>
      </c>
      <c r="J30" s="98" t="str">
        <f t="shared" si="4"/>
        <v/>
      </c>
      <c r="K30" s="98" t="str">
        <f t="shared" si="5"/>
        <v/>
      </c>
      <c r="L30" s="98" t="str">
        <f>IF(K30="","","https://www.google.com/search?q="&amp;K30&amp;"&amp;num=100&amp;hl=en")</f>
        <v/>
      </c>
      <c r="M30" s="98">
        <f t="shared" si="6"/>
        <v>0</v>
      </c>
      <c r="N30" s="98">
        <f>SUM($M$27:M30)</f>
        <v>0</v>
      </c>
    </row>
    <row r="31" spans="1:14" ht="15" customHeight="1" x14ac:dyDescent="0.35">
      <c r="A31" s="100" t="str">
        <f>IF(Sheet1!$J$23="","Counterparty 5",Sheet1!$J$23&amp;" (CP5)")</f>
        <v>Counterparty 5</v>
      </c>
      <c r="B31" s="94" t="s">
        <v>1297</v>
      </c>
      <c r="C31" s="94" t="str">
        <f t="shared" si="0"/>
        <v/>
      </c>
      <c r="D31" s="94" t="str">
        <f>IF(F31="","",Sheet1!$J$10&amp;"_"&amp;Sheet1!$J$11&amp;"_CP5_"&amp;N31&amp;"_Negative News 2.pdf")</f>
        <v/>
      </c>
      <c r="E31" s="79"/>
      <c r="F31" s="98"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1" s="98" t="str">
        <f t="shared" si="1"/>
        <v/>
      </c>
      <c r="H31" s="98" t="str">
        <f t="shared" si="2"/>
        <v/>
      </c>
      <c r="I31" s="98" t="str">
        <f t="shared" si="3"/>
        <v/>
      </c>
      <c r="J31" s="98" t="str">
        <f t="shared" si="4"/>
        <v/>
      </c>
      <c r="K31" s="98" t="str">
        <f t="shared" si="5"/>
        <v/>
      </c>
      <c r="L31" s="98" t="str">
        <f>IF(K31="","","https://www.google.com/search?q="&amp;K31&amp;"&amp;num=100&amp;hl=en&amp;start=100")</f>
        <v/>
      </c>
      <c r="M31" s="98">
        <f t="shared" si="6"/>
        <v>0</v>
      </c>
      <c r="N31" s="98">
        <f>SUM($M$27:M31)</f>
        <v>0</v>
      </c>
    </row>
    <row r="32" spans="1:14" ht="15" customHeight="1" x14ac:dyDescent="0.35">
      <c r="A32" s="99" t="str">
        <f>IF(Sheet1!$J$24="","Counterparty 6",Sheet1!$J$24&amp;" (CP6)")</f>
        <v>Counterparty 6</v>
      </c>
      <c r="B32" s="93" t="s">
        <v>1293</v>
      </c>
      <c r="C32" s="93" t="str">
        <f t="shared" si="0"/>
        <v/>
      </c>
      <c r="D32" s="93" t="str">
        <f>IF(F32="","",Sheet1!$J$10&amp;"_"&amp;Sheet1!$J$11&amp;"_CP6_"&amp;N32&amp;"_Google.pdf")</f>
        <v/>
      </c>
      <c r="E32" s="79"/>
      <c r="F32" s="98" t="str">
        <f>IF(Sheet1!$J$24="","",Sheet1!$J$24)</f>
        <v/>
      </c>
      <c r="G32" s="98" t="str">
        <f t="shared" si="1"/>
        <v/>
      </c>
      <c r="H32" s="98" t="str">
        <f t="shared" si="2"/>
        <v/>
      </c>
      <c r="I32" s="98" t="str">
        <f t="shared" si="3"/>
        <v/>
      </c>
      <c r="J32" s="98" t="str">
        <f t="shared" si="4"/>
        <v/>
      </c>
      <c r="K32" s="98" t="str">
        <f t="shared" si="5"/>
        <v/>
      </c>
      <c r="L32" s="98" t="str">
        <f>IF(K32="","","https://www.google.com/search?q="&amp;K32&amp;"&amp;num=100&amp;hl=en")</f>
        <v/>
      </c>
      <c r="M32" s="98">
        <f t="shared" si="6"/>
        <v>0</v>
      </c>
      <c r="N32" s="98">
        <f>SUM($M$32:M32)</f>
        <v>0</v>
      </c>
    </row>
    <row r="33" spans="1:14" ht="15" customHeight="1" x14ac:dyDescent="0.35">
      <c r="A33" s="100" t="str">
        <f>IF(Sheet1!$J$24="","Counterparty 6",Sheet1!$J$24&amp;" (CP6)")</f>
        <v>Counterparty 6</v>
      </c>
      <c r="B33" s="94" t="s">
        <v>1294</v>
      </c>
      <c r="C33" s="94" t="str">
        <f t="shared" si="0"/>
        <v/>
      </c>
      <c r="D33" s="94" t="str">
        <f>IF(F33="","",Sheet1!$J$10&amp;"_"&amp;Sheet1!$J$11&amp;"_CP6_"&amp;N33&amp;"_Address.pdf")</f>
        <v/>
      </c>
      <c r="E33" s="102"/>
      <c r="F33" s="98" t="str">
        <f>IF(Sheet1!$T$24="","",Sheet1!$T$24)</f>
        <v/>
      </c>
      <c r="G33" s="98" t="str">
        <f t="shared" si="1"/>
        <v/>
      </c>
      <c r="H33" s="98" t="str">
        <f t="shared" si="2"/>
        <v/>
      </c>
      <c r="I33" s="98" t="str">
        <f t="shared" si="3"/>
        <v/>
      </c>
      <c r="J33" s="98" t="str">
        <f t="shared" si="4"/>
        <v/>
      </c>
      <c r="K33" s="98" t="str">
        <f t="shared" si="5"/>
        <v/>
      </c>
      <c r="L33" s="98" t="str">
        <f>IF(K33="","","https://www.google.com/search?q="&amp;K33&amp;"&amp;num=100&amp;hl=en")</f>
        <v/>
      </c>
      <c r="M33" s="98">
        <f t="shared" si="6"/>
        <v>0</v>
      </c>
      <c r="N33" s="98">
        <f>SUM($M$32:M33)</f>
        <v>0</v>
      </c>
    </row>
    <row r="34" spans="1:14" ht="15" customHeight="1" x14ac:dyDescent="0.35">
      <c r="A34" s="99" t="str">
        <f>IF(Sheet1!$J$24="","Counterparty 6",Sheet1!$J$24&amp;" (CP6)")</f>
        <v>Counterparty 6</v>
      </c>
      <c r="B34" s="93" t="s">
        <v>1295</v>
      </c>
      <c r="C34" s="93" t="str">
        <f t="shared" si="0"/>
        <v/>
      </c>
      <c r="D34" s="93" t="str">
        <f>IF(F34="","",Sheet1!$J$10&amp;"_"&amp;Sheet1!$J$11&amp;"_CP6_"&amp;N34&amp;"_Google+Address.pdf")</f>
        <v/>
      </c>
      <c r="E34" s="101"/>
      <c r="F34" s="98" t="str">
        <f>IF(OR(Sheet1!$J$24="",Sheet1!$T$24=""),"",Sheet1!$J$24&amp;" "&amp;Sheet1!$T$24)</f>
        <v/>
      </c>
      <c r="G34" s="98" t="str">
        <f t="shared" si="1"/>
        <v/>
      </c>
      <c r="H34" s="98" t="str">
        <f t="shared" si="2"/>
        <v/>
      </c>
      <c r="I34" s="98" t="str">
        <f t="shared" si="3"/>
        <v/>
      </c>
      <c r="J34" s="98" t="str">
        <f t="shared" si="4"/>
        <v/>
      </c>
      <c r="K34" s="98" t="str">
        <f t="shared" si="5"/>
        <v/>
      </c>
      <c r="L34" s="98" t="str">
        <f>IF(K34="","","https://www.google.com/search?q="&amp;K34&amp;"&amp;num=100&amp;hl=en")</f>
        <v/>
      </c>
      <c r="M34" s="98">
        <f t="shared" si="6"/>
        <v>0</v>
      </c>
      <c r="N34" s="98">
        <f>SUM($M$32:M34)</f>
        <v>0</v>
      </c>
    </row>
    <row r="35" spans="1:14" ht="15" customHeight="1" x14ac:dyDescent="0.35">
      <c r="A35" s="100" t="str">
        <f>IF(Sheet1!$J$24="","Counterparty 6",Sheet1!$J$24&amp;" (CP6)")</f>
        <v>Counterparty 6</v>
      </c>
      <c r="B35" s="94" t="s">
        <v>1296</v>
      </c>
      <c r="C35" s="94" t="str">
        <f t="shared" si="0"/>
        <v/>
      </c>
      <c r="D35" s="94" t="str">
        <f>IF(F35="","",Sheet1!$J$10&amp;"_"&amp;Sheet1!$J$11&amp;"_CP6_"&amp;N35&amp;"_Negative News 1.pdf")</f>
        <v/>
      </c>
      <c r="E35" s="79"/>
      <c r="F35" s="98" t="str">
        <f>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5" s="98" t="str">
        <f t="shared" si="1"/>
        <v/>
      </c>
      <c r="H35" s="98" t="str">
        <f t="shared" si="2"/>
        <v/>
      </c>
      <c r="I35" s="98" t="str">
        <f t="shared" si="3"/>
        <v/>
      </c>
      <c r="J35" s="98" t="str">
        <f t="shared" si="4"/>
        <v/>
      </c>
      <c r="K35" s="98" t="str">
        <f t="shared" si="5"/>
        <v/>
      </c>
      <c r="L35" s="98" t="str">
        <f>IF(K35="","","https://www.google.com/search?q="&amp;K35&amp;"&amp;num=100&amp;hl=en")</f>
        <v/>
      </c>
      <c r="M35" s="98">
        <f t="shared" si="6"/>
        <v>0</v>
      </c>
      <c r="N35" s="98">
        <f>SUM($M$32:M35)</f>
        <v>0</v>
      </c>
    </row>
    <row r="36" spans="1:14" ht="15" customHeight="1" thickBot="1" x14ac:dyDescent="0.4">
      <c r="A36" s="103" t="str">
        <f>IF(Sheet1!$J$24="","Counterparty 6",Sheet1!$J$24&amp;" (CP6)")</f>
        <v>Counterparty 6</v>
      </c>
      <c r="B36" s="104" t="s">
        <v>1297</v>
      </c>
      <c r="C36" s="104" t="str">
        <f t="shared" si="0"/>
        <v/>
      </c>
      <c r="D36" s="104" t="str">
        <f>IF(F36="","",Sheet1!$J$10&amp;"_"&amp;Sheet1!$J$11&amp;"_CP6_"&amp;N36&amp;"_Negative News 2.pdf")</f>
        <v/>
      </c>
      <c r="E36" s="79"/>
      <c r="F36" s="98" t="str">
        <f>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6" s="98" t="str">
        <f t="shared" si="1"/>
        <v/>
      </c>
      <c r="H36" s="98" t="str">
        <f t="shared" si="2"/>
        <v/>
      </c>
      <c r="I36" s="98" t="str">
        <f t="shared" si="3"/>
        <v/>
      </c>
      <c r="J36" s="98" t="str">
        <f t="shared" si="4"/>
        <v/>
      </c>
      <c r="K36" s="98" t="str">
        <f t="shared" si="5"/>
        <v/>
      </c>
      <c r="L36" s="98" t="str">
        <f>IF(K36="","","https://www.google.com/search?q="&amp;K36&amp;"&amp;num=100&amp;hl=en&amp;start=100")</f>
        <v/>
      </c>
      <c r="M36" s="98">
        <f t="shared" si="6"/>
        <v>0</v>
      </c>
      <c r="N36" s="98">
        <f>SUM($M$32:M36)</f>
        <v>0</v>
      </c>
    </row>
    <row r="37" spans="1:14" x14ac:dyDescent="0.35"/>
  </sheetData>
  <hyperlinks>
    <hyperlink ref="E2" r:id="rId1" xr:uid="{9FB590B2-1118-4C7F-8838-F182666CC23C}"/>
    <hyperlink ref="E3" r:id="rId2" xr:uid="{F2B6A776-6E94-4232-8D04-0E82A72CC8F1}"/>
    <hyperlink ref="E4" r:id="rId3" xr:uid="{2BF07B73-8B55-4D7C-B2A4-B4541BBC2C1A}"/>
    <hyperlink ref="E5" r:id="rId4" xr:uid="{390D4931-515F-4354-B7DA-20F59AD7F8E0}"/>
    <hyperlink ref="E6" r:id="rId5" xr:uid="{846D1747-69A9-4711-A5A3-34AA343F943B}"/>
  </hyperlink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4" tint="0.39997558519241921"/>
  </sheetPr>
  <dimension ref="A1:M4"/>
  <sheetViews>
    <sheetView showGridLines="0" zoomScale="90" zoomScaleNormal="90" workbookViewId="0">
      <selection activeCell="B4" sqref="B4"/>
    </sheetView>
  </sheetViews>
  <sheetFormatPr defaultColWidth="0" defaultRowHeight="14.5" zeroHeight="1" x14ac:dyDescent="0.35"/>
  <cols>
    <col min="1" max="1" width="32.453125" style="33" bestFit="1" customWidth="1"/>
    <col min="2" max="2" width="149.453125" style="33" bestFit="1" customWidth="1"/>
    <col min="3" max="3" width="4.81640625" style="33" customWidth="1"/>
    <col min="4" max="13" width="4.81640625" style="33" hidden="1" customWidth="1"/>
    <col min="14" max="14" width="8.81640625" style="33" hidden="1" customWidth="1"/>
    <col min="15" max="16384" width="8.81640625" style="33" hidden="1"/>
  </cols>
  <sheetData>
    <row r="1" spans="1:2" ht="24.65" customHeight="1" x14ac:dyDescent="0.35">
      <c r="A1" s="177"/>
      <c r="B1" s="176"/>
    </row>
    <row r="2" spans="1:2" ht="20.5" customHeight="1" x14ac:dyDescent="0.35">
      <c r="A2" s="175"/>
      <c r="B2" s="176"/>
    </row>
    <row r="3" spans="1:2" s="35" customFormat="1" ht="20.5" hidden="1" customHeight="1" x14ac:dyDescent="0.35">
      <c r="A3" s="34" t="s">
        <v>781</v>
      </c>
      <c r="B3" s="29" t="s">
        <v>782</v>
      </c>
    </row>
    <row r="4" spans="1:2" x14ac:dyDescent="0.35">
      <c r="A4" s="36" t="s">
        <v>783</v>
      </c>
      <c r="B4" s="29" t="s">
        <v>784</v>
      </c>
    </row>
  </sheetData>
  <mergeCells count="2">
    <mergeCell ref="A2:B2"/>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4" tint="0.59999389629810485"/>
  </sheetPr>
  <dimension ref="A1:AQ217"/>
  <sheetViews>
    <sheetView tabSelected="1" topLeftCell="C1" zoomScale="85" zoomScaleNormal="85" workbookViewId="0">
      <selection activeCell="AQ2" sqref="AQ2:AQ4"/>
    </sheetView>
  </sheetViews>
  <sheetFormatPr defaultColWidth="8.81640625" defaultRowHeight="14.5" x14ac:dyDescent="0.35"/>
  <cols>
    <col min="1" max="1" width="12.08984375" style="27" bestFit="1" customWidth="1"/>
    <col min="2" max="2" width="13.6328125" style="27" bestFit="1" customWidth="1"/>
    <col min="3" max="3" width="23.54296875" style="27" bestFit="1" customWidth="1"/>
    <col min="4" max="4" width="8.90625" style="27" bestFit="1" customWidth="1"/>
    <col min="5" max="5" width="18.7265625" style="27" bestFit="1" customWidth="1"/>
    <col min="6" max="6" width="12.26953125" style="27" bestFit="1" customWidth="1"/>
    <col min="7" max="7" width="29.7265625" style="27" bestFit="1" customWidth="1"/>
    <col min="8" max="8" width="14.36328125" style="27" bestFit="1" customWidth="1"/>
    <col min="9" max="9" width="23.81640625" style="27" bestFit="1" customWidth="1"/>
    <col min="10" max="10" width="7.7265625" style="27" bestFit="1" customWidth="1"/>
    <col min="11" max="11" width="16.7265625" style="27" bestFit="1" customWidth="1"/>
    <col min="12" max="12" width="14.08984375" style="27" bestFit="1" customWidth="1"/>
    <col min="13" max="13" width="4.81640625" style="27" bestFit="1" customWidth="1"/>
    <col min="14" max="14" width="12.26953125" style="27" bestFit="1" customWidth="1"/>
    <col min="15" max="15" width="30.90625" style="27" bestFit="1" customWidth="1"/>
    <col min="16" max="16" width="18.453125" style="27" bestFit="1" customWidth="1"/>
    <col min="17" max="17" width="30.90625" style="27" bestFit="1" customWidth="1"/>
    <col min="18" max="18" width="20.54296875" style="27" bestFit="1" customWidth="1"/>
    <col min="19" max="19" width="49.36328125" style="27" bestFit="1" customWidth="1"/>
    <col min="20" max="20" width="16.26953125" style="27" bestFit="1" customWidth="1"/>
    <col min="21" max="21" width="13.90625" style="27" bestFit="1" customWidth="1"/>
    <col min="22" max="22" width="34" style="27" bestFit="1" customWidth="1"/>
    <col min="23" max="23" width="11" style="27" bestFit="1" customWidth="1"/>
    <col min="24" max="24" width="13.90625" style="27" bestFit="1" customWidth="1"/>
    <col min="25" max="25" width="17.7265625" style="27" bestFit="1" customWidth="1"/>
    <col min="26" max="26" width="17.54296875" style="27" bestFit="1" customWidth="1"/>
    <col min="27" max="27" width="19.81640625" style="27" bestFit="1" customWidth="1"/>
    <col min="28" max="28" width="62" style="27" bestFit="1" customWidth="1"/>
    <col min="29" max="29" width="15.54296875" style="27" bestFit="1" customWidth="1"/>
    <col min="30" max="30" width="10.08984375" style="27" bestFit="1" customWidth="1"/>
    <col min="31" max="31" width="33.1796875" style="27" bestFit="1" customWidth="1"/>
    <col min="32" max="32" width="13.453125" style="27" bestFit="1" customWidth="1"/>
    <col min="33" max="33" width="52.90625" style="27" bestFit="1" customWidth="1"/>
    <col min="34" max="34" width="10.08984375" style="27" bestFit="1" customWidth="1"/>
    <col min="35" max="35" width="18.81640625" style="27" bestFit="1" customWidth="1"/>
    <col min="36" max="36" width="26.26953125" style="27" bestFit="1" customWidth="1"/>
    <col min="37" max="37" width="10.08984375" style="27" bestFit="1" customWidth="1"/>
    <col min="38" max="38" width="10.81640625" style="27" bestFit="1" customWidth="1"/>
    <col min="39" max="39" width="12.453125" style="27" bestFit="1" customWidth="1"/>
    <col min="40" max="40" width="10.08984375" style="27" bestFit="1" customWidth="1"/>
    <col min="41" max="41" width="10.81640625" style="27" bestFit="1" customWidth="1"/>
    <col min="42" max="43" width="12.453125" style="27" bestFit="1" customWidth="1"/>
    <col min="44" max="44" width="33.81640625" style="27" bestFit="1" customWidth="1"/>
    <col min="45" max="45" width="12.453125" style="27" bestFit="1" customWidth="1"/>
    <col min="46" max="46" width="13.453125" style="27" bestFit="1" customWidth="1"/>
    <col min="47" max="47" width="33.81640625" style="27" bestFit="1" customWidth="1"/>
    <col min="48" max="48" width="12.453125" style="27" bestFit="1" customWidth="1"/>
    <col min="49" max="49" width="24.453125" style="27" bestFit="1" customWidth="1"/>
    <col min="50" max="50" width="6.81640625" style="27" bestFit="1" customWidth="1"/>
    <col min="51" max="51" width="9.81640625" style="27" bestFit="1" customWidth="1"/>
    <col min="52" max="52" width="8.81640625" style="27" customWidth="1"/>
    <col min="53" max="16384" width="8.81640625" style="27"/>
  </cols>
  <sheetData>
    <row r="1" spans="1:43" s="27" customFormat="1" ht="28" x14ac:dyDescent="0.35">
      <c r="A1" s="181" t="s">
        <v>785</v>
      </c>
      <c r="B1" s="182" t="s">
        <v>786</v>
      </c>
      <c r="C1" s="182" t="s">
        <v>787</v>
      </c>
      <c r="D1" s="182" t="s">
        <v>788</v>
      </c>
      <c r="E1" s="182" t="s">
        <v>789</v>
      </c>
      <c r="F1" s="182" t="s">
        <v>790</v>
      </c>
      <c r="G1" s="182" t="s">
        <v>791</v>
      </c>
      <c r="H1" s="182" t="s">
        <v>792</v>
      </c>
      <c r="I1" s="182" t="s">
        <v>793</v>
      </c>
      <c r="J1" s="182" t="s">
        <v>794</v>
      </c>
      <c r="K1" s="182" t="s">
        <v>795</v>
      </c>
      <c r="L1" s="182" t="s">
        <v>796</v>
      </c>
      <c r="M1" s="182" t="s">
        <v>797</v>
      </c>
      <c r="N1" s="182" t="s">
        <v>798</v>
      </c>
      <c r="O1" s="182" t="s">
        <v>799</v>
      </c>
      <c r="P1" s="182" t="s">
        <v>800</v>
      </c>
      <c r="Q1" s="182" t="s">
        <v>801</v>
      </c>
      <c r="R1" s="182" t="s">
        <v>802</v>
      </c>
      <c r="S1" s="182" t="s">
        <v>803</v>
      </c>
      <c r="T1" s="182" t="s">
        <v>804</v>
      </c>
      <c r="U1" s="182" t="s">
        <v>805</v>
      </c>
      <c r="V1" s="182" t="s">
        <v>806</v>
      </c>
      <c r="W1" s="182" t="s">
        <v>807</v>
      </c>
      <c r="X1" s="182" t="s">
        <v>808</v>
      </c>
      <c r="Y1" s="182" t="s">
        <v>809</v>
      </c>
      <c r="Z1" s="182" t="s">
        <v>810</v>
      </c>
      <c r="AA1" s="182" t="s">
        <v>811</v>
      </c>
      <c r="AB1" s="182" t="s">
        <v>812</v>
      </c>
      <c r="AC1" s="182" t="s">
        <v>813</v>
      </c>
      <c r="AD1" s="182" t="s">
        <v>1279</v>
      </c>
      <c r="AE1" s="182" t="s">
        <v>814</v>
      </c>
      <c r="AF1" s="182" t="s">
        <v>1280</v>
      </c>
      <c r="AG1" s="182" t="s">
        <v>1281</v>
      </c>
      <c r="AH1" s="182" t="s">
        <v>1282</v>
      </c>
      <c r="AI1" s="182" t="s">
        <v>1283</v>
      </c>
      <c r="AJ1" s="182" t="s">
        <v>1284</v>
      </c>
      <c r="AK1" s="182" t="s">
        <v>1308</v>
      </c>
      <c r="AL1" s="182" t="s">
        <v>1309</v>
      </c>
      <c r="AM1" s="182" t="s">
        <v>1310</v>
      </c>
      <c r="AN1" s="182" t="s">
        <v>1311</v>
      </c>
      <c r="AO1" s="182" t="s">
        <v>1312</v>
      </c>
      <c r="AP1" s="182" t="s">
        <v>1313</v>
      </c>
      <c r="AQ1" s="182" t="s">
        <v>815</v>
      </c>
    </row>
    <row r="2" spans="1:43" s="27" customFormat="1" x14ac:dyDescent="0.35">
      <c r="A2" s="183" t="s">
        <v>1334</v>
      </c>
      <c r="B2" s="183" t="s">
        <v>1330</v>
      </c>
      <c r="C2" s="183" t="s">
        <v>1314</v>
      </c>
      <c r="D2" s="183" t="s">
        <v>716</v>
      </c>
      <c r="E2" s="183" t="s">
        <v>816</v>
      </c>
      <c r="F2" s="183" t="s">
        <v>1335</v>
      </c>
      <c r="G2" s="183" t="s">
        <v>1336</v>
      </c>
      <c r="H2" s="183" t="s">
        <v>1315</v>
      </c>
      <c r="I2" s="183" t="s">
        <v>1316</v>
      </c>
      <c r="J2" s="183" t="s">
        <v>817</v>
      </c>
      <c r="K2" s="185">
        <v>42675</v>
      </c>
      <c r="L2" s="184">
        <v>46148</v>
      </c>
      <c r="M2" s="183" t="s">
        <v>189</v>
      </c>
      <c r="N2" s="183" t="s">
        <v>1335</v>
      </c>
      <c r="O2" s="183" t="s">
        <v>1337</v>
      </c>
      <c r="P2" s="183" t="s">
        <v>1227</v>
      </c>
      <c r="Q2" s="183" t="s">
        <v>1337</v>
      </c>
      <c r="R2" s="183" t="s">
        <v>1227</v>
      </c>
      <c r="S2" s="183" t="s">
        <v>1338</v>
      </c>
      <c r="T2" s="183" t="s">
        <v>745</v>
      </c>
      <c r="U2" s="183" t="s">
        <v>818</v>
      </c>
      <c r="V2" s="183" t="s">
        <v>1227</v>
      </c>
      <c r="W2" s="183" t="s">
        <v>1339</v>
      </c>
      <c r="X2" s="183" t="s">
        <v>1340</v>
      </c>
      <c r="Y2" s="183" t="s">
        <v>1227</v>
      </c>
      <c r="Z2" s="183" t="s">
        <v>1340</v>
      </c>
      <c r="AA2" s="183" t="s">
        <v>1227</v>
      </c>
      <c r="AB2" s="183" t="s">
        <v>1341</v>
      </c>
      <c r="AC2" s="183" t="s">
        <v>745</v>
      </c>
      <c r="AD2" s="183" t="s">
        <v>1317</v>
      </c>
      <c r="AE2" s="183" t="s">
        <v>1227</v>
      </c>
      <c r="AF2" s="183" t="s">
        <v>1323</v>
      </c>
      <c r="AG2" s="183" t="s">
        <v>1327</v>
      </c>
      <c r="AH2" s="183" t="s">
        <v>1318</v>
      </c>
      <c r="AI2" s="183" t="s">
        <v>1324</v>
      </c>
      <c r="AJ2" s="183" t="s">
        <v>1325</v>
      </c>
      <c r="AK2" s="183" t="s">
        <v>1319</v>
      </c>
      <c r="AL2" s="183" t="s">
        <v>1320</v>
      </c>
      <c r="AM2" s="183" t="s">
        <v>1321</v>
      </c>
      <c r="AN2" s="183" t="s">
        <v>1322</v>
      </c>
      <c r="AO2" s="183" t="s">
        <v>1320</v>
      </c>
      <c r="AP2" s="183" t="s">
        <v>1321</v>
      </c>
      <c r="AQ2" s="183" t="str">
        <f t="shared" ref="AQ2:AQ4" si="0">IF($M2="DR", $O2, $X2)</f>
        <v>EMANATE AI INC.</v>
      </c>
    </row>
    <row r="3" spans="1:43" s="27" customFormat="1" x14ac:dyDescent="0.35">
      <c r="A3" s="183" t="s">
        <v>1342</v>
      </c>
      <c r="B3" s="183" t="s">
        <v>1330</v>
      </c>
      <c r="C3" s="183" t="s">
        <v>1314</v>
      </c>
      <c r="D3" s="183" t="s">
        <v>716</v>
      </c>
      <c r="E3" s="183" t="s">
        <v>816</v>
      </c>
      <c r="F3" s="183" t="s">
        <v>1335</v>
      </c>
      <c r="G3" s="183" t="s">
        <v>1343</v>
      </c>
      <c r="H3" s="183" t="s">
        <v>1315</v>
      </c>
      <c r="I3" s="183" t="s">
        <v>1316</v>
      </c>
      <c r="J3" s="183" t="s">
        <v>817</v>
      </c>
      <c r="K3" s="185">
        <v>16000</v>
      </c>
      <c r="L3" s="184">
        <v>46150</v>
      </c>
      <c r="M3" s="183" t="s">
        <v>189</v>
      </c>
      <c r="N3" s="183" t="s">
        <v>1335</v>
      </c>
      <c r="O3" s="183" t="s">
        <v>1344</v>
      </c>
      <c r="P3" s="183" t="s">
        <v>1227</v>
      </c>
      <c r="Q3" s="183" t="s">
        <v>1344</v>
      </c>
      <c r="R3" s="183" t="s">
        <v>1227</v>
      </c>
      <c r="S3" s="183" t="s">
        <v>1345</v>
      </c>
      <c r="T3" s="183" t="s">
        <v>605</v>
      </c>
      <c r="U3" s="183" t="s">
        <v>818</v>
      </c>
      <c r="V3" s="183" t="s">
        <v>1227</v>
      </c>
      <c r="W3" s="183" t="s">
        <v>1346</v>
      </c>
      <c r="X3" s="183" t="s">
        <v>1347</v>
      </c>
      <c r="Y3" s="183" t="s">
        <v>1227</v>
      </c>
      <c r="Z3" s="183" t="s">
        <v>1347</v>
      </c>
      <c r="AA3" s="183" t="s">
        <v>1227</v>
      </c>
      <c r="AB3" s="183" t="s">
        <v>1348</v>
      </c>
      <c r="AC3" s="183" t="s">
        <v>745</v>
      </c>
      <c r="AD3" s="183" t="s">
        <v>1317</v>
      </c>
      <c r="AE3" s="183" t="s">
        <v>1227</v>
      </c>
      <c r="AF3" s="183" t="s">
        <v>1323</v>
      </c>
      <c r="AG3" s="183" t="s">
        <v>1327</v>
      </c>
      <c r="AH3" s="183" t="s">
        <v>1318</v>
      </c>
      <c r="AI3" s="183" t="s">
        <v>1324</v>
      </c>
      <c r="AJ3" s="183" t="s">
        <v>1325</v>
      </c>
      <c r="AK3" s="183" t="s">
        <v>1319</v>
      </c>
      <c r="AL3" s="183" t="s">
        <v>1320</v>
      </c>
      <c r="AM3" s="183" t="s">
        <v>1321</v>
      </c>
      <c r="AN3" s="183" t="s">
        <v>1322</v>
      </c>
      <c r="AO3" s="183" t="s">
        <v>1320</v>
      </c>
      <c r="AP3" s="183" t="s">
        <v>1321</v>
      </c>
      <c r="AQ3" s="183" t="str">
        <f t="shared" si="0"/>
        <v>DATA4CURE, INC.</v>
      </c>
    </row>
    <row r="4" spans="1:43" s="27" customFormat="1" x14ac:dyDescent="0.35">
      <c r="A4" s="183" t="s">
        <v>1349</v>
      </c>
      <c r="B4" s="183" t="s">
        <v>1330</v>
      </c>
      <c r="C4" s="183" t="s">
        <v>1314</v>
      </c>
      <c r="D4" s="183" t="s">
        <v>716</v>
      </c>
      <c r="E4" s="183" t="s">
        <v>816</v>
      </c>
      <c r="F4" s="183" t="s">
        <v>1335</v>
      </c>
      <c r="G4" s="183" t="s">
        <v>1350</v>
      </c>
      <c r="H4" s="183" t="s">
        <v>1315</v>
      </c>
      <c r="I4" s="183" t="s">
        <v>1316</v>
      </c>
      <c r="J4" s="183" t="s">
        <v>817</v>
      </c>
      <c r="K4" s="185">
        <v>4550</v>
      </c>
      <c r="L4" s="184">
        <v>46149</v>
      </c>
      <c r="M4" s="183" t="s">
        <v>189</v>
      </c>
      <c r="N4" s="183" t="s">
        <v>1335</v>
      </c>
      <c r="O4" s="183" t="s">
        <v>1331</v>
      </c>
      <c r="P4" s="183" t="s">
        <v>1227</v>
      </c>
      <c r="Q4" s="183" t="s">
        <v>1331</v>
      </c>
      <c r="R4" s="183" t="s">
        <v>1227</v>
      </c>
      <c r="S4" s="183" t="s">
        <v>1351</v>
      </c>
      <c r="T4" s="183" t="s">
        <v>745</v>
      </c>
      <c r="U4" s="183" t="s">
        <v>818</v>
      </c>
      <c r="V4" s="183" t="s">
        <v>1227</v>
      </c>
      <c r="W4" s="183" t="s">
        <v>1352</v>
      </c>
      <c r="X4" s="183" t="s">
        <v>1353</v>
      </c>
      <c r="Y4" s="183" t="s">
        <v>1227</v>
      </c>
      <c r="Z4" s="183" t="s">
        <v>1353</v>
      </c>
      <c r="AA4" s="183" t="s">
        <v>1227</v>
      </c>
      <c r="AB4" s="183" t="s">
        <v>1354</v>
      </c>
      <c r="AC4" s="183" t="s">
        <v>745</v>
      </c>
      <c r="AD4" s="183" t="s">
        <v>1317</v>
      </c>
      <c r="AE4" s="183" t="s">
        <v>1227</v>
      </c>
      <c r="AF4" s="183" t="s">
        <v>1323</v>
      </c>
      <c r="AG4" s="183" t="s">
        <v>1327</v>
      </c>
      <c r="AH4" s="183" t="s">
        <v>1319</v>
      </c>
      <c r="AI4" s="183" t="s">
        <v>1320</v>
      </c>
      <c r="AJ4" s="183" t="s">
        <v>1321</v>
      </c>
      <c r="AK4" s="183" t="s">
        <v>1322</v>
      </c>
      <c r="AL4" s="183" t="s">
        <v>1320</v>
      </c>
      <c r="AM4" s="183" t="s">
        <v>1321</v>
      </c>
      <c r="AN4" s="183"/>
      <c r="AO4" s="183"/>
      <c r="AP4" s="183"/>
      <c r="AQ4" s="183" t="str">
        <f t="shared" si="0"/>
        <v>WINDING AI INC</v>
      </c>
    </row>
    <row r="5" spans="1:43" s="27" customFormat="1" x14ac:dyDescent="0.35">
      <c r="A5" s="186"/>
      <c r="B5" s="186"/>
      <c r="C5" s="186"/>
      <c r="D5" s="186"/>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6"/>
      <c r="AI5" s="186"/>
      <c r="AJ5" s="186"/>
      <c r="AK5" s="186"/>
      <c r="AL5" s="186"/>
      <c r="AM5" s="186"/>
      <c r="AN5" s="186"/>
      <c r="AO5" s="186"/>
      <c r="AP5" s="186"/>
    </row>
    <row r="6" spans="1:43" s="27" customFormat="1" x14ac:dyDescent="0.35"/>
    <row r="7" spans="1:43" s="27" customFormat="1" x14ac:dyDescent="0.35"/>
    <row r="8" spans="1:43" s="27" customFormat="1" x14ac:dyDescent="0.35"/>
    <row r="9" spans="1:43" s="27" customFormat="1" x14ac:dyDescent="0.35"/>
    <row r="10" spans="1:43" s="27" customFormat="1" x14ac:dyDescent="0.35"/>
    <row r="11" spans="1:43" s="27" customFormat="1" x14ac:dyDescent="0.35"/>
    <row r="12" spans="1:43" s="27" customFormat="1" x14ac:dyDescent="0.35"/>
    <row r="13" spans="1:43" s="27" customFormat="1" x14ac:dyDescent="0.35"/>
    <row r="14" spans="1:43" s="27" customFormat="1" x14ac:dyDescent="0.35"/>
    <row r="15" spans="1:43" s="27" customFormat="1" x14ac:dyDescent="0.35"/>
    <row r="16" spans="1:43" s="27" customFormat="1" x14ac:dyDescent="0.35"/>
    <row r="17" s="27" customFormat="1" x14ac:dyDescent="0.35"/>
    <row r="18" s="27" customFormat="1" x14ac:dyDescent="0.35"/>
    <row r="19" s="27" customFormat="1" x14ac:dyDescent="0.35"/>
    <row r="20" s="27" customFormat="1" x14ac:dyDescent="0.35"/>
    <row r="21" s="27" customFormat="1" x14ac:dyDescent="0.35"/>
    <row r="22" s="27" customFormat="1" x14ac:dyDescent="0.35"/>
    <row r="23" s="27" customFormat="1" x14ac:dyDescent="0.35"/>
    <row r="24" s="27" customFormat="1" x14ac:dyDescent="0.35"/>
    <row r="25" s="27" customFormat="1" x14ac:dyDescent="0.35"/>
    <row r="26" s="27" customFormat="1" x14ac:dyDescent="0.35"/>
    <row r="27" s="27" customFormat="1" x14ac:dyDescent="0.35"/>
    <row r="28" s="27" customFormat="1" x14ac:dyDescent="0.35"/>
    <row r="29" s="27" customFormat="1" x14ac:dyDescent="0.35"/>
    <row r="30" s="27" customFormat="1" x14ac:dyDescent="0.35"/>
    <row r="31" s="27" customFormat="1" x14ac:dyDescent="0.35"/>
    <row r="32" s="27" customFormat="1" x14ac:dyDescent="0.35"/>
    <row r="33" s="27" customFormat="1" x14ac:dyDescent="0.35"/>
    <row r="34" s="27" customFormat="1" x14ac:dyDescent="0.35"/>
    <row r="35" s="27" customFormat="1" x14ac:dyDescent="0.35"/>
    <row r="36" s="27" customFormat="1" x14ac:dyDescent="0.35"/>
    <row r="37" s="27" customFormat="1" x14ac:dyDescent="0.35"/>
    <row r="38" s="27" customFormat="1" x14ac:dyDescent="0.35"/>
    <row r="39" s="27" customFormat="1" x14ac:dyDescent="0.35"/>
    <row r="40" s="27" customFormat="1" x14ac:dyDescent="0.35"/>
    <row r="41" s="27" customFormat="1" x14ac:dyDescent="0.35"/>
    <row r="42" s="27" customFormat="1" x14ac:dyDescent="0.35"/>
    <row r="43" s="27" customFormat="1" x14ac:dyDescent="0.35"/>
    <row r="44" s="27" customFormat="1" x14ac:dyDescent="0.35"/>
    <row r="45" s="27" customFormat="1" x14ac:dyDescent="0.35"/>
    <row r="46" s="27" customFormat="1" x14ac:dyDescent="0.35"/>
    <row r="47" s="27" customFormat="1" x14ac:dyDescent="0.35"/>
    <row r="48" s="27" customFormat="1" x14ac:dyDescent="0.35"/>
    <row r="49" s="27" customFormat="1" x14ac:dyDescent="0.35"/>
    <row r="50" s="27" customFormat="1" x14ac:dyDescent="0.35"/>
    <row r="51" s="27" customFormat="1" x14ac:dyDescent="0.35"/>
    <row r="52" s="27" customFormat="1" x14ac:dyDescent="0.35"/>
    <row r="53" s="27" customFormat="1" x14ac:dyDescent="0.35"/>
    <row r="54" s="27" customFormat="1" x14ac:dyDescent="0.35"/>
    <row r="55" s="27" customFormat="1" x14ac:dyDescent="0.35"/>
    <row r="56" s="27" customFormat="1" x14ac:dyDescent="0.35"/>
    <row r="57" s="27" customFormat="1" x14ac:dyDescent="0.35"/>
    <row r="58" s="27" customFormat="1" x14ac:dyDescent="0.35"/>
    <row r="59" s="27" customFormat="1" x14ac:dyDescent="0.35"/>
    <row r="60" s="27" customFormat="1" x14ac:dyDescent="0.35"/>
    <row r="61" s="27" customFormat="1" x14ac:dyDescent="0.35"/>
    <row r="62" s="27" customFormat="1" x14ac:dyDescent="0.35"/>
    <row r="63" s="27" customFormat="1" x14ac:dyDescent="0.35"/>
    <row r="64" s="27" customFormat="1" x14ac:dyDescent="0.35"/>
    <row r="65" s="27" customFormat="1" x14ac:dyDescent="0.35"/>
    <row r="66" s="27" customFormat="1" x14ac:dyDescent="0.35"/>
    <row r="67" s="27" customFormat="1" x14ac:dyDescent="0.35"/>
    <row r="68" s="27" customFormat="1" x14ac:dyDescent="0.35"/>
    <row r="69" s="27" customFormat="1" x14ac:dyDescent="0.35"/>
    <row r="70" s="27" customFormat="1" x14ac:dyDescent="0.35"/>
    <row r="71" s="27" customFormat="1" x14ac:dyDescent="0.35"/>
    <row r="72" s="27" customFormat="1" x14ac:dyDescent="0.35"/>
    <row r="73" s="27" customFormat="1" x14ac:dyDescent="0.35"/>
    <row r="74" s="27" customFormat="1" x14ac:dyDescent="0.35"/>
    <row r="75" s="27" customFormat="1" x14ac:dyDescent="0.35"/>
    <row r="76" s="27" customFormat="1" x14ac:dyDescent="0.35"/>
    <row r="77" s="27" customFormat="1" x14ac:dyDescent="0.35"/>
    <row r="78" s="27" customFormat="1" x14ac:dyDescent="0.35"/>
    <row r="79" s="27" customFormat="1" x14ac:dyDescent="0.35"/>
    <row r="80" s="27" customFormat="1" x14ac:dyDescent="0.35"/>
    <row r="81" s="27" customFormat="1" x14ac:dyDescent="0.35"/>
    <row r="82" s="27" customFormat="1" x14ac:dyDescent="0.35"/>
    <row r="83" s="27" customFormat="1" x14ac:dyDescent="0.35"/>
    <row r="84" s="27" customFormat="1" x14ac:dyDescent="0.35"/>
    <row r="85" s="27" customFormat="1" x14ac:dyDescent="0.35"/>
    <row r="86" s="27" customFormat="1" x14ac:dyDescent="0.35"/>
    <row r="87" s="27" customFormat="1" x14ac:dyDescent="0.35"/>
    <row r="88" s="27" customFormat="1" x14ac:dyDescent="0.35"/>
    <row r="89" s="27" customFormat="1" x14ac:dyDescent="0.35"/>
    <row r="90" s="27" customFormat="1" x14ac:dyDescent="0.35"/>
    <row r="91" s="27" customFormat="1" x14ac:dyDescent="0.35"/>
    <row r="92" s="27" customFormat="1" x14ac:dyDescent="0.35"/>
    <row r="93" s="27" customFormat="1" x14ac:dyDescent="0.35"/>
    <row r="94" s="27" customFormat="1" x14ac:dyDescent="0.35"/>
    <row r="95" s="27" customFormat="1" x14ac:dyDescent="0.35"/>
    <row r="96" s="27" customFormat="1" x14ac:dyDescent="0.35"/>
    <row r="97" s="27" customFormat="1" x14ac:dyDescent="0.35"/>
    <row r="98" s="27" customFormat="1" x14ac:dyDescent="0.35"/>
    <row r="99" s="27" customFormat="1" x14ac:dyDescent="0.35"/>
    <row r="100" s="27" customFormat="1" x14ac:dyDescent="0.35"/>
    <row r="101" s="27" customFormat="1" x14ac:dyDescent="0.35"/>
    <row r="102" s="27" customFormat="1" x14ac:dyDescent="0.35"/>
    <row r="103" s="27" customFormat="1" x14ac:dyDescent="0.35"/>
    <row r="104" s="27" customFormat="1" x14ac:dyDescent="0.35"/>
    <row r="105" s="27" customFormat="1" x14ac:dyDescent="0.35"/>
    <row r="106" s="27" customFormat="1" x14ac:dyDescent="0.35"/>
    <row r="107" s="27" customFormat="1" x14ac:dyDescent="0.35"/>
    <row r="108" s="27" customFormat="1" x14ac:dyDescent="0.35"/>
    <row r="109" s="27" customFormat="1" x14ac:dyDescent="0.35"/>
    <row r="110" s="27" customFormat="1" x14ac:dyDescent="0.35"/>
    <row r="111" s="27" customFormat="1" x14ac:dyDescent="0.35"/>
    <row r="112" s="27" customFormat="1" x14ac:dyDescent="0.35"/>
    <row r="113" s="27" customFormat="1" x14ac:dyDescent="0.35"/>
    <row r="114" s="27" customFormat="1" x14ac:dyDescent="0.35"/>
    <row r="115" s="27" customFormat="1" x14ac:dyDescent="0.35"/>
    <row r="116" s="27" customFormat="1" x14ac:dyDescent="0.35"/>
    <row r="117" s="27" customFormat="1" x14ac:dyDescent="0.35"/>
    <row r="118" s="27" customFormat="1" x14ac:dyDescent="0.35"/>
    <row r="119" s="27" customFormat="1" x14ac:dyDescent="0.35"/>
    <row r="120" s="27" customFormat="1" x14ac:dyDescent="0.35"/>
    <row r="121" s="27" customFormat="1" x14ac:dyDescent="0.35"/>
    <row r="122" s="27" customFormat="1" x14ac:dyDescent="0.35"/>
    <row r="123" s="27" customFormat="1" x14ac:dyDescent="0.35"/>
    <row r="124" s="27" customFormat="1" x14ac:dyDescent="0.35"/>
    <row r="125" s="27" customFormat="1" x14ac:dyDescent="0.35"/>
    <row r="126" s="27" customFormat="1" x14ac:dyDescent="0.35"/>
    <row r="127" s="27" customFormat="1" x14ac:dyDescent="0.35"/>
    <row r="128" s="27" customFormat="1" x14ac:dyDescent="0.35"/>
    <row r="129" s="27" customFormat="1" x14ac:dyDescent="0.35"/>
    <row r="130" s="27" customFormat="1" x14ac:dyDescent="0.35"/>
    <row r="131" s="27" customFormat="1" x14ac:dyDescent="0.35"/>
    <row r="132" s="27" customFormat="1" x14ac:dyDescent="0.35"/>
    <row r="133" s="27" customFormat="1" x14ac:dyDescent="0.35"/>
    <row r="134" s="27" customFormat="1" x14ac:dyDescent="0.35"/>
    <row r="135" s="27" customFormat="1" x14ac:dyDescent="0.35"/>
    <row r="136" s="27" customFormat="1" x14ac:dyDescent="0.35"/>
    <row r="137" s="27" customFormat="1" x14ac:dyDescent="0.35"/>
    <row r="138" s="27" customFormat="1" x14ac:dyDescent="0.35"/>
    <row r="139" s="27" customFormat="1" x14ac:dyDescent="0.35"/>
    <row r="140" s="27" customFormat="1" x14ac:dyDescent="0.35"/>
    <row r="141" s="27" customFormat="1" x14ac:dyDescent="0.35"/>
    <row r="142" s="27" customFormat="1" x14ac:dyDescent="0.35"/>
    <row r="143" s="27" customFormat="1" x14ac:dyDescent="0.35"/>
    <row r="144" s="27" customFormat="1" x14ac:dyDescent="0.35"/>
    <row r="145" s="27" customFormat="1" x14ac:dyDescent="0.35"/>
    <row r="146" s="27" customFormat="1" x14ac:dyDescent="0.35"/>
    <row r="147" s="27" customFormat="1" x14ac:dyDescent="0.35"/>
    <row r="148" s="27" customFormat="1" x14ac:dyDescent="0.35"/>
    <row r="149" s="27" customFormat="1" x14ac:dyDescent="0.35"/>
    <row r="150" s="27" customFormat="1" x14ac:dyDescent="0.35"/>
    <row r="151" s="27" customFormat="1" x14ac:dyDescent="0.35"/>
    <row r="152" s="27" customFormat="1" x14ac:dyDescent="0.35"/>
    <row r="153" s="27" customFormat="1" x14ac:dyDescent="0.35"/>
    <row r="154" s="27" customFormat="1" x14ac:dyDescent="0.35"/>
    <row r="155" s="27" customFormat="1" x14ac:dyDescent="0.35"/>
    <row r="156" s="27" customFormat="1" x14ac:dyDescent="0.35"/>
    <row r="157" s="27" customFormat="1" x14ac:dyDescent="0.35"/>
    <row r="158" s="27" customFormat="1" x14ac:dyDescent="0.35"/>
    <row r="159" s="27" customFormat="1" x14ac:dyDescent="0.35"/>
    <row r="160" s="27" customFormat="1" x14ac:dyDescent="0.35"/>
    <row r="161" s="27" customFormat="1" x14ac:dyDescent="0.35"/>
    <row r="162" s="27" customFormat="1" x14ac:dyDescent="0.35"/>
    <row r="163" s="27" customFormat="1" x14ac:dyDescent="0.35"/>
    <row r="164" s="27" customFormat="1" x14ac:dyDescent="0.35"/>
    <row r="165" s="27" customFormat="1" x14ac:dyDescent="0.35"/>
    <row r="166" s="27" customFormat="1" x14ac:dyDescent="0.35"/>
    <row r="167" s="27" customFormat="1" x14ac:dyDescent="0.35"/>
    <row r="168" s="27" customFormat="1" x14ac:dyDescent="0.35"/>
    <row r="169" s="27" customFormat="1" x14ac:dyDescent="0.35"/>
    <row r="170" s="27" customFormat="1" x14ac:dyDescent="0.35"/>
    <row r="171" s="27" customFormat="1" x14ac:dyDescent="0.35"/>
    <row r="172" s="27" customFormat="1" x14ac:dyDescent="0.35"/>
    <row r="173" s="27" customFormat="1" x14ac:dyDescent="0.35"/>
    <row r="174" s="27" customFormat="1" x14ac:dyDescent="0.35"/>
    <row r="175" s="27" customFormat="1" x14ac:dyDescent="0.35"/>
    <row r="176" s="27" customFormat="1" x14ac:dyDescent="0.35"/>
    <row r="177" s="27" customFormat="1" x14ac:dyDescent="0.35"/>
    <row r="178" s="27" customFormat="1" x14ac:dyDescent="0.35"/>
    <row r="179" s="27" customFormat="1" x14ac:dyDescent="0.35"/>
    <row r="180" s="27" customFormat="1" x14ac:dyDescent="0.35"/>
    <row r="181" s="27" customFormat="1" x14ac:dyDescent="0.35"/>
    <row r="182" s="27" customFormat="1" x14ac:dyDescent="0.35"/>
    <row r="183" s="27" customFormat="1" x14ac:dyDescent="0.35"/>
    <row r="184" s="27" customFormat="1" x14ac:dyDescent="0.35"/>
    <row r="185" s="27" customFormat="1" x14ac:dyDescent="0.35"/>
    <row r="186" s="27" customFormat="1" x14ac:dyDescent="0.35"/>
    <row r="187" s="27" customFormat="1" x14ac:dyDescent="0.35"/>
    <row r="188" s="27" customFormat="1" x14ac:dyDescent="0.35"/>
    <row r="189" s="27" customFormat="1" x14ac:dyDescent="0.35"/>
    <row r="190" s="27" customFormat="1" x14ac:dyDescent="0.35"/>
    <row r="191" s="27" customFormat="1" x14ac:dyDescent="0.35"/>
    <row r="192" s="27" customFormat="1" x14ac:dyDescent="0.35"/>
    <row r="193" s="27" customFormat="1" x14ac:dyDescent="0.35"/>
    <row r="194" s="27" customFormat="1" x14ac:dyDescent="0.35"/>
    <row r="195" s="27" customFormat="1" x14ac:dyDescent="0.35"/>
    <row r="196" s="27" customFormat="1" x14ac:dyDescent="0.35"/>
    <row r="197" s="27" customFormat="1" x14ac:dyDescent="0.35"/>
    <row r="198" s="27" customFormat="1" x14ac:dyDescent="0.35"/>
    <row r="199" s="27" customFormat="1" x14ac:dyDescent="0.35"/>
    <row r="200" s="27" customFormat="1" x14ac:dyDescent="0.35"/>
    <row r="201" s="27" customFormat="1" x14ac:dyDescent="0.35"/>
    <row r="202" s="27" customFormat="1" x14ac:dyDescent="0.35"/>
    <row r="203" s="27" customFormat="1" x14ac:dyDescent="0.35"/>
    <row r="204" s="27" customFormat="1" x14ac:dyDescent="0.35"/>
    <row r="205" s="27" customFormat="1" x14ac:dyDescent="0.35"/>
    <row r="206" s="27" customFormat="1" x14ac:dyDescent="0.35"/>
    <row r="207" s="27" customFormat="1" x14ac:dyDescent="0.35"/>
    <row r="208" s="27" customFormat="1" x14ac:dyDescent="0.35"/>
    <row r="209" s="27" customFormat="1" x14ac:dyDescent="0.35"/>
    <row r="210" s="27" customFormat="1" x14ac:dyDescent="0.35"/>
    <row r="211" s="27" customFormat="1" x14ac:dyDescent="0.35"/>
    <row r="212" s="27" customFormat="1" x14ac:dyDescent="0.35"/>
    <row r="213" s="27" customFormat="1" x14ac:dyDescent="0.35"/>
    <row r="214" s="27" customFormat="1" x14ac:dyDescent="0.35"/>
    <row r="215" s="27" customFormat="1" x14ac:dyDescent="0.35"/>
    <row r="216" s="27" customFormat="1" x14ac:dyDescent="0.35"/>
    <row r="217" s="27" customFormat="1" x14ac:dyDescent="0.35"/>
  </sheetData>
  <sheetProtection algorithmName="SHA-512" hashValue="samqagLLajgLqZmPCRW0orDObakHXHKaXWKdQ/zSf9JWYoriOaQcpdxVy17Wx9fqXaXqVthE+MBScn7C92XDIw==" saltValue="f0NV5R/hyTeL9flvpubuMg==" spinCount="100000" sheet="1" objects="1" scenarios="1"/>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79998168889431442"/>
  </sheetPr>
  <dimension ref="A1:I192"/>
  <sheetViews>
    <sheetView topLeftCell="A170" zoomScale="115" zoomScaleNormal="115" workbookViewId="0">
      <selection activeCell="I178" sqref="I178"/>
    </sheetView>
  </sheetViews>
  <sheetFormatPr defaultRowHeight="14.5" x14ac:dyDescent="0.35"/>
  <cols>
    <col min="1" max="1" width="14.81640625" bestFit="1" customWidth="1"/>
    <col min="2" max="2" width="9.1796875" bestFit="1" customWidth="1"/>
    <col min="3" max="3" width="11.26953125" bestFit="1" customWidth="1"/>
    <col min="4" max="4" width="11.54296875" bestFit="1" customWidth="1"/>
    <col min="5" max="5" width="12.81640625" bestFit="1" customWidth="1"/>
    <col min="6" max="6" width="25.1796875" bestFit="1" customWidth="1"/>
    <col min="7" max="7" width="11.1796875" bestFit="1" customWidth="1"/>
    <col min="8" max="8" width="14.26953125" bestFit="1" customWidth="1"/>
  </cols>
  <sheetData>
    <row r="1" spans="1:9" x14ac:dyDescent="0.35">
      <c r="A1" t="s">
        <v>819</v>
      </c>
      <c r="B1" t="s">
        <v>820</v>
      </c>
      <c r="C1" t="s">
        <v>821</v>
      </c>
      <c r="D1" t="s">
        <v>822</v>
      </c>
      <c r="E1" t="s">
        <v>823</v>
      </c>
      <c r="F1" t="s">
        <v>824</v>
      </c>
      <c r="G1" t="s">
        <v>825</v>
      </c>
      <c r="H1" s="76" t="s">
        <v>826</v>
      </c>
      <c r="I1" s="76" t="s">
        <v>1276</v>
      </c>
    </row>
    <row r="2" spans="1:9" x14ac:dyDescent="0.35">
      <c r="A2" s="72">
        <v>46142.930358796293</v>
      </c>
      <c r="B2" t="s">
        <v>827</v>
      </c>
      <c r="C2">
        <v>12</v>
      </c>
      <c r="D2">
        <v>1</v>
      </c>
      <c r="E2">
        <v>5</v>
      </c>
      <c r="F2" t="s">
        <v>828</v>
      </c>
      <c r="G2" t="s">
        <v>829</v>
      </c>
    </row>
    <row r="3" spans="1:9" x14ac:dyDescent="0.35">
      <c r="A3" s="72">
        <v>46142.937476851846</v>
      </c>
      <c r="B3" t="s">
        <v>827</v>
      </c>
      <c r="C3">
        <v>123</v>
      </c>
      <c r="D3">
        <v>1</v>
      </c>
      <c r="E3">
        <v>1</v>
      </c>
      <c r="F3" t="s">
        <v>830</v>
      </c>
      <c r="G3" t="s">
        <v>829</v>
      </c>
    </row>
    <row r="4" spans="1:9" x14ac:dyDescent="0.35">
      <c r="A4" s="72">
        <v>46145.370891203696</v>
      </c>
      <c r="B4" t="s">
        <v>827</v>
      </c>
      <c r="C4">
        <v>123</v>
      </c>
      <c r="D4">
        <v>7</v>
      </c>
      <c r="E4">
        <v>0</v>
      </c>
      <c r="F4" t="s">
        <v>831</v>
      </c>
      <c r="G4" t="s">
        <v>832</v>
      </c>
    </row>
    <row r="5" spans="1:9" x14ac:dyDescent="0.35">
      <c r="A5" s="72">
        <v>46145.384375000001</v>
      </c>
      <c r="B5" t="s">
        <v>827</v>
      </c>
      <c r="C5">
        <v>123</v>
      </c>
      <c r="D5">
        <v>7</v>
      </c>
      <c r="E5">
        <v>35</v>
      </c>
      <c r="F5" t="s">
        <v>833</v>
      </c>
      <c r="G5" t="s">
        <v>834</v>
      </c>
    </row>
    <row r="6" spans="1:9" x14ac:dyDescent="0.35">
      <c r="A6" s="72">
        <v>46145.402349537027</v>
      </c>
      <c r="B6" t="s">
        <v>827</v>
      </c>
      <c r="C6">
        <v>123</v>
      </c>
      <c r="D6">
        <v>7</v>
      </c>
      <c r="E6">
        <v>35</v>
      </c>
      <c r="F6" t="s">
        <v>835</v>
      </c>
      <c r="G6" t="s">
        <v>834</v>
      </c>
    </row>
    <row r="7" spans="1:9" x14ac:dyDescent="0.35">
      <c r="A7" s="72">
        <v>46145.466944444437</v>
      </c>
      <c r="B7" t="s">
        <v>827</v>
      </c>
      <c r="C7">
        <v>123</v>
      </c>
      <c r="D7">
        <v>5</v>
      </c>
      <c r="E7">
        <v>23</v>
      </c>
      <c r="F7" t="s">
        <v>836</v>
      </c>
      <c r="G7" t="s">
        <v>834</v>
      </c>
    </row>
    <row r="8" spans="1:9" x14ac:dyDescent="0.35">
      <c r="A8" s="72">
        <v>46145.473622685182</v>
      </c>
      <c r="B8" t="s">
        <v>827</v>
      </c>
      <c r="C8">
        <v>11111</v>
      </c>
      <c r="D8">
        <v>1</v>
      </c>
      <c r="E8">
        <v>5</v>
      </c>
      <c r="F8" t="s">
        <v>837</v>
      </c>
      <c r="G8" t="s">
        <v>834</v>
      </c>
    </row>
    <row r="9" spans="1:9" x14ac:dyDescent="0.35">
      <c r="A9" s="72">
        <v>46145.474849537037</v>
      </c>
      <c r="B9" t="s">
        <v>827</v>
      </c>
      <c r="C9">
        <v>1</v>
      </c>
      <c r="D9">
        <v>1</v>
      </c>
      <c r="E9">
        <v>5</v>
      </c>
      <c r="F9" t="s">
        <v>838</v>
      </c>
      <c r="G9" t="s">
        <v>834</v>
      </c>
    </row>
    <row r="10" spans="1:9" x14ac:dyDescent="0.35">
      <c r="A10" s="72">
        <v>46145.594849537039</v>
      </c>
      <c r="B10" t="s">
        <v>827</v>
      </c>
      <c r="C10">
        <v>123</v>
      </c>
      <c r="D10">
        <v>1</v>
      </c>
      <c r="E10">
        <v>5</v>
      </c>
      <c r="F10" t="s">
        <v>839</v>
      </c>
      <c r="G10" t="s">
        <v>834</v>
      </c>
    </row>
    <row r="11" spans="1:9" x14ac:dyDescent="0.35">
      <c r="A11" s="72">
        <v>46145.960868055547</v>
      </c>
      <c r="B11" t="s">
        <v>827</v>
      </c>
      <c r="C11">
        <v>19793</v>
      </c>
      <c r="D11">
        <v>5</v>
      </c>
      <c r="E11">
        <v>23</v>
      </c>
      <c r="F11" t="s">
        <v>840</v>
      </c>
      <c r="G11" t="s">
        <v>841</v>
      </c>
    </row>
    <row r="12" spans="1:9" x14ac:dyDescent="0.35">
      <c r="A12" s="72">
        <v>46145.972534722219</v>
      </c>
      <c r="B12" t="s">
        <v>827</v>
      </c>
      <c r="C12">
        <v>19793</v>
      </c>
      <c r="D12">
        <v>5</v>
      </c>
      <c r="E12">
        <v>23</v>
      </c>
      <c r="F12" t="s">
        <v>842</v>
      </c>
      <c r="G12" t="s">
        <v>841</v>
      </c>
    </row>
    <row r="13" spans="1:9" x14ac:dyDescent="0.35">
      <c r="A13" s="72">
        <v>46145.994583333333</v>
      </c>
      <c r="B13" t="s">
        <v>827</v>
      </c>
      <c r="C13">
        <v>19793</v>
      </c>
      <c r="D13">
        <v>5</v>
      </c>
      <c r="E13">
        <v>23</v>
      </c>
      <c r="F13" t="s">
        <v>843</v>
      </c>
      <c r="G13" t="s">
        <v>844</v>
      </c>
    </row>
    <row r="14" spans="1:9" x14ac:dyDescent="0.35">
      <c r="A14" s="72">
        <v>46146.008067129631</v>
      </c>
      <c r="B14" t="s">
        <v>827</v>
      </c>
      <c r="C14">
        <v>19793</v>
      </c>
      <c r="D14">
        <v>5</v>
      </c>
      <c r="E14">
        <v>23</v>
      </c>
      <c r="F14" t="s">
        <v>845</v>
      </c>
      <c r="G14" t="s">
        <v>846</v>
      </c>
    </row>
    <row r="15" spans="1:9" x14ac:dyDescent="0.35">
      <c r="A15" s="72">
        <v>46146.018854166658</v>
      </c>
      <c r="B15" t="s">
        <v>827</v>
      </c>
      <c r="C15">
        <v>1</v>
      </c>
      <c r="D15">
        <v>5</v>
      </c>
      <c r="E15">
        <v>23</v>
      </c>
      <c r="F15" t="s">
        <v>847</v>
      </c>
      <c r="G15" t="s">
        <v>846</v>
      </c>
    </row>
    <row r="16" spans="1:9" x14ac:dyDescent="0.35">
      <c r="A16" s="72">
        <v>46146.029097222221</v>
      </c>
      <c r="B16" t="s">
        <v>827</v>
      </c>
      <c r="C16">
        <v>1</v>
      </c>
      <c r="D16">
        <v>5</v>
      </c>
      <c r="E16">
        <v>23</v>
      </c>
      <c r="F16" t="s">
        <v>848</v>
      </c>
      <c r="G16" t="s">
        <v>849</v>
      </c>
    </row>
    <row r="17" spans="1:7" x14ac:dyDescent="0.35">
      <c r="A17" s="72">
        <v>46146.040289351848</v>
      </c>
      <c r="B17" t="s">
        <v>827</v>
      </c>
      <c r="C17">
        <v>1</v>
      </c>
      <c r="D17">
        <v>5</v>
      </c>
      <c r="E17">
        <v>23</v>
      </c>
      <c r="F17" t="s">
        <v>850</v>
      </c>
      <c r="G17" t="s">
        <v>851</v>
      </c>
    </row>
    <row r="18" spans="1:7" x14ac:dyDescent="0.35">
      <c r="A18" s="72">
        <v>46146.063888888893</v>
      </c>
      <c r="B18" t="s">
        <v>827</v>
      </c>
      <c r="C18">
        <v>1</v>
      </c>
      <c r="D18">
        <v>5</v>
      </c>
      <c r="E18">
        <v>23</v>
      </c>
      <c r="F18" t="s">
        <v>852</v>
      </c>
      <c r="G18" t="s">
        <v>853</v>
      </c>
    </row>
    <row r="19" spans="1:7" x14ac:dyDescent="0.35">
      <c r="A19" s="72">
        <v>46146.077893518523</v>
      </c>
      <c r="B19" t="s">
        <v>827</v>
      </c>
      <c r="C19">
        <v>2</v>
      </c>
      <c r="D19">
        <v>5</v>
      </c>
      <c r="E19">
        <v>23</v>
      </c>
      <c r="F19" t="s">
        <v>854</v>
      </c>
      <c r="G19" t="s">
        <v>855</v>
      </c>
    </row>
    <row r="20" spans="1:7" x14ac:dyDescent="0.35">
      <c r="A20" s="72">
        <v>46146.316620370373</v>
      </c>
      <c r="B20" t="s">
        <v>827</v>
      </c>
      <c r="C20">
        <v>2</v>
      </c>
      <c r="D20">
        <v>5</v>
      </c>
      <c r="E20">
        <v>23</v>
      </c>
      <c r="F20" t="s">
        <v>856</v>
      </c>
      <c r="G20" t="s">
        <v>855</v>
      </c>
    </row>
    <row r="21" spans="1:7" x14ac:dyDescent="0.35">
      <c r="A21" s="72">
        <v>46146.3284375</v>
      </c>
      <c r="B21" t="s">
        <v>827</v>
      </c>
      <c r="C21">
        <v>3</v>
      </c>
      <c r="D21">
        <v>5</v>
      </c>
      <c r="E21">
        <v>23</v>
      </c>
      <c r="F21" t="s">
        <v>857</v>
      </c>
      <c r="G21" t="s">
        <v>858</v>
      </c>
    </row>
    <row r="22" spans="1:7" x14ac:dyDescent="0.35">
      <c r="A22" s="72">
        <v>46146.346956018519</v>
      </c>
      <c r="B22" t="s">
        <v>827</v>
      </c>
      <c r="C22">
        <v>19797</v>
      </c>
      <c r="D22">
        <v>2</v>
      </c>
      <c r="E22">
        <v>11</v>
      </c>
      <c r="F22" t="s">
        <v>859</v>
      </c>
      <c r="G22" t="s">
        <v>860</v>
      </c>
    </row>
    <row r="23" spans="1:7" x14ac:dyDescent="0.35">
      <c r="A23" s="72">
        <v>46146.371712962973</v>
      </c>
      <c r="B23" t="s">
        <v>827</v>
      </c>
      <c r="C23">
        <v>94540</v>
      </c>
      <c r="D23">
        <v>5</v>
      </c>
      <c r="E23">
        <v>17</v>
      </c>
      <c r="F23" t="s">
        <v>861</v>
      </c>
      <c r="G23" t="s">
        <v>862</v>
      </c>
    </row>
    <row r="24" spans="1:7" x14ac:dyDescent="0.35">
      <c r="A24" s="72">
        <v>46146.477835648147</v>
      </c>
      <c r="B24" t="s">
        <v>827</v>
      </c>
      <c r="C24">
        <v>123</v>
      </c>
      <c r="D24">
        <v>1</v>
      </c>
      <c r="E24">
        <v>5</v>
      </c>
      <c r="F24" t="s">
        <v>863</v>
      </c>
      <c r="G24" t="s">
        <v>862</v>
      </c>
    </row>
    <row r="25" spans="1:7" x14ac:dyDescent="0.35">
      <c r="A25" s="72">
        <v>46146.525324074071</v>
      </c>
      <c r="B25" t="s">
        <v>827</v>
      </c>
      <c r="C25">
        <v>109720</v>
      </c>
      <c r="D25">
        <v>5</v>
      </c>
      <c r="E25">
        <v>27</v>
      </c>
      <c r="F25" t="s">
        <v>864</v>
      </c>
      <c r="G25" t="s">
        <v>862</v>
      </c>
    </row>
    <row r="26" spans="1:7" x14ac:dyDescent="0.35">
      <c r="A26" s="72">
        <v>46147.409930555557</v>
      </c>
      <c r="B26" t="s">
        <v>827</v>
      </c>
      <c r="C26">
        <v>12345</v>
      </c>
      <c r="D26">
        <v>2</v>
      </c>
      <c r="E26">
        <v>10</v>
      </c>
      <c r="F26" t="s">
        <v>865</v>
      </c>
      <c r="G26" t="s">
        <v>862</v>
      </c>
    </row>
    <row r="27" spans="1:7" x14ac:dyDescent="0.35">
      <c r="A27" s="72">
        <v>46147.412129629629</v>
      </c>
      <c r="B27" t="s">
        <v>827</v>
      </c>
      <c r="C27">
        <v>12345</v>
      </c>
      <c r="D27">
        <v>2</v>
      </c>
      <c r="E27">
        <v>10</v>
      </c>
      <c r="F27" t="s">
        <v>866</v>
      </c>
      <c r="G27" t="s">
        <v>862</v>
      </c>
    </row>
    <row r="28" spans="1:7" x14ac:dyDescent="0.35">
      <c r="A28" s="72">
        <v>46147.509305555563</v>
      </c>
      <c r="B28" t="s">
        <v>827</v>
      </c>
      <c r="C28">
        <v>12345</v>
      </c>
      <c r="D28">
        <v>2</v>
      </c>
      <c r="E28">
        <v>10</v>
      </c>
      <c r="F28" t="s">
        <v>867</v>
      </c>
      <c r="G28" t="s">
        <v>862</v>
      </c>
    </row>
    <row r="29" spans="1:7" x14ac:dyDescent="0.35">
      <c r="A29" s="72">
        <v>46147.514189814807</v>
      </c>
      <c r="B29" t="s">
        <v>827</v>
      </c>
      <c r="C29">
        <v>12345</v>
      </c>
      <c r="D29">
        <v>2</v>
      </c>
      <c r="E29">
        <v>10</v>
      </c>
      <c r="F29" t="s">
        <v>868</v>
      </c>
      <c r="G29" t="s">
        <v>862</v>
      </c>
    </row>
    <row r="30" spans="1:7" x14ac:dyDescent="0.35">
      <c r="A30" s="72">
        <v>46147.671747685177</v>
      </c>
      <c r="B30" t="s">
        <v>827</v>
      </c>
      <c r="C30">
        <v>108077</v>
      </c>
      <c r="D30">
        <v>5</v>
      </c>
      <c r="E30">
        <v>15</v>
      </c>
      <c r="F30" t="s">
        <v>869</v>
      </c>
      <c r="G30" t="s">
        <v>862</v>
      </c>
    </row>
    <row r="31" spans="1:7" x14ac:dyDescent="0.35">
      <c r="A31" s="72">
        <v>46147.79650462963</v>
      </c>
      <c r="B31" t="s">
        <v>827</v>
      </c>
      <c r="C31">
        <v>32617</v>
      </c>
      <c r="D31">
        <v>4</v>
      </c>
      <c r="E31">
        <v>24</v>
      </c>
      <c r="F31" t="s">
        <v>870</v>
      </c>
      <c r="G31" t="s">
        <v>862</v>
      </c>
    </row>
    <row r="32" spans="1:7" x14ac:dyDescent="0.35">
      <c r="A32" s="72">
        <v>46147.956250000003</v>
      </c>
      <c r="B32" t="s">
        <v>827</v>
      </c>
      <c r="C32">
        <v>48570</v>
      </c>
      <c r="D32">
        <v>2</v>
      </c>
      <c r="E32">
        <v>8</v>
      </c>
      <c r="F32" t="s">
        <v>871</v>
      </c>
      <c r="G32" t="s">
        <v>862</v>
      </c>
    </row>
    <row r="33" spans="1:7" x14ac:dyDescent="0.35">
      <c r="A33" s="72">
        <v>46147.982465277782</v>
      </c>
      <c r="B33" t="s">
        <v>827</v>
      </c>
      <c r="C33">
        <v>48570</v>
      </c>
      <c r="D33">
        <v>2</v>
      </c>
      <c r="E33">
        <v>9</v>
      </c>
      <c r="F33" t="s">
        <v>872</v>
      </c>
      <c r="G33" t="s">
        <v>862</v>
      </c>
    </row>
    <row r="34" spans="1:7" x14ac:dyDescent="0.35">
      <c r="A34" s="72">
        <v>46148.008310185192</v>
      </c>
      <c r="B34" t="s">
        <v>827</v>
      </c>
      <c r="C34">
        <v>49215</v>
      </c>
      <c r="D34">
        <v>2</v>
      </c>
      <c r="E34">
        <v>6</v>
      </c>
      <c r="F34" t="s">
        <v>873</v>
      </c>
      <c r="G34" t="s">
        <v>862</v>
      </c>
    </row>
    <row r="35" spans="1:7" x14ac:dyDescent="0.35">
      <c r="A35" s="72">
        <v>46148.387638888889</v>
      </c>
      <c r="B35" t="s">
        <v>827</v>
      </c>
      <c r="C35">
        <v>85844</v>
      </c>
      <c r="D35">
        <v>3</v>
      </c>
      <c r="E35">
        <v>9</v>
      </c>
      <c r="F35" t="s">
        <v>874</v>
      </c>
      <c r="G35" t="s">
        <v>862</v>
      </c>
    </row>
    <row r="36" spans="1:7" x14ac:dyDescent="0.35">
      <c r="A36" s="72">
        <v>46148.403807870367</v>
      </c>
      <c r="B36" t="s">
        <v>827</v>
      </c>
      <c r="C36">
        <v>49228</v>
      </c>
      <c r="D36">
        <v>2</v>
      </c>
      <c r="E36">
        <v>6</v>
      </c>
      <c r="F36" t="s">
        <v>839</v>
      </c>
      <c r="G36" t="s">
        <v>862</v>
      </c>
    </row>
    <row r="37" spans="1:7" x14ac:dyDescent="0.35">
      <c r="A37" s="72">
        <v>46148.413449074083</v>
      </c>
      <c r="B37" t="s">
        <v>827</v>
      </c>
      <c r="C37">
        <v>49246</v>
      </c>
      <c r="D37">
        <v>2</v>
      </c>
      <c r="E37">
        <v>6</v>
      </c>
      <c r="F37" t="s">
        <v>875</v>
      </c>
      <c r="G37" t="s">
        <v>862</v>
      </c>
    </row>
    <row r="38" spans="1:7" x14ac:dyDescent="0.35">
      <c r="A38" s="72">
        <v>46148.616469907407</v>
      </c>
      <c r="B38" t="s">
        <v>827</v>
      </c>
      <c r="C38">
        <v>1</v>
      </c>
      <c r="D38">
        <v>2</v>
      </c>
      <c r="E38">
        <v>6</v>
      </c>
      <c r="F38" t="s">
        <v>876</v>
      </c>
      <c r="G38" t="s">
        <v>862</v>
      </c>
    </row>
    <row r="39" spans="1:7" x14ac:dyDescent="0.35">
      <c r="A39" s="72">
        <v>46148.694710648153</v>
      </c>
      <c r="B39" t="s">
        <v>827</v>
      </c>
      <c r="C39">
        <v>107260</v>
      </c>
      <c r="D39">
        <v>2</v>
      </c>
      <c r="E39">
        <v>8</v>
      </c>
      <c r="F39" t="s">
        <v>877</v>
      </c>
      <c r="G39" t="s">
        <v>862</v>
      </c>
    </row>
    <row r="40" spans="1:7" x14ac:dyDescent="0.35">
      <c r="A40" s="72">
        <v>46148.70921296296</v>
      </c>
      <c r="B40" t="s">
        <v>827</v>
      </c>
      <c r="C40">
        <v>107260</v>
      </c>
      <c r="D40">
        <v>1</v>
      </c>
      <c r="E40">
        <v>5</v>
      </c>
      <c r="F40" t="s">
        <v>837</v>
      </c>
      <c r="G40" t="s">
        <v>862</v>
      </c>
    </row>
    <row r="41" spans="1:7" x14ac:dyDescent="0.35">
      <c r="A41" s="72">
        <v>46149.530289351853</v>
      </c>
      <c r="B41" t="s">
        <v>827</v>
      </c>
      <c r="C41">
        <v>106412</v>
      </c>
      <c r="D41">
        <v>2</v>
      </c>
      <c r="E41">
        <v>11</v>
      </c>
      <c r="F41" t="s">
        <v>878</v>
      </c>
      <c r="G41" t="s">
        <v>862</v>
      </c>
    </row>
    <row r="42" spans="1:7" x14ac:dyDescent="0.35">
      <c r="A42" s="72">
        <v>46149.621759259258</v>
      </c>
      <c r="B42" t="s">
        <v>827</v>
      </c>
      <c r="C42">
        <v>84448</v>
      </c>
      <c r="D42">
        <v>3</v>
      </c>
      <c r="E42">
        <v>9</v>
      </c>
      <c r="F42" t="s">
        <v>879</v>
      </c>
      <c r="G42" t="s">
        <v>862</v>
      </c>
    </row>
    <row r="43" spans="1:7" x14ac:dyDescent="0.35">
      <c r="A43" s="72">
        <v>46149.885347222233</v>
      </c>
      <c r="B43" t="s">
        <v>827</v>
      </c>
      <c r="C43">
        <v>84351</v>
      </c>
      <c r="D43">
        <v>2</v>
      </c>
      <c r="E43">
        <v>12</v>
      </c>
      <c r="F43" t="s">
        <v>880</v>
      </c>
      <c r="G43" t="s">
        <v>862</v>
      </c>
    </row>
    <row r="44" spans="1:7" x14ac:dyDescent="0.35">
      <c r="A44" s="72">
        <v>46149.940567129634</v>
      </c>
      <c r="B44" t="s">
        <v>827</v>
      </c>
      <c r="C44">
        <v>1</v>
      </c>
      <c r="D44">
        <v>2</v>
      </c>
      <c r="E44">
        <v>14</v>
      </c>
      <c r="F44" t="s">
        <v>881</v>
      </c>
      <c r="G44" t="s">
        <v>862</v>
      </c>
    </row>
    <row r="45" spans="1:7" x14ac:dyDescent="0.35">
      <c r="A45" s="72">
        <v>46150.595902777779</v>
      </c>
      <c r="B45" t="s">
        <v>827</v>
      </c>
      <c r="C45">
        <v>105847</v>
      </c>
      <c r="D45">
        <v>5</v>
      </c>
      <c r="E45">
        <v>25</v>
      </c>
      <c r="F45" t="s">
        <v>882</v>
      </c>
      <c r="G45" t="s">
        <v>862</v>
      </c>
    </row>
    <row r="46" spans="1:7" x14ac:dyDescent="0.35">
      <c r="A46" s="72">
        <v>46150.802743055552</v>
      </c>
      <c r="B46" t="s">
        <v>827</v>
      </c>
      <c r="C46">
        <v>82335</v>
      </c>
      <c r="D46">
        <v>5</v>
      </c>
      <c r="E46">
        <v>31</v>
      </c>
      <c r="F46" t="s">
        <v>883</v>
      </c>
      <c r="G46" t="s">
        <v>862</v>
      </c>
    </row>
    <row r="47" spans="1:7" x14ac:dyDescent="0.35">
      <c r="A47" s="72">
        <v>46153.593530092592</v>
      </c>
      <c r="B47" t="s">
        <v>827</v>
      </c>
      <c r="C47">
        <v>81022</v>
      </c>
      <c r="D47">
        <v>1</v>
      </c>
      <c r="E47">
        <v>7</v>
      </c>
      <c r="F47" t="s">
        <v>884</v>
      </c>
      <c r="G47" t="s">
        <v>862</v>
      </c>
    </row>
    <row r="48" spans="1:7" x14ac:dyDescent="0.35">
      <c r="A48" s="72">
        <v>46153.639340277783</v>
      </c>
      <c r="B48" t="s">
        <v>827</v>
      </c>
      <c r="C48">
        <v>93667</v>
      </c>
      <c r="D48">
        <v>5</v>
      </c>
      <c r="E48">
        <v>17</v>
      </c>
      <c r="F48" t="s">
        <v>885</v>
      </c>
      <c r="G48" t="s">
        <v>862</v>
      </c>
    </row>
    <row r="49" spans="1:8" x14ac:dyDescent="0.35">
      <c r="A49" s="72">
        <v>46153.647662037038</v>
      </c>
      <c r="B49" t="s">
        <v>827</v>
      </c>
      <c r="C49">
        <v>93667</v>
      </c>
      <c r="D49">
        <v>4</v>
      </c>
      <c r="E49">
        <v>20</v>
      </c>
      <c r="F49" t="s">
        <v>886</v>
      </c>
      <c r="G49" t="s">
        <v>862</v>
      </c>
    </row>
    <row r="50" spans="1:8" x14ac:dyDescent="0.35">
      <c r="A50" s="72">
        <v>46153.704641203702</v>
      </c>
      <c r="B50" t="s">
        <v>827</v>
      </c>
      <c r="C50">
        <v>108993</v>
      </c>
      <c r="D50">
        <v>2</v>
      </c>
      <c r="E50">
        <v>6</v>
      </c>
      <c r="F50" t="s">
        <v>887</v>
      </c>
      <c r="G50" t="s">
        <v>862</v>
      </c>
    </row>
    <row r="51" spans="1:8" x14ac:dyDescent="0.35">
      <c r="A51" s="72">
        <v>46154.412430555552</v>
      </c>
      <c r="B51" t="s">
        <v>827</v>
      </c>
      <c r="C51">
        <v>108594</v>
      </c>
      <c r="D51">
        <v>2</v>
      </c>
      <c r="E51">
        <v>8</v>
      </c>
      <c r="F51" t="s">
        <v>888</v>
      </c>
      <c r="G51" t="s">
        <v>862</v>
      </c>
    </row>
    <row r="52" spans="1:8" x14ac:dyDescent="0.35">
      <c r="A52" s="72">
        <v>46154.481574074067</v>
      </c>
      <c r="B52" t="s">
        <v>827</v>
      </c>
      <c r="C52">
        <v>83931</v>
      </c>
      <c r="D52">
        <v>3</v>
      </c>
      <c r="E52">
        <v>19</v>
      </c>
      <c r="F52" t="s">
        <v>889</v>
      </c>
      <c r="G52" t="s">
        <v>862</v>
      </c>
    </row>
    <row r="53" spans="1:8" x14ac:dyDescent="0.35">
      <c r="A53" s="72">
        <v>46154.516087962962</v>
      </c>
      <c r="B53" t="s">
        <v>827</v>
      </c>
      <c r="C53">
        <v>71800</v>
      </c>
      <c r="D53">
        <v>2</v>
      </c>
      <c r="E53">
        <v>10</v>
      </c>
      <c r="F53" t="s">
        <v>890</v>
      </c>
      <c r="G53" t="s">
        <v>862</v>
      </c>
    </row>
    <row r="54" spans="1:8" x14ac:dyDescent="0.35">
      <c r="A54" s="72">
        <v>46154.546261574083</v>
      </c>
      <c r="B54" t="s">
        <v>827</v>
      </c>
      <c r="C54">
        <v>82052</v>
      </c>
      <c r="D54">
        <v>4</v>
      </c>
      <c r="E54">
        <v>20</v>
      </c>
      <c r="F54" t="s">
        <v>891</v>
      </c>
      <c r="G54" t="s">
        <v>862</v>
      </c>
    </row>
    <row r="55" spans="1:8" x14ac:dyDescent="0.35">
      <c r="A55" s="72">
        <v>46154.674814814818</v>
      </c>
      <c r="B55" t="s">
        <v>827</v>
      </c>
      <c r="C55">
        <v>71660</v>
      </c>
      <c r="D55">
        <v>4</v>
      </c>
      <c r="E55">
        <v>23</v>
      </c>
      <c r="F55" t="s">
        <v>892</v>
      </c>
      <c r="G55" t="s">
        <v>862</v>
      </c>
    </row>
    <row r="56" spans="1:8" x14ac:dyDescent="0.35">
      <c r="A56" s="72">
        <v>46154.675034722219</v>
      </c>
      <c r="B56" t="s">
        <v>827</v>
      </c>
      <c r="C56">
        <v>71660</v>
      </c>
      <c r="D56">
        <v>4</v>
      </c>
      <c r="E56">
        <v>23</v>
      </c>
      <c r="F56" t="s">
        <v>893</v>
      </c>
      <c r="G56" t="s">
        <v>862</v>
      </c>
      <c r="H56" t="s">
        <v>894</v>
      </c>
    </row>
    <row r="57" spans="1:8" x14ac:dyDescent="0.35">
      <c r="A57" s="72">
        <v>46155.660428240742</v>
      </c>
      <c r="B57" t="s">
        <v>827</v>
      </c>
      <c r="C57">
        <v>115007</v>
      </c>
      <c r="D57">
        <v>5</v>
      </c>
      <c r="E57">
        <v>31</v>
      </c>
      <c r="F57" t="s">
        <v>895</v>
      </c>
      <c r="G57" t="s">
        <v>862</v>
      </c>
    </row>
    <row r="58" spans="1:8" x14ac:dyDescent="0.35">
      <c r="A58" s="72">
        <v>46155.740335648137</v>
      </c>
      <c r="B58" t="s">
        <v>827</v>
      </c>
      <c r="C58">
        <v>92755</v>
      </c>
      <c r="D58">
        <v>5</v>
      </c>
      <c r="E58">
        <v>26</v>
      </c>
      <c r="F58" t="s">
        <v>896</v>
      </c>
      <c r="G58" t="s">
        <v>862</v>
      </c>
    </row>
    <row r="59" spans="1:8" x14ac:dyDescent="0.35">
      <c r="A59" s="72">
        <v>46155.81077546296</v>
      </c>
      <c r="B59" t="s">
        <v>827</v>
      </c>
      <c r="C59">
        <v>113068</v>
      </c>
      <c r="D59">
        <v>5</v>
      </c>
      <c r="E59">
        <v>26</v>
      </c>
      <c r="F59" t="s">
        <v>831</v>
      </c>
      <c r="G59" t="s">
        <v>862</v>
      </c>
    </row>
    <row r="60" spans="1:8" x14ac:dyDescent="0.35">
      <c r="A60" s="72">
        <v>46155.862858796303</v>
      </c>
      <c r="B60" t="s">
        <v>827</v>
      </c>
      <c r="C60">
        <v>113068</v>
      </c>
      <c r="D60">
        <v>1</v>
      </c>
      <c r="E60">
        <v>5</v>
      </c>
      <c r="F60" t="s">
        <v>897</v>
      </c>
      <c r="G60" t="s">
        <v>862</v>
      </c>
    </row>
    <row r="61" spans="1:8" x14ac:dyDescent="0.35">
      <c r="A61" s="72">
        <v>46155.892094907409</v>
      </c>
      <c r="B61" t="s">
        <v>827</v>
      </c>
      <c r="C61">
        <v>113078</v>
      </c>
      <c r="D61">
        <v>5</v>
      </c>
      <c r="E61">
        <v>26</v>
      </c>
      <c r="F61" t="s">
        <v>848</v>
      </c>
      <c r="G61" t="s">
        <v>862</v>
      </c>
    </row>
    <row r="62" spans="1:8" x14ac:dyDescent="0.35">
      <c r="A62" s="72">
        <v>46155.940555555557</v>
      </c>
      <c r="B62" t="s">
        <v>827</v>
      </c>
      <c r="C62">
        <v>73651</v>
      </c>
      <c r="D62">
        <v>2</v>
      </c>
      <c r="E62">
        <v>6</v>
      </c>
      <c r="F62" t="s">
        <v>867</v>
      </c>
      <c r="G62" t="s">
        <v>862</v>
      </c>
    </row>
    <row r="63" spans="1:8" x14ac:dyDescent="0.35">
      <c r="A63" s="72">
        <v>46155.962719907409</v>
      </c>
      <c r="B63" t="s">
        <v>827</v>
      </c>
      <c r="C63">
        <v>70475</v>
      </c>
      <c r="D63">
        <v>2</v>
      </c>
      <c r="E63">
        <v>6</v>
      </c>
      <c r="F63" t="s">
        <v>898</v>
      </c>
      <c r="G63" t="s">
        <v>862</v>
      </c>
    </row>
    <row r="64" spans="1:8" x14ac:dyDescent="0.35">
      <c r="A64" s="72">
        <v>46156.267974537041</v>
      </c>
      <c r="B64" t="s">
        <v>827</v>
      </c>
      <c r="C64">
        <v>84566</v>
      </c>
      <c r="D64">
        <v>2</v>
      </c>
      <c r="E64">
        <v>6</v>
      </c>
      <c r="F64" t="s">
        <v>899</v>
      </c>
      <c r="G64" t="s">
        <v>862</v>
      </c>
    </row>
    <row r="65" spans="1:7" x14ac:dyDescent="0.35">
      <c r="A65" s="72">
        <v>46161.398761574077</v>
      </c>
      <c r="B65" t="s">
        <v>827</v>
      </c>
      <c r="C65">
        <v>84576</v>
      </c>
      <c r="D65">
        <v>5</v>
      </c>
      <c r="E65">
        <v>13</v>
      </c>
      <c r="F65" t="s">
        <v>881</v>
      </c>
      <c r="G65" t="s">
        <v>862</v>
      </c>
    </row>
    <row r="66" spans="1:7" x14ac:dyDescent="0.35">
      <c r="A66" s="72">
        <v>46161.426134259258</v>
      </c>
      <c r="B66" t="s">
        <v>827</v>
      </c>
      <c r="C66">
        <v>84601</v>
      </c>
      <c r="D66">
        <v>1</v>
      </c>
      <c r="E66">
        <v>7</v>
      </c>
      <c r="F66" t="s">
        <v>900</v>
      </c>
      <c r="G66" t="s">
        <v>862</v>
      </c>
    </row>
    <row r="67" spans="1:7" x14ac:dyDescent="0.35">
      <c r="A67" s="72">
        <v>46161.500081018523</v>
      </c>
      <c r="B67" t="s">
        <v>827</v>
      </c>
      <c r="C67">
        <v>14566</v>
      </c>
      <c r="D67">
        <v>1</v>
      </c>
      <c r="E67">
        <v>7</v>
      </c>
      <c r="F67" t="s">
        <v>901</v>
      </c>
      <c r="G67" t="s">
        <v>862</v>
      </c>
    </row>
    <row r="68" spans="1:7" x14ac:dyDescent="0.35">
      <c r="A68" s="72">
        <v>46161.688333333332</v>
      </c>
      <c r="B68" t="s">
        <v>827</v>
      </c>
      <c r="C68">
        <v>106793</v>
      </c>
      <c r="D68">
        <v>5</v>
      </c>
      <c r="E68">
        <v>25</v>
      </c>
      <c r="F68" t="s">
        <v>845</v>
      </c>
      <c r="G68" t="s">
        <v>862</v>
      </c>
    </row>
    <row r="69" spans="1:7" x14ac:dyDescent="0.35">
      <c r="A69" s="72">
        <v>46162.38994212963</v>
      </c>
      <c r="B69" t="s">
        <v>827</v>
      </c>
      <c r="C69">
        <v>136</v>
      </c>
      <c r="D69">
        <v>4</v>
      </c>
      <c r="E69">
        <v>12</v>
      </c>
      <c r="F69" t="s">
        <v>902</v>
      </c>
      <c r="G69" t="s">
        <v>862</v>
      </c>
    </row>
    <row r="70" spans="1:7" x14ac:dyDescent="0.35">
      <c r="A70" s="72">
        <v>46162.414849537039</v>
      </c>
      <c r="B70" t="s">
        <v>827</v>
      </c>
      <c r="C70">
        <v>143</v>
      </c>
      <c r="D70">
        <v>2</v>
      </c>
      <c r="E70">
        <v>8</v>
      </c>
      <c r="F70" t="s">
        <v>903</v>
      </c>
      <c r="G70" t="s">
        <v>862</v>
      </c>
    </row>
    <row r="71" spans="1:7" x14ac:dyDescent="0.35">
      <c r="A71" s="72">
        <v>46162.517060185193</v>
      </c>
      <c r="B71" t="s">
        <v>827</v>
      </c>
      <c r="C71">
        <v>164</v>
      </c>
      <c r="D71">
        <v>1</v>
      </c>
      <c r="E71">
        <v>7</v>
      </c>
      <c r="F71" t="s">
        <v>904</v>
      </c>
      <c r="G71" t="s">
        <v>862</v>
      </c>
    </row>
    <row r="72" spans="1:7" x14ac:dyDescent="0.35">
      <c r="A72" s="72">
        <v>46162.622708333343</v>
      </c>
      <c r="B72" t="s">
        <v>827</v>
      </c>
      <c r="C72">
        <v>230</v>
      </c>
      <c r="D72">
        <v>1</v>
      </c>
      <c r="E72">
        <v>8</v>
      </c>
      <c r="F72" t="s">
        <v>905</v>
      </c>
      <c r="G72" t="s">
        <v>862</v>
      </c>
    </row>
    <row r="73" spans="1:7" x14ac:dyDescent="0.35">
      <c r="A73" s="72">
        <v>46162.664340277777</v>
      </c>
      <c r="B73" t="s">
        <v>827</v>
      </c>
      <c r="C73">
        <v>232</v>
      </c>
      <c r="D73">
        <v>1</v>
      </c>
      <c r="E73">
        <v>5</v>
      </c>
      <c r="F73" t="s">
        <v>906</v>
      </c>
      <c r="G73" t="s">
        <v>862</v>
      </c>
    </row>
    <row r="74" spans="1:7" x14ac:dyDescent="0.35">
      <c r="A74" s="72">
        <v>46162.7030787037</v>
      </c>
      <c r="B74" t="s">
        <v>827</v>
      </c>
      <c r="C74">
        <v>204</v>
      </c>
      <c r="D74">
        <v>1</v>
      </c>
      <c r="E74">
        <v>5</v>
      </c>
      <c r="F74" t="s">
        <v>907</v>
      </c>
      <c r="G74" t="s">
        <v>862</v>
      </c>
    </row>
    <row r="75" spans="1:7" x14ac:dyDescent="0.35">
      <c r="A75" s="72">
        <v>46162.803124999999</v>
      </c>
      <c r="B75" t="s">
        <v>827</v>
      </c>
      <c r="C75">
        <v>239</v>
      </c>
      <c r="D75">
        <v>1</v>
      </c>
      <c r="E75">
        <v>5</v>
      </c>
      <c r="F75" t="s">
        <v>838</v>
      </c>
      <c r="G75" t="s">
        <v>862</v>
      </c>
    </row>
    <row r="76" spans="1:7" x14ac:dyDescent="0.35">
      <c r="A76" s="72">
        <v>46163.440578703703</v>
      </c>
      <c r="B76" t="s">
        <v>827</v>
      </c>
      <c r="C76">
        <v>4102</v>
      </c>
      <c r="D76">
        <v>1</v>
      </c>
      <c r="E76">
        <v>5</v>
      </c>
      <c r="F76" t="s">
        <v>839</v>
      </c>
      <c r="G76" t="s">
        <v>862</v>
      </c>
    </row>
    <row r="77" spans="1:7" x14ac:dyDescent="0.35">
      <c r="A77" s="72">
        <v>46163.471655092602</v>
      </c>
      <c r="B77" t="s">
        <v>827</v>
      </c>
      <c r="C77">
        <v>4103</v>
      </c>
      <c r="D77">
        <v>1</v>
      </c>
      <c r="E77">
        <v>5</v>
      </c>
      <c r="F77" t="s">
        <v>890</v>
      </c>
      <c r="G77" t="s">
        <v>862</v>
      </c>
    </row>
    <row r="78" spans="1:7" x14ac:dyDescent="0.35">
      <c r="A78" s="72">
        <v>46163.486331018517</v>
      </c>
      <c r="B78" t="s">
        <v>827</v>
      </c>
      <c r="C78">
        <v>4106</v>
      </c>
      <c r="D78">
        <v>1</v>
      </c>
      <c r="E78">
        <v>7</v>
      </c>
      <c r="F78" t="s">
        <v>908</v>
      </c>
      <c r="G78" t="s">
        <v>862</v>
      </c>
    </row>
    <row r="79" spans="1:7" x14ac:dyDescent="0.35">
      <c r="A79" s="72">
        <v>46163.509166666663</v>
      </c>
      <c r="B79" t="s">
        <v>827</v>
      </c>
      <c r="C79">
        <v>4109</v>
      </c>
      <c r="D79">
        <v>1</v>
      </c>
      <c r="E79">
        <v>5</v>
      </c>
      <c r="F79" t="s">
        <v>909</v>
      </c>
      <c r="G79" t="s">
        <v>862</v>
      </c>
    </row>
    <row r="80" spans="1:7" x14ac:dyDescent="0.35">
      <c r="A80" s="72">
        <v>46163.533668981479</v>
      </c>
      <c r="B80" t="s">
        <v>827</v>
      </c>
      <c r="C80">
        <v>4114</v>
      </c>
      <c r="D80">
        <v>1</v>
      </c>
      <c r="E80">
        <v>7</v>
      </c>
      <c r="F80" t="s">
        <v>881</v>
      </c>
      <c r="G80" t="s">
        <v>862</v>
      </c>
    </row>
    <row r="81" spans="1:8" x14ac:dyDescent="0.35">
      <c r="A81" s="72">
        <v>46163.554988425924</v>
      </c>
      <c r="B81" t="s">
        <v>827</v>
      </c>
      <c r="C81">
        <v>4115</v>
      </c>
      <c r="D81">
        <v>1</v>
      </c>
      <c r="E81">
        <v>7</v>
      </c>
      <c r="F81" t="s">
        <v>910</v>
      </c>
      <c r="G81" t="s">
        <v>862</v>
      </c>
    </row>
    <row r="82" spans="1:8" x14ac:dyDescent="0.35">
      <c r="A82" s="72">
        <v>46163.585543981477</v>
      </c>
      <c r="B82" t="s">
        <v>827</v>
      </c>
      <c r="C82">
        <v>4118</v>
      </c>
      <c r="D82">
        <v>1</v>
      </c>
      <c r="E82">
        <v>7</v>
      </c>
      <c r="F82" t="s">
        <v>911</v>
      </c>
      <c r="G82" t="s">
        <v>862</v>
      </c>
    </row>
    <row r="83" spans="1:8" x14ac:dyDescent="0.35">
      <c r="A83" s="72">
        <v>46164.368518518517</v>
      </c>
      <c r="B83" t="s">
        <v>827</v>
      </c>
      <c r="C83">
        <v>4119</v>
      </c>
      <c r="D83">
        <v>1</v>
      </c>
      <c r="E83">
        <v>7</v>
      </c>
      <c r="F83" t="s">
        <v>864</v>
      </c>
      <c r="G83" t="s">
        <v>862</v>
      </c>
    </row>
    <row r="84" spans="1:8" x14ac:dyDescent="0.35">
      <c r="A84" s="72">
        <v>46164.376539351862</v>
      </c>
      <c r="B84" t="s">
        <v>827</v>
      </c>
      <c r="C84">
        <v>4120</v>
      </c>
      <c r="D84">
        <v>1</v>
      </c>
      <c r="E84">
        <v>7</v>
      </c>
      <c r="F84" t="s">
        <v>897</v>
      </c>
      <c r="G84" t="s">
        <v>862</v>
      </c>
    </row>
    <row r="85" spans="1:8" x14ac:dyDescent="0.35">
      <c r="A85" s="72">
        <v>46164.384560185194</v>
      </c>
      <c r="B85" t="s">
        <v>827</v>
      </c>
      <c r="C85">
        <v>4121</v>
      </c>
      <c r="D85">
        <v>1</v>
      </c>
      <c r="E85">
        <v>7</v>
      </c>
      <c r="F85" t="s">
        <v>900</v>
      </c>
      <c r="G85" t="s">
        <v>862</v>
      </c>
    </row>
    <row r="86" spans="1:8" x14ac:dyDescent="0.35">
      <c r="A86" s="72">
        <v>46164.392858796287</v>
      </c>
      <c r="B86" t="s">
        <v>827</v>
      </c>
      <c r="C86">
        <v>4122</v>
      </c>
      <c r="D86">
        <v>1</v>
      </c>
      <c r="E86">
        <v>7</v>
      </c>
      <c r="F86" t="s">
        <v>900</v>
      </c>
      <c r="G86" t="s">
        <v>862</v>
      </c>
    </row>
    <row r="87" spans="1:8" x14ac:dyDescent="0.35">
      <c r="A87" s="72">
        <v>46164.393101851849</v>
      </c>
      <c r="B87" t="s">
        <v>827</v>
      </c>
      <c r="C87">
        <v>4122</v>
      </c>
      <c r="D87">
        <v>1</v>
      </c>
      <c r="E87">
        <v>7</v>
      </c>
      <c r="F87" t="s">
        <v>893</v>
      </c>
      <c r="G87" t="s">
        <v>862</v>
      </c>
      <c r="H87" t="s">
        <v>894</v>
      </c>
    </row>
    <row r="88" spans="1:8" x14ac:dyDescent="0.35">
      <c r="A88" s="72">
        <v>46164.408703703702</v>
      </c>
      <c r="B88" t="s">
        <v>827</v>
      </c>
      <c r="C88">
        <v>4123</v>
      </c>
      <c r="D88">
        <v>1</v>
      </c>
      <c r="E88">
        <v>7</v>
      </c>
      <c r="F88" t="s">
        <v>912</v>
      </c>
      <c r="G88" t="s">
        <v>862</v>
      </c>
    </row>
    <row r="89" spans="1:8" x14ac:dyDescent="0.35">
      <c r="A89" s="72">
        <v>46164.416689814818</v>
      </c>
      <c r="B89" t="s">
        <v>827</v>
      </c>
      <c r="C89">
        <v>4124</v>
      </c>
      <c r="D89">
        <v>1</v>
      </c>
      <c r="E89">
        <v>7</v>
      </c>
      <c r="F89" t="s">
        <v>880</v>
      </c>
      <c r="G89" t="s">
        <v>862</v>
      </c>
    </row>
    <row r="90" spans="1:8" x14ac:dyDescent="0.35">
      <c r="A90" s="72">
        <v>46164.429722222223</v>
      </c>
      <c r="B90" t="s">
        <v>827</v>
      </c>
      <c r="C90">
        <v>4126</v>
      </c>
      <c r="D90">
        <v>1</v>
      </c>
      <c r="E90">
        <v>5</v>
      </c>
      <c r="F90" t="s">
        <v>913</v>
      </c>
      <c r="G90" t="s">
        <v>862</v>
      </c>
    </row>
    <row r="91" spans="1:8" x14ac:dyDescent="0.35">
      <c r="A91" s="72">
        <v>46164.439583333333</v>
      </c>
      <c r="B91" t="s">
        <v>827</v>
      </c>
      <c r="C91">
        <v>4128</v>
      </c>
      <c r="D91">
        <v>1</v>
      </c>
      <c r="E91">
        <v>7</v>
      </c>
      <c r="F91" t="s">
        <v>904</v>
      </c>
      <c r="G91" t="s">
        <v>862</v>
      </c>
    </row>
    <row r="92" spans="1:8" x14ac:dyDescent="0.35">
      <c r="A92" s="72">
        <v>46164.439884259264</v>
      </c>
      <c r="B92" t="s">
        <v>827</v>
      </c>
      <c r="C92">
        <v>4128</v>
      </c>
      <c r="D92">
        <v>1</v>
      </c>
      <c r="E92">
        <v>7</v>
      </c>
      <c r="F92" t="s">
        <v>893</v>
      </c>
      <c r="G92" t="s">
        <v>862</v>
      </c>
      <c r="H92" t="s">
        <v>914</v>
      </c>
    </row>
    <row r="93" spans="1:8" x14ac:dyDescent="0.35">
      <c r="A93" s="72">
        <v>46167.506631944438</v>
      </c>
      <c r="B93" t="s">
        <v>827</v>
      </c>
      <c r="C93">
        <v>4129</v>
      </c>
      <c r="D93">
        <v>1</v>
      </c>
      <c r="E93">
        <v>7</v>
      </c>
      <c r="F93" t="s">
        <v>876</v>
      </c>
      <c r="G93" t="s">
        <v>862</v>
      </c>
    </row>
    <row r="94" spans="1:8" x14ac:dyDescent="0.35">
      <c r="A94" s="72">
        <v>46167.557256944441</v>
      </c>
      <c r="B94" t="s">
        <v>827</v>
      </c>
      <c r="C94">
        <v>4130</v>
      </c>
      <c r="D94">
        <v>1</v>
      </c>
      <c r="E94">
        <v>7</v>
      </c>
      <c r="F94" t="s">
        <v>915</v>
      </c>
      <c r="G94" t="s">
        <v>862</v>
      </c>
    </row>
    <row r="95" spans="1:8" x14ac:dyDescent="0.35">
      <c r="A95" s="72">
        <v>46168.372372685182</v>
      </c>
      <c r="B95" t="s">
        <v>827</v>
      </c>
      <c r="C95">
        <v>4131</v>
      </c>
      <c r="D95">
        <v>1</v>
      </c>
      <c r="E95">
        <v>7</v>
      </c>
      <c r="F95" t="s">
        <v>916</v>
      </c>
      <c r="G95" t="s">
        <v>862</v>
      </c>
    </row>
    <row r="96" spans="1:8" x14ac:dyDescent="0.35">
      <c r="A96" s="72">
        <v>46168.400196759263</v>
      </c>
      <c r="B96" t="s">
        <v>827</v>
      </c>
      <c r="C96">
        <v>4132</v>
      </c>
      <c r="D96">
        <v>5</v>
      </c>
      <c r="E96">
        <v>17</v>
      </c>
      <c r="F96" t="s">
        <v>854</v>
      </c>
      <c r="G96" t="s">
        <v>862</v>
      </c>
    </row>
    <row r="97" spans="1:7" x14ac:dyDescent="0.35">
      <c r="A97" s="72">
        <v>46169.355879629627</v>
      </c>
      <c r="B97" t="s">
        <v>827</v>
      </c>
      <c r="C97">
        <v>4137</v>
      </c>
      <c r="D97">
        <v>1</v>
      </c>
      <c r="E97">
        <v>5</v>
      </c>
      <c r="F97" t="s">
        <v>917</v>
      </c>
      <c r="G97" t="s">
        <v>862</v>
      </c>
    </row>
    <row r="98" spans="1:7" x14ac:dyDescent="0.35">
      <c r="A98" s="72">
        <v>46169.374074074083</v>
      </c>
      <c r="B98" t="s">
        <v>827</v>
      </c>
      <c r="C98">
        <v>4139</v>
      </c>
      <c r="D98">
        <v>1</v>
      </c>
      <c r="E98">
        <v>7</v>
      </c>
      <c r="F98" t="s">
        <v>918</v>
      </c>
      <c r="G98" t="s">
        <v>862</v>
      </c>
    </row>
    <row r="99" spans="1:7" x14ac:dyDescent="0.35">
      <c r="A99" s="72">
        <v>46169.394872685189</v>
      </c>
      <c r="B99" t="s">
        <v>827</v>
      </c>
      <c r="C99">
        <v>27689</v>
      </c>
      <c r="D99">
        <v>1</v>
      </c>
      <c r="E99">
        <v>7</v>
      </c>
      <c r="F99" t="s">
        <v>919</v>
      </c>
      <c r="G99" t="s">
        <v>862</v>
      </c>
    </row>
    <row r="100" spans="1:7" x14ac:dyDescent="0.35">
      <c r="A100" s="72">
        <v>46169.412615740737</v>
      </c>
      <c r="B100" t="s">
        <v>827</v>
      </c>
      <c r="C100">
        <v>28253</v>
      </c>
      <c r="D100">
        <v>2</v>
      </c>
      <c r="E100">
        <v>8</v>
      </c>
      <c r="F100" t="s">
        <v>905</v>
      </c>
      <c r="G100" t="s">
        <v>862</v>
      </c>
    </row>
    <row r="101" spans="1:7" x14ac:dyDescent="0.35">
      <c r="A101" s="72">
        <v>46169.428819444453</v>
      </c>
      <c r="B101" t="s">
        <v>827</v>
      </c>
      <c r="C101">
        <v>28329</v>
      </c>
      <c r="D101">
        <v>1</v>
      </c>
      <c r="E101">
        <v>5</v>
      </c>
      <c r="F101" t="s">
        <v>920</v>
      </c>
      <c r="G101" t="s">
        <v>862</v>
      </c>
    </row>
    <row r="102" spans="1:7" x14ac:dyDescent="0.35">
      <c r="A102" s="72">
        <v>46171.754363425927</v>
      </c>
      <c r="B102" t="s">
        <v>827</v>
      </c>
      <c r="C102">
        <v>49249</v>
      </c>
      <c r="D102">
        <v>1</v>
      </c>
      <c r="E102">
        <v>5</v>
      </c>
      <c r="F102" t="s">
        <v>921</v>
      </c>
      <c r="G102" t="s">
        <v>862</v>
      </c>
    </row>
    <row r="103" spans="1:7" x14ac:dyDescent="0.35">
      <c r="A103" s="72">
        <v>46174.660763888889</v>
      </c>
      <c r="B103" t="s">
        <v>827</v>
      </c>
      <c r="C103">
        <v>17458</v>
      </c>
      <c r="D103">
        <v>1</v>
      </c>
      <c r="E103">
        <v>7</v>
      </c>
      <c r="F103" t="s">
        <v>922</v>
      </c>
      <c r="G103" t="s">
        <v>862</v>
      </c>
    </row>
    <row r="104" spans="1:7" x14ac:dyDescent="0.35">
      <c r="A104" s="72">
        <v>46174.718865740739</v>
      </c>
      <c r="B104" t="s">
        <v>827</v>
      </c>
      <c r="C104">
        <v>17457</v>
      </c>
      <c r="D104">
        <v>1</v>
      </c>
      <c r="E104">
        <v>7</v>
      </c>
      <c r="F104" t="s">
        <v>923</v>
      </c>
      <c r="G104" t="s">
        <v>862</v>
      </c>
    </row>
    <row r="105" spans="1:7" x14ac:dyDescent="0.35">
      <c r="A105" s="72">
        <v>46174.749745370369</v>
      </c>
      <c r="B105" t="s">
        <v>827</v>
      </c>
      <c r="C105">
        <v>17456</v>
      </c>
      <c r="D105">
        <v>1</v>
      </c>
      <c r="E105">
        <v>7</v>
      </c>
      <c r="F105" t="s">
        <v>881</v>
      </c>
      <c r="G105" t="s">
        <v>862</v>
      </c>
    </row>
    <row r="106" spans="1:7" x14ac:dyDescent="0.35">
      <c r="A106" s="72">
        <v>46174.829502314817</v>
      </c>
      <c r="B106" t="s">
        <v>827</v>
      </c>
      <c r="C106">
        <v>17455</v>
      </c>
      <c r="D106">
        <v>1</v>
      </c>
      <c r="E106">
        <v>7</v>
      </c>
      <c r="F106" t="s">
        <v>924</v>
      </c>
      <c r="G106" t="s">
        <v>862</v>
      </c>
    </row>
    <row r="107" spans="1:7" x14ac:dyDescent="0.35">
      <c r="A107" s="72">
        <v>46174.840949074067</v>
      </c>
      <c r="B107" t="s">
        <v>827</v>
      </c>
      <c r="C107">
        <v>17454</v>
      </c>
      <c r="D107">
        <v>1</v>
      </c>
      <c r="E107">
        <v>7</v>
      </c>
      <c r="F107" t="s">
        <v>925</v>
      </c>
      <c r="G107" t="s">
        <v>862</v>
      </c>
    </row>
    <row r="108" spans="1:7" x14ac:dyDescent="0.35">
      <c r="A108" s="72">
        <v>46174.862881944442</v>
      </c>
      <c r="B108" t="s">
        <v>827</v>
      </c>
      <c r="C108">
        <v>17452</v>
      </c>
      <c r="D108">
        <v>1</v>
      </c>
      <c r="E108">
        <v>7</v>
      </c>
      <c r="F108" t="s">
        <v>919</v>
      </c>
      <c r="G108" t="s">
        <v>862</v>
      </c>
    </row>
    <row r="109" spans="1:7" x14ac:dyDescent="0.35">
      <c r="A109" s="72">
        <v>46174.876354166663</v>
      </c>
      <c r="B109" t="s">
        <v>827</v>
      </c>
      <c r="C109">
        <v>17449</v>
      </c>
      <c r="D109">
        <v>1</v>
      </c>
      <c r="E109">
        <v>7</v>
      </c>
      <c r="F109" t="s">
        <v>867</v>
      </c>
      <c r="G109" t="s">
        <v>862</v>
      </c>
    </row>
    <row r="110" spans="1:7" x14ac:dyDescent="0.35">
      <c r="A110" s="72">
        <v>46174.89472222222</v>
      </c>
      <c r="B110" t="s">
        <v>827</v>
      </c>
      <c r="C110">
        <v>17447</v>
      </c>
      <c r="D110">
        <v>1</v>
      </c>
      <c r="E110">
        <v>7</v>
      </c>
      <c r="F110" t="s">
        <v>900</v>
      </c>
      <c r="G110" t="s">
        <v>862</v>
      </c>
    </row>
    <row r="111" spans="1:7" x14ac:dyDescent="0.35">
      <c r="A111" s="72">
        <v>46191.766585648147</v>
      </c>
      <c r="B111" t="s">
        <v>827</v>
      </c>
      <c r="C111" t="s">
        <v>1219</v>
      </c>
      <c r="D111">
        <v>1</v>
      </c>
      <c r="E111">
        <v>1</v>
      </c>
      <c r="F111" t="s">
        <v>1226</v>
      </c>
      <c r="G111" t="s">
        <v>862</v>
      </c>
    </row>
    <row r="112" spans="1:7" x14ac:dyDescent="0.35">
      <c r="A112" s="72">
        <v>46192.421331018515</v>
      </c>
      <c r="B112" t="s">
        <v>827</v>
      </c>
      <c r="C112">
        <v>84244</v>
      </c>
      <c r="D112">
        <v>4</v>
      </c>
      <c r="E112">
        <v>20</v>
      </c>
      <c r="F112" t="s">
        <v>1228</v>
      </c>
      <c r="G112" t="s">
        <v>862</v>
      </c>
    </row>
    <row r="113" spans="1:7" x14ac:dyDescent="0.35">
      <c r="A113" s="72">
        <v>46192.542557870373</v>
      </c>
      <c r="B113" t="s">
        <v>827</v>
      </c>
      <c r="C113">
        <v>108704</v>
      </c>
      <c r="D113">
        <v>3</v>
      </c>
      <c r="E113">
        <v>17</v>
      </c>
      <c r="F113" t="s">
        <v>1229</v>
      </c>
      <c r="G113" t="s">
        <v>862</v>
      </c>
    </row>
    <row r="114" spans="1:7" x14ac:dyDescent="0.35">
      <c r="A114" s="72">
        <v>46192.633738425924</v>
      </c>
      <c r="B114" t="s">
        <v>827</v>
      </c>
      <c r="C114">
        <v>113960</v>
      </c>
      <c r="D114">
        <v>4</v>
      </c>
      <c r="E114">
        <v>18</v>
      </c>
      <c r="F114" t="s">
        <v>848</v>
      </c>
      <c r="G114" t="s">
        <v>862</v>
      </c>
    </row>
    <row r="115" spans="1:7" x14ac:dyDescent="0.35">
      <c r="A115" s="72">
        <v>46192.809918981482</v>
      </c>
      <c r="B115" t="s">
        <v>827</v>
      </c>
      <c r="C115">
        <v>125759</v>
      </c>
      <c r="D115">
        <v>4</v>
      </c>
      <c r="E115">
        <v>12</v>
      </c>
      <c r="F115" t="s">
        <v>1230</v>
      </c>
      <c r="G115" t="s">
        <v>862</v>
      </c>
    </row>
    <row r="116" spans="1:7" x14ac:dyDescent="0.35">
      <c r="A116" s="72">
        <v>46192.861747685187</v>
      </c>
      <c r="B116" t="s">
        <v>827</v>
      </c>
      <c r="C116">
        <v>124414</v>
      </c>
      <c r="D116">
        <v>4</v>
      </c>
      <c r="E116">
        <v>14</v>
      </c>
      <c r="F116" t="s">
        <v>1231</v>
      </c>
      <c r="G116" t="s">
        <v>862</v>
      </c>
    </row>
    <row r="117" spans="1:7" x14ac:dyDescent="0.35">
      <c r="A117" s="72">
        <v>46192.928668981483</v>
      </c>
      <c r="B117" t="s">
        <v>827</v>
      </c>
      <c r="C117">
        <v>125153</v>
      </c>
      <c r="D117">
        <v>4</v>
      </c>
      <c r="E117">
        <v>14</v>
      </c>
      <c r="F117" t="s">
        <v>1232</v>
      </c>
      <c r="G117" t="s">
        <v>862</v>
      </c>
    </row>
    <row r="118" spans="1:7" x14ac:dyDescent="0.35">
      <c r="A118" s="72">
        <v>46195.50577546296</v>
      </c>
      <c r="B118" t="s">
        <v>827</v>
      </c>
      <c r="C118">
        <v>123034</v>
      </c>
      <c r="D118">
        <v>4</v>
      </c>
      <c r="E118">
        <v>8</v>
      </c>
      <c r="F118" t="s">
        <v>924</v>
      </c>
      <c r="G118" t="s">
        <v>862</v>
      </c>
    </row>
    <row r="119" spans="1:7" x14ac:dyDescent="0.35">
      <c r="A119" s="72">
        <v>46195.579351851855</v>
      </c>
      <c r="B119" t="s">
        <v>827</v>
      </c>
      <c r="C119">
        <v>123034</v>
      </c>
      <c r="D119">
        <v>1</v>
      </c>
      <c r="E119">
        <v>8</v>
      </c>
      <c r="F119" t="s">
        <v>1233</v>
      </c>
      <c r="G119" t="s">
        <v>862</v>
      </c>
    </row>
    <row r="120" spans="1:7" x14ac:dyDescent="0.35">
      <c r="A120" s="72">
        <v>46195.966874999998</v>
      </c>
      <c r="B120" t="s">
        <v>827</v>
      </c>
      <c r="C120">
        <v>125435</v>
      </c>
      <c r="D120">
        <v>4</v>
      </c>
      <c r="E120">
        <v>8</v>
      </c>
      <c r="F120" t="s">
        <v>1234</v>
      </c>
      <c r="G120" t="s">
        <v>862</v>
      </c>
    </row>
    <row r="121" spans="1:7" x14ac:dyDescent="0.35">
      <c r="A121" s="72">
        <v>46196.536481481482</v>
      </c>
      <c r="B121" t="s">
        <v>827</v>
      </c>
      <c r="C121">
        <v>124896</v>
      </c>
      <c r="D121">
        <v>2</v>
      </c>
      <c r="E121">
        <v>6</v>
      </c>
      <c r="F121" t="s">
        <v>910</v>
      </c>
      <c r="G121" t="s">
        <v>862</v>
      </c>
    </row>
    <row r="122" spans="1:7" x14ac:dyDescent="0.35">
      <c r="A122" s="72">
        <v>46196.727986111109</v>
      </c>
      <c r="B122" t="s">
        <v>827</v>
      </c>
      <c r="C122">
        <v>115987</v>
      </c>
      <c r="D122">
        <v>2</v>
      </c>
      <c r="E122">
        <v>10</v>
      </c>
      <c r="F122" t="s">
        <v>1235</v>
      </c>
      <c r="G122" t="s">
        <v>862</v>
      </c>
    </row>
    <row r="123" spans="1:7" x14ac:dyDescent="0.35">
      <c r="A123" s="72">
        <v>46196.957881944443</v>
      </c>
      <c r="B123" t="s">
        <v>827</v>
      </c>
      <c r="C123">
        <v>124677</v>
      </c>
      <c r="D123">
        <v>4</v>
      </c>
      <c r="E123">
        <v>12</v>
      </c>
      <c r="F123" t="s">
        <v>1236</v>
      </c>
      <c r="G123" t="s">
        <v>862</v>
      </c>
    </row>
    <row r="124" spans="1:7" x14ac:dyDescent="0.35">
      <c r="A124" s="72">
        <v>46197.040011574078</v>
      </c>
      <c r="B124" t="s">
        <v>827</v>
      </c>
      <c r="C124">
        <v>124379</v>
      </c>
      <c r="D124">
        <v>4</v>
      </c>
      <c r="E124">
        <v>14</v>
      </c>
      <c r="F124" t="s">
        <v>1237</v>
      </c>
      <c r="G124" t="s">
        <v>862</v>
      </c>
    </row>
    <row r="125" spans="1:7" x14ac:dyDescent="0.35">
      <c r="A125" s="72">
        <v>46198.539479166669</v>
      </c>
      <c r="B125" t="s">
        <v>827</v>
      </c>
      <c r="C125">
        <v>114067</v>
      </c>
      <c r="D125">
        <v>4</v>
      </c>
      <c r="E125">
        <v>20</v>
      </c>
      <c r="F125" t="s">
        <v>916</v>
      </c>
      <c r="G125" t="s">
        <v>862</v>
      </c>
    </row>
    <row r="126" spans="1:7" x14ac:dyDescent="0.35">
      <c r="A126" s="72">
        <v>46198.643877314818</v>
      </c>
      <c r="B126" t="s">
        <v>827</v>
      </c>
      <c r="C126">
        <v>16978</v>
      </c>
      <c r="D126">
        <v>2</v>
      </c>
      <c r="E126">
        <v>10</v>
      </c>
      <c r="F126" t="s">
        <v>1238</v>
      </c>
      <c r="G126" t="s">
        <v>862</v>
      </c>
    </row>
    <row r="127" spans="1:7" x14ac:dyDescent="0.35">
      <c r="A127" s="72">
        <v>46198.747858796298</v>
      </c>
      <c r="B127" t="s">
        <v>827</v>
      </c>
      <c r="C127">
        <v>16882</v>
      </c>
      <c r="D127">
        <v>1</v>
      </c>
      <c r="E127">
        <v>5</v>
      </c>
      <c r="F127" t="s">
        <v>1239</v>
      </c>
      <c r="G127" t="s">
        <v>862</v>
      </c>
    </row>
    <row r="128" spans="1:7" x14ac:dyDescent="0.35">
      <c r="A128" s="72">
        <v>46198.85359953704</v>
      </c>
      <c r="B128" t="s">
        <v>827</v>
      </c>
      <c r="C128">
        <v>16962</v>
      </c>
      <c r="D128">
        <v>1</v>
      </c>
      <c r="E128">
        <v>7</v>
      </c>
      <c r="F128" t="s">
        <v>859</v>
      </c>
      <c r="G128" t="s">
        <v>862</v>
      </c>
    </row>
    <row r="129" spans="1:7" x14ac:dyDescent="0.35">
      <c r="A129" s="72">
        <v>46198.929097222222</v>
      </c>
      <c r="B129" t="s">
        <v>827</v>
      </c>
      <c r="C129">
        <v>16954</v>
      </c>
      <c r="D129">
        <v>1</v>
      </c>
      <c r="E129">
        <v>7</v>
      </c>
      <c r="F129" t="s">
        <v>1240</v>
      </c>
      <c r="G129" t="s">
        <v>862</v>
      </c>
    </row>
    <row r="130" spans="1:7" x14ac:dyDescent="0.35">
      <c r="A130" s="72">
        <v>46199.369432870371</v>
      </c>
      <c r="B130" t="s">
        <v>827</v>
      </c>
      <c r="C130">
        <v>16890</v>
      </c>
      <c r="D130">
        <v>3</v>
      </c>
      <c r="E130">
        <v>11</v>
      </c>
      <c r="F130" t="s">
        <v>1241</v>
      </c>
      <c r="G130" t="s">
        <v>862</v>
      </c>
    </row>
    <row r="131" spans="1:7" x14ac:dyDescent="0.35">
      <c r="A131" s="72">
        <v>46199.423321759263</v>
      </c>
      <c r="B131" t="s">
        <v>827</v>
      </c>
      <c r="C131">
        <v>6903</v>
      </c>
      <c r="D131">
        <v>4</v>
      </c>
      <c r="E131">
        <v>12</v>
      </c>
      <c r="F131" t="s">
        <v>1242</v>
      </c>
      <c r="G131" t="s">
        <v>862</v>
      </c>
    </row>
    <row r="132" spans="1:7" x14ac:dyDescent="0.35">
      <c r="A132" s="72">
        <v>46199.462812500002</v>
      </c>
      <c r="B132" t="s">
        <v>827</v>
      </c>
      <c r="C132">
        <v>6904</v>
      </c>
      <c r="D132">
        <v>1</v>
      </c>
      <c r="E132">
        <v>7</v>
      </c>
      <c r="F132" t="s">
        <v>1243</v>
      </c>
      <c r="G132" t="s">
        <v>862</v>
      </c>
    </row>
    <row r="133" spans="1:7" x14ac:dyDescent="0.35">
      <c r="A133" s="72">
        <v>46199.500011574077</v>
      </c>
      <c r="B133" t="s">
        <v>827</v>
      </c>
      <c r="C133">
        <v>6905</v>
      </c>
      <c r="D133">
        <v>1</v>
      </c>
      <c r="E133">
        <v>5</v>
      </c>
      <c r="F133" t="s">
        <v>866</v>
      </c>
      <c r="G133" t="s">
        <v>862</v>
      </c>
    </row>
    <row r="134" spans="1:7" x14ac:dyDescent="0.35">
      <c r="A134" s="72">
        <v>46202.5</v>
      </c>
      <c r="B134" t="s">
        <v>827</v>
      </c>
      <c r="C134">
        <v>123186</v>
      </c>
      <c r="D134">
        <v>2</v>
      </c>
      <c r="E134">
        <v>6</v>
      </c>
      <c r="F134" t="s">
        <v>1244</v>
      </c>
      <c r="G134" t="s">
        <v>862</v>
      </c>
    </row>
    <row r="135" spans="1:7" x14ac:dyDescent="0.35">
      <c r="A135" s="72">
        <v>46202.580555555556</v>
      </c>
      <c r="B135" t="s">
        <v>827</v>
      </c>
      <c r="C135">
        <v>123208</v>
      </c>
      <c r="D135">
        <v>2</v>
      </c>
      <c r="E135">
        <v>6</v>
      </c>
      <c r="F135" t="s">
        <v>1246</v>
      </c>
      <c r="G135" t="s">
        <v>862</v>
      </c>
    </row>
    <row r="136" spans="1:7" x14ac:dyDescent="0.35">
      <c r="A136" s="72">
        <v>46202.629756944443</v>
      </c>
      <c r="B136" t="s">
        <v>827</v>
      </c>
      <c r="C136">
        <v>125721</v>
      </c>
      <c r="D136">
        <v>2</v>
      </c>
      <c r="E136">
        <v>8</v>
      </c>
      <c r="F136" t="s">
        <v>1247</v>
      </c>
      <c r="G136" t="s">
        <v>862</v>
      </c>
    </row>
    <row r="137" spans="1:7" x14ac:dyDescent="0.35">
      <c r="A137" s="72">
        <v>46202.92491898148</v>
      </c>
      <c r="B137" t="s">
        <v>827</v>
      </c>
      <c r="C137">
        <v>124644</v>
      </c>
      <c r="D137">
        <v>2</v>
      </c>
      <c r="E137">
        <v>7</v>
      </c>
      <c r="F137" t="s">
        <v>900</v>
      </c>
      <c r="G137" t="s">
        <v>862</v>
      </c>
    </row>
    <row r="138" spans="1:7" x14ac:dyDescent="0.35">
      <c r="A138" s="72">
        <v>46203.625856481478</v>
      </c>
      <c r="B138" t="s">
        <v>827</v>
      </c>
      <c r="C138">
        <v>122584</v>
      </c>
      <c r="D138">
        <v>1</v>
      </c>
      <c r="E138">
        <v>3</v>
      </c>
      <c r="F138" t="s">
        <v>1248</v>
      </c>
      <c r="G138" t="s">
        <v>862</v>
      </c>
    </row>
    <row r="139" spans="1:7" x14ac:dyDescent="0.35">
      <c r="A139" s="72">
        <v>46203.639328703706</v>
      </c>
      <c r="B139" t="s">
        <v>827</v>
      </c>
      <c r="C139">
        <v>123852</v>
      </c>
      <c r="D139">
        <v>1</v>
      </c>
      <c r="E139">
        <v>3</v>
      </c>
      <c r="F139" t="s">
        <v>1249</v>
      </c>
      <c r="G139" t="s">
        <v>862</v>
      </c>
    </row>
    <row r="140" spans="1:7" x14ac:dyDescent="0.35">
      <c r="A140" s="72">
        <v>46204.58216435185</v>
      </c>
      <c r="B140" t="s">
        <v>827</v>
      </c>
      <c r="C140">
        <v>131901</v>
      </c>
      <c r="D140">
        <v>2</v>
      </c>
      <c r="E140">
        <v>6</v>
      </c>
      <c r="F140" t="s">
        <v>867</v>
      </c>
      <c r="G140" t="s">
        <v>862</v>
      </c>
    </row>
    <row r="141" spans="1:7" x14ac:dyDescent="0.35">
      <c r="A141" s="72">
        <v>46204.629699074074</v>
      </c>
      <c r="B141" t="s">
        <v>827</v>
      </c>
      <c r="C141">
        <v>128317</v>
      </c>
      <c r="D141">
        <v>4</v>
      </c>
      <c r="E141">
        <v>14</v>
      </c>
      <c r="F141" t="s">
        <v>1250</v>
      </c>
      <c r="G141" t="s">
        <v>862</v>
      </c>
    </row>
    <row r="142" spans="1:7" x14ac:dyDescent="0.35">
      <c r="A142" s="72">
        <v>46205.384652777779</v>
      </c>
      <c r="B142" t="s">
        <v>827</v>
      </c>
      <c r="C142">
        <v>129949</v>
      </c>
      <c r="D142">
        <v>2</v>
      </c>
      <c r="E142">
        <v>8</v>
      </c>
      <c r="F142" t="s">
        <v>1251</v>
      </c>
      <c r="G142" t="s">
        <v>862</v>
      </c>
    </row>
    <row r="143" spans="1:7" x14ac:dyDescent="0.35">
      <c r="A143" s="72">
        <v>46205.434178240743</v>
      </c>
      <c r="B143" t="s">
        <v>827</v>
      </c>
      <c r="C143">
        <v>130837</v>
      </c>
      <c r="D143">
        <v>2</v>
      </c>
      <c r="E143">
        <v>8</v>
      </c>
      <c r="F143" t="s">
        <v>1252</v>
      </c>
      <c r="G143" t="s">
        <v>862</v>
      </c>
    </row>
    <row r="144" spans="1:7" x14ac:dyDescent="0.35">
      <c r="A144" s="72">
        <v>46205.536087962966</v>
      </c>
      <c r="B144" t="s">
        <v>827</v>
      </c>
      <c r="C144">
        <v>130321</v>
      </c>
      <c r="D144">
        <v>4</v>
      </c>
      <c r="E144">
        <v>16</v>
      </c>
      <c r="F144" t="s">
        <v>1253</v>
      </c>
      <c r="G144" t="s">
        <v>862</v>
      </c>
    </row>
    <row r="145" spans="1:7" x14ac:dyDescent="0.35">
      <c r="A145" s="72">
        <v>46205.66710648148</v>
      </c>
      <c r="B145" t="s">
        <v>827</v>
      </c>
      <c r="C145">
        <v>132813</v>
      </c>
      <c r="D145">
        <v>4</v>
      </c>
      <c r="E145">
        <v>14</v>
      </c>
      <c r="F145" t="s">
        <v>916</v>
      </c>
      <c r="G145" t="s">
        <v>862</v>
      </c>
    </row>
    <row r="146" spans="1:7" x14ac:dyDescent="0.35">
      <c r="A146" s="72">
        <v>46205.737800925926</v>
      </c>
      <c r="B146" t="s">
        <v>827</v>
      </c>
      <c r="C146">
        <v>131194</v>
      </c>
      <c r="D146">
        <v>1</v>
      </c>
      <c r="E146">
        <v>7</v>
      </c>
      <c r="F146" t="s">
        <v>1254</v>
      </c>
      <c r="G146" t="s">
        <v>862</v>
      </c>
    </row>
    <row r="147" spans="1:7" x14ac:dyDescent="0.35">
      <c r="A147" s="72">
        <v>46205.80028935185</v>
      </c>
      <c r="B147" t="s">
        <v>827</v>
      </c>
      <c r="C147">
        <v>132618</v>
      </c>
      <c r="D147">
        <v>4</v>
      </c>
      <c r="E147">
        <v>20</v>
      </c>
      <c r="F147" t="s">
        <v>1255</v>
      </c>
      <c r="G147" t="s">
        <v>862</v>
      </c>
    </row>
    <row r="148" spans="1:7" x14ac:dyDescent="0.35">
      <c r="A148" s="72">
        <v>46206.348425925928</v>
      </c>
      <c r="B148" t="s">
        <v>827</v>
      </c>
      <c r="C148">
        <v>132002</v>
      </c>
      <c r="D148">
        <v>4</v>
      </c>
      <c r="E148">
        <v>24</v>
      </c>
      <c r="F148" t="s">
        <v>1256</v>
      </c>
      <c r="G148" t="s">
        <v>862</v>
      </c>
    </row>
    <row r="149" spans="1:7" x14ac:dyDescent="0.35">
      <c r="A149" s="72">
        <v>46206.398958333331</v>
      </c>
      <c r="B149" t="s">
        <v>827</v>
      </c>
      <c r="C149">
        <v>128498</v>
      </c>
      <c r="D149">
        <v>3</v>
      </c>
      <c r="E149">
        <v>11</v>
      </c>
      <c r="F149" t="s">
        <v>1257</v>
      </c>
      <c r="G149" t="s">
        <v>862</v>
      </c>
    </row>
    <row r="150" spans="1:7" x14ac:dyDescent="0.35">
      <c r="A150" s="72">
        <v>46206.494317129633</v>
      </c>
      <c r="B150" t="s">
        <v>827</v>
      </c>
      <c r="C150">
        <v>128201</v>
      </c>
      <c r="D150">
        <v>4</v>
      </c>
      <c r="E150">
        <v>24</v>
      </c>
      <c r="F150" t="s">
        <v>1258</v>
      </c>
      <c r="G150" t="s">
        <v>862</v>
      </c>
    </row>
    <row r="151" spans="1:7" x14ac:dyDescent="0.35">
      <c r="A151" s="72">
        <v>46206.55976851852</v>
      </c>
      <c r="B151" t="s">
        <v>827</v>
      </c>
      <c r="C151">
        <v>129218</v>
      </c>
      <c r="D151">
        <v>4</v>
      </c>
      <c r="E151">
        <v>14</v>
      </c>
      <c r="F151" t="s">
        <v>1259</v>
      </c>
      <c r="G151" t="s">
        <v>862</v>
      </c>
    </row>
    <row r="152" spans="1:7" x14ac:dyDescent="0.35">
      <c r="A152" s="72">
        <v>46206.614699074074</v>
      </c>
      <c r="B152" t="s">
        <v>827</v>
      </c>
      <c r="C152">
        <v>130394</v>
      </c>
      <c r="D152">
        <v>2</v>
      </c>
      <c r="E152">
        <v>6</v>
      </c>
      <c r="F152" t="s">
        <v>1260</v>
      </c>
      <c r="G152" t="s">
        <v>862</v>
      </c>
    </row>
    <row r="153" spans="1:7" x14ac:dyDescent="0.35">
      <c r="A153" s="72">
        <v>46206.78638888889</v>
      </c>
      <c r="B153" t="s">
        <v>827</v>
      </c>
      <c r="C153">
        <v>131670</v>
      </c>
      <c r="D153">
        <v>4</v>
      </c>
      <c r="E153">
        <v>20</v>
      </c>
      <c r="F153" t="s">
        <v>1261</v>
      </c>
      <c r="G153" t="s">
        <v>862</v>
      </c>
    </row>
    <row r="154" spans="1:7" x14ac:dyDescent="0.35">
      <c r="A154" s="72">
        <v>46206.792384259257</v>
      </c>
      <c r="B154" t="s">
        <v>827</v>
      </c>
      <c r="C154">
        <v>131670</v>
      </c>
      <c r="D154">
        <v>4</v>
      </c>
      <c r="E154">
        <v>20</v>
      </c>
      <c r="F154" t="s">
        <v>1262</v>
      </c>
      <c r="G154" t="s">
        <v>862</v>
      </c>
    </row>
    <row r="155" spans="1:7" x14ac:dyDescent="0.35">
      <c r="A155" s="72">
        <v>46209.514097222222</v>
      </c>
      <c r="B155" t="s">
        <v>827</v>
      </c>
      <c r="C155">
        <v>132983</v>
      </c>
      <c r="D155">
        <v>3</v>
      </c>
      <c r="E155">
        <v>15</v>
      </c>
      <c r="F155" t="s">
        <v>1263</v>
      </c>
      <c r="G155" t="s">
        <v>862</v>
      </c>
    </row>
    <row r="156" spans="1:7" x14ac:dyDescent="0.35">
      <c r="A156" s="72">
        <v>46209.595011574071</v>
      </c>
      <c r="B156" t="s">
        <v>827</v>
      </c>
      <c r="C156">
        <v>122828</v>
      </c>
      <c r="D156">
        <v>2</v>
      </c>
      <c r="E156">
        <v>10</v>
      </c>
      <c r="F156" t="s">
        <v>861</v>
      </c>
      <c r="G156" t="s">
        <v>862</v>
      </c>
    </row>
    <row r="157" spans="1:7" x14ac:dyDescent="0.35">
      <c r="A157" s="72">
        <v>46209.637870370374</v>
      </c>
      <c r="B157" t="s">
        <v>827</v>
      </c>
      <c r="C157">
        <v>132004</v>
      </c>
      <c r="D157">
        <v>2</v>
      </c>
      <c r="E157">
        <v>8</v>
      </c>
      <c r="F157" t="s">
        <v>1264</v>
      </c>
      <c r="G157" t="s">
        <v>862</v>
      </c>
    </row>
    <row r="158" spans="1:7" x14ac:dyDescent="0.35">
      <c r="A158" s="72">
        <v>46209.72115740741</v>
      </c>
      <c r="B158" t="s">
        <v>827</v>
      </c>
      <c r="C158">
        <v>131903</v>
      </c>
      <c r="D158">
        <v>2</v>
      </c>
      <c r="E158">
        <v>10</v>
      </c>
      <c r="F158" t="s">
        <v>1265</v>
      </c>
      <c r="G158" t="s">
        <v>862</v>
      </c>
    </row>
    <row r="159" spans="1:7" x14ac:dyDescent="0.35">
      <c r="A159" s="72">
        <v>46209.761365740742</v>
      </c>
      <c r="B159" t="s">
        <v>827</v>
      </c>
      <c r="C159">
        <v>131328</v>
      </c>
      <c r="D159">
        <v>2</v>
      </c>
      <c r="E159">
        <v>8</v>
      </c>
      <c r="F159" t="s">
        <v>1236</v>
      </c>
      <c r="G159" t="s">
        <v>862</v>
      </c>
    </row>
    <row r="160" spans="1:7" x14ac:dyDescent="0.35">
      <c r="A160" s="72">
        <v>46210.408634259256</v>
      </c>
      <c r="B160" t="s">
        <v>827</v>
      </c>
      <c r="C160">
        <v>129778</v>
      </c>
      <c r="D160">
        <v>2</v>
      </c>
      <c r="E160">
        <v>8</v>
      </c>
      <c r="F160" t="s">
        <v>1266</v>
      </c>
      <c r="G160" t="s">
        <v>862</v>
      </c>
    </row>
    <row r="161" spans="1:7" x14ac:dyDescent="0.35">
      <c r="A161" s="72">
        <v>46210.463680555556</v>
      </c>
      <c r="B161" t="s">
        <v>827</v>
      </c>
      <c r="C161">
        <v>130679</v>
      </c>
      <c r="D161">
        <v>4</v>
      </c>
      <c r="E161">
        <v>14</v>
      </c>
      <c r="F161" t="s">
        <v>1267</v>
      </c>
      <c r="G161" t="s">
        <v>862</v>
      </c>
    </row>
    <row r="162" spans="1:7" x14ac:dyDescent="0.35">
      <c r="A162" s="72">
        <v>46210.519432870373</v>
      </c>
      <c r="B162" t="s">
        <v>827</v>
      </c>
      <c r="C162">
        <v>129548</v>
      </c>
      <c r="D162">
        <v>2</v>
      </c>
      <c r="E162">
        <v>8</v>
      </c>
      <c r="F162" t="s">
        <v>1268</v>
      </c>
      <c r="G162" t="s">
        <v>862</v>
      </c>
    </row>
    <row r="163" spans="1:7" x14ac:dyDescent="0.35">
      <c r="A163" s="72">
        <v>46210.700752314813</v>
      </c>
      <c r="B163" t="s">
        <v>827</v>
      </c>
      <c r="C163">
        <v>128372</v>
      </c>
      <c r="D163">
        <v>2</v>
      </c>
      <c r="E163">
        <v>8</v>
      </c>
      <c r="F163" t="s">
        <v>912</v>
      </c>
      <c r="G163" t="s">
        <v>862</v>
      </c>
    </row>
    <row r="164" spans="1:7" x14ac:dyDescent="0.35">
      <c r="A164" s="72">
        <v>46210.752615740741</v>
      </c>
      <c r="B164" t="s">
        <v>827</v>
      </c>
      <c r="C164">
        <v>128415</v>
      </c>
      <c r="D164">
        <v>4</v>
      </c>
      <c r="E164">
        <v>22</v>
      </c>
      <c r="F164" t="s">
        <v>854</v>
      </c>
      <c r="G164" t="s">
        <v>862</v>
      </c>
    </row>
    <row r="165" spans="1:7" x14ac:dyDescent="0.35">
      <c r="A165" s="72">
        <v>46210.795324074075</v>
      </c>
      <c r="B165" t="s">
        <v>827</v>
      </c>
      <c r="C165">
        <v>129188</v>
      </c>
      <c r="D165">
        <v>4</v>
      </c>
      <c r="E165">
        <v>20</v>
      </c>
      <c r="F165" t="s">
        <v>1269</v>
      </c>
      <c r="G165" t="s">
        <v>862</v>
      </c>
    </row>
    <row r="166" spans="1:7" x14ac:dyDescent="0.35">
      <c r="A166" s="72">
        <v>46211.56486111111</v>
      </c>
      <c r="B166" t="s">
        <v>827</v>
      </c>
      <c r="C166">
        <v>132428</v>
      </c>
      <c r="D166">
        <v>2</v>
      </c>
      <c r="E166">
        <v>6</v>
      </c>
      <c r="F166" t="s">
        <v>1270</v>
      </c>
      <c r="G166" t="s">
        <v>862</v>
      </c>
    </row>
    <row r="167" spans="1:7" x14ac:dyDescent="0.35">
      <c r="A167" s="72">
        <v>46211.583124999997</v>
      </c>
      <c r="B167" t="s">
        <v>827</v>
      </c>
      <c r="C167">
        <v>132276</v>
      </c>
      <c r="D167">
        <v>2</v>
      </c>
      <c r="E167">
        <v>6</v>
      </c>
      <c r="F167" t="s">
        <v>1271</v>
      </c>
      <c r="G167" t="s">
        <v>862</v>
      </c>
    </row>
    <row r="168" spans="1:7" x14ac:dyDescent="0.35">
      <c r="A168" s="72">
        <v>46211.602210648147</v>
      </c>
      <c r="B168" t="s">
        <v>827</v>
      </c>
      <c r="C168">
        <v>130184</v>
      </c>
      <c r="D168">
        <v>2</v>
      </c>
      <c r="E168">
        <v>6</v>
      </c>
      <c r="F168" t="s">
        <v>1272</v>
      </c>
      <c r="G168" t="s">
        <v>862</v>
      </c>
    </row>
    <row r="169" spans="1:7" x14ac:dyDescent="0.35">
      <c r="A169" s="72">
        <v>46211.625636574077</v>
      </c>
      <c r="B169" t="s">
        <v>827</v>
      </c>
      <c r="C169">
        <v>131052</v>
      </c>
      <c r="D169">
        <v>2</v>
      </c>
      <c r="E169">
        <v>8</v>
      </c>
      <c r="F169" t="s">
        <v>1237</v>
      </c>
      <c r="G169" t="s">
        <v>862</v>
      </c>
    </row>
    <row r="170" spans="1:7" x14ac:dyDescent="0.35">
      <c r="A170" s="72">
        <v>46211.744120370371</v>
      </c>
      <c r="B170" t="s">
        <v>827</v>
      </c>
      <c r="C170">
        <v>130756</v>
      </c>
      <c r="D170">
        <v>2</v>
      </c>
      <c r="E170">
        <v>8</v>
      </c>
      <c r="F170" t="s">
        <v>1254</v>
      </c>
      <c r="G170" t="s">
        <v>862</v>
      </c>
    </row>
    <row r="171" spans="1:7" x14ac:dyDescent="0.35">
      <c r="A171" s="72">
        <v>46212.441701388889</v>
      </c>
      <c r="B171" t="s">
        <v>827</v>
      </c>
      <c r="C171">
        <v>132500</v>
      </c>
      <c r="D171">
        <v>1</v>
      </c>
      <c r="E171">
        <v>7</v>
      </c>
      <c r="F171" t="s">
        <v>1273</v>
      </c>
      <c r="G171" t="s">
        <v>862</v>
      </c>
    </row>
    <row r="172" spans="1:7" x14ac:dyDescent="0.35">
      <c r="A172" s="72">
        <v>46212.441932870373</v>
      </c>
    </row>
    <row r="173" spans="1:7" x14ac:dyDescent="0.35">
      <c r="A173" s="72">
        <v>46212.675092592595</v>
      </c>
      <c r="B173" t="s">
        <v>827</v>
      </c>
      <c r="C173">
        <v>130406</v>
      </c>
      <c r="D173">
        <v>5</v>
      </c>
      <c r="E173">
        <v>20</v>
      </c>
      <c r="F173" t="s">
        <v>1274</v>
      </c>
      <c r="G173" t="s">
        <v>862</v>
      </c>
    </row>
    <row r="174" spans="1:7" x14ac:dyDescent="0.35">
      <c r="A174" s="72">
        <v>46212.728761574072</v>
      </c>
      <c r="B174" t="s">
        <v>827</v>
      </c>
      <c r="C174">
        <v>131012</v>
      </c>
      <c r="D174">
        <v>2</v>
      </c>
      <c r="E174">
        <v>10</v>
      </c>
      <c r="F174" t="s">
        <v>1254</v>
      </c>
      <c r="G174" t="s">
        <v>862</v>
      </c>
    </row>
    <row r="175" spans="1:7" x14ac:dyDescent="0.35">
      <c r="A175" s="72">
        <v>46212.821481481478</v>
      </c>
      <c r="B175" t="s">
        <v>827</v>
      </c>
      <c r="C175">
        <v>128411</v>
      </c>
      <c r="D175">
        <v>4</v>
      </c>
      <c r="E175">
        <v>22</v>
      </c>
      <c r="F175" t="s">
        <v>897</v>
      </c>
      <c r="G175" t="s">
        <v>862</v>
      </c>
    </row>
    <row r="176" spans="1:7" x14ac:dyDescent="0.35">
      <c r="A176" s="72">
        <v>46213.049189814818</v>
      </c>
      <c r="B176" t="s">
        <v>827</v>
      </c>
      <c r="C176">
        <v>132371</v>
      </c>
      <c r="D176">
        <v>4</v>
      </c>
      <c r="E176">
        <v>14</v>
      </c>
      <c r="F176" t="s">
        <v>1239</v>
      </c>
      <c r="G176" t="s">
        <v>862</v>
      </c>
    </row>
    <row r="177" spans="1:9" x14ac:dyDescent="0.35">
      <c r="A177" s="72">
        <v>46213.073125000003</v>
      </c>
      <c r="B177" t="s">
        <v>827</v>
      </c>
      <c r="C177">
        <v>130587</v>
      </c>
      <c r="D177">
        <v>2</v>
      </c>
      <c r="E177">
        <v>6</v>
      </c>
      <c r="F177" t="s">
        <v>1275</v>
      </c>
      <c r="G177" t="s">
        <v>862</v>
      </c>
    </row>
    <row r="178" spans="1:9" x14ac:dyDescent="0.35">
      <c r="A178" s="72">
        <v>46230.377129629633</v>
      </c>
      <c r="B178" t="s">
        <v>827</v>
      </c>
      <c r="C178" t="s">
        <v>1219</v>
      </c>
      <c r="D178">
        <v>1</v>
      </c>
      <c r="E178">
        <v>3</v>
      </c>
      <c r="F178" t="s">
        <v>1273</v>
      </c>
      <c r="G178" t="s">
        <v>1277</v>
      </c>
      <c r="I178">
        <v>0</v>
      </c>
    </row>
    <row r="179" spans="1:9" x14ac:dyDescent="0.35">
      <c r="A179" s="72">
        <v>46230.409791666665</v>
      </c>
      <c r="B179" t="s">
        <v>827</v>
      </c>
      <c r="C179" t="s">
        <v>1219</v>
      </c>
      <c r="D179">
        <v>2</v>
      </c>
      <c r="E179">
        <v>8</v>
      </c>
      <c r="F179" t="s">
        <v>1278</v>
      </c>
      <c r="G179" t="s">
        <v>1277</v>
      </c>
      <c r="I179">
        <v>0</v>
      </c>
    </row>
    <row r="180" spans="1:9" x14ac:dyDescent="0.35">
      <c r="A180" s="72">
        <v>46230.649351851855</v>
      </c>
      <c r="B180" t="s">
        <v>827</v>
      </c>
      <c r="C180">
        <v>136577</v>
      </c>
      <c r="D180">
        <v>2</v>
      </c>
      <c r="E180">
        <v>6</v>
      </c>
      <c r="F180" t="s">
        <v>1249</v>
      </c>
      <c r="G180" t="s">
        <v>1277</v>
      </c>
      <c r="I180">
        <v>0</v>
      </c>
    </row>
    <row r="181" spans="1:9" x14ac:dyDescent="0.35">
      <c r="A181" s="72">
        <v>46230.727175925924</v>
      </c>
      <c r="B181" t="s">
        <v>827</v>
      </c>
      <c r="C181">
        <v>136393</v>
      </c>
      <c r="D181">
        <v>2</v>
      </c>
      <c r="E181">
        <v>6</v>
      </c>
      <c r="F181" t="s">
        <v>1286</v>
      </c>
      <c r="G181" t="s">
        <v>1277</v>
      </c>
      <c r="I181">
        <v>6</v>
      </c>
    </row>
    <row r="182" spans="1:9" x14ac:dyDescent="0.35">
      <c r="A182" s="72">
        <v>46230.738645833335</v>
      </c>
      <c r="B182" t="s">
        <v>827</v>
      </c>
      <c r="C182">
        <v>136393</v>
      </c>
      <c r="D182">
        <v>2</v>
      </c>
      <c r="E182">
        <v>6</v>
      </c>
      <c r="F182" t="s">
        <v>1287</v>
      </c>
      <c r="G182" t="s">
        <v>1277</v>
      </c>
      <c r="I182">
        <v>0</v>
      </c>
    </row>
    <row r="183" spans="1:9" x14ac:dyDescent="0.35">
      <c r="A183" s="72">
        <v>46230.763923611114</v>
      </c>
      <c r="B183" t="s">
        <v>827</v>
      </c>
      <c r="C183">
        <v>136393</v>
      </c>
      <c r="D183">
        <v>2</v>
      </c>
      <c r="E183">
        <v>6</v>
      </c>
      <c r="F183" t="s">
        <v>1288</v>
      </c>
      <c r="G183">
        <v>3.4</v>
      </c>
      <c r="I183">
        <v>0</v>
      </c>
    </row>
    <row r="184" spans="1:9" x14ac:dyDescent="0.35">
      <c r="A184" s="72">
        <v>46230.768194444441</v>
      </c>
      <c r="B184" t="s">
        <v>827</v>
      </c>
      <c r="C184">
        <v>136393</v>
      </c>
      <c r="D184">
        <v>2</v>
      </c>
      <c r="E184">
        <v>6</v>
      </c>
      <c r="F184" t="s">
        <v>1289</v>
      </c>
      <c r="G184">
        <v>3.4</v>
      </c>
      <c r="I184">
        <v>0</v>
      </c>
    </row>
    <row r="185" spans="1:9" x14ac:dyDescent="0.35">
      <c r="A185" s="72">
        <v>46231.658634259256</v>
      </c>
      <c r="B185" t="s">
        <v>827</v>
      </c>
      <c r="C185">
        <v>129098</v>
      </c>
      <c r="D185">
        <v>2</v>
      </c>
      <c r="E185">
        <v>6</v>
      </c>
      <c r="F185" t="s">
        <v>1306</v>
      </c>
      <c r="G185">
        <v>3.4</v>
      </c>
      <c r="I185">
        <v>0</v>
      </c>
    </row>
    <row r="186" spans="1:9" x14ac:dyDescent="0.35">
      <c r="A186" s="72">
        <v>46231.665891203702</v>
      </c>
      <c r="B186" t="s">
        <v>827</v>
      </c>
      <c r="C186">
        <v>129098</v>
      </c>
      <c r="D186">
        <v>4</v>
      </c>
      <c r="E186">
        <v>16</v>
      </c>
      <c r="F186" t="s">
        <v>879</v>
      </c>
      <c r="G186">
        <v>3.4</v>
      </c>
      <c r="I186">
        <v>0</v>
      </c>
    </row>
    <row r="187" spans="1:9" x14ac:dyDescent="0.35">
      <c r="A187" s="72">
        <v>46231.669849537036</v>
      </c>
      <c r="B187" t="s">
        <v>827</v>
      </c>
      <c r="C187">
        <v>129098</v>
      </c>
      <c r="D187">
        <v>4</v>
      </c>
      <c r="E187">
        <v>16</v>
      </c>
      <c r="F187" t="s">
        <v>1307</v>
      </c>
      <c r="G187">
        <v>3.4</v>
      </c>
      <c r="I187">
        <v>0</v>
      </c>
    </row>
    <row r="188" spans="1:9" x14ac:dyDescent="0.35">
      <c r="A188" s="72">
        <v>46232.349340277775</v>
      </c>
      <c r="B188" t="s">
        <v>827</v>
      </c>
      <c r="C188">
        <v>137237</v>
      </c>
      <c r="D188">
        <v>4</v>
      </c>
      <c r="E188">
        <v>20</v>
      </c>
      <c r="F188" t="s">
        <v>920</v>
      </c>
      <c r="G188">
        <v>3.4</v>
      </c>
      <c r="I188">
        <v>0</v>
      </c>
    </row>
    <row r="189" spans="1:9" x14ac:dyDescent="0.35">
      <c r="A189" s="72">
        <v>46232.422881944447</v>
      </c>
      <c r="B189" t="s">
        <v>827</v>
      </c>
      <c r="C189">
        <v>135779</v>
      </c>
      <c r="D189">
        <v>7</v>
      </c>
      <c r="E189">
        <v>23</v>
      </c>
      <c r="F189" t="s">
        <v>881</v>
      </c>
      <c r="G189">
        <v>3.4</v>
      </c>
      <c r="I189">
        <v>0</v>
      </c>
    </row>
    <row r="190" spans="1:9" x14ac:dyDescent="0.35">
      <c r="A190" s="72">
        <v>46232.510266203702</v>
      </c>
      <c r="B190" t="s">
        <v>827</v>
      </c>
      <c r="C190">
        <v>129250</v>
      </c>
      <c r="D190">
        <v>4</v>
      </c>
      <c r="E190">
        <v>14</v>
      </c>
      <c r="F190" t="s">
        <v>1326</v>
      </c>
      <c r="G190">
        <v>3.4</v>
      </c>
      <c r="I190">
        <v>0</v>
      </c>
    </row>
    <row r="191" spans="1:9" x14ac:dyDescent="0.35">
      <c r="A191" s="72">
        <v>46232.60533564815</v>
      </c>
      <c r="B191" t="s">
        <v>827</v>
      </c>
      <c r="C191">
        <v>128568</v>
      </c>
      <c r="D191">
        <v>4</v>
      </c>
      <c r="E191">
        <v>22</v>
      </c>
      <c r="F191" t="s">
        <v>1328</v>
      </c>
      <c r="G191">
        <v>3.4</v>
      </c>
      <c r="I191">
        <v>0</v>
      </c>
    </row>
    <row r="192" spans="1:9" x14ac:dyDescent="0.35">
      <c r="A192" s="72">
        <v>46232.771134259259</v>
      </c>
      <c r="B192" t="s">
        <v>827</v>
      </c>
      <c r="C192">
        <v>128480</v>
      </c>
      <c r="D192">
        <v>5</v>
      </c>
      <c r="E192">
        <v>25</v>
      </c>
      <c r="F192" t="s">
        <v>1329</v>
      </c>
      <c r="G192">
        <v>3.4</v>
      </c>
      <c r="I192">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K29"/>
  <sheetViews>
    <sheetView topLeftCell="H1" zoomScaleNormal="100" workbookViewId="0">
      <selection activeCell="K16" sqref="K16"/>
    </sheetView>
  </sheetViews>
  <sheetFormatPr defaultColWidth="8.7265625" defaultRowHeight="14.5" x14ac:dyDescent="0.35"/>
  <cols>
    <col min="1" max="1" width="13.453125" style="33" bestFit="1" customWidth="1"/>
    <col min="2" max="2" width="13.1796875" style="33" bestFit="1" customWidth="1"/>
    <col min="3" max="3" width="20" style="33" bestFit="1" customWidth="1"/>
    <col min="4" max="4" width="13.1796875" style="33" bestFit="1" customWidth="1"/>
    <col min="5" max="5" width="18.81640625" style="33" bestFit="1" customWidth="1"/>
    <col min="6" max="9" width="8.7265625" style="33" customWidth="1"/>
    <col min="10" max="10" width="19.1796875" bestFit="1" customWidth="1"/>
    <col min="11" max="11" width="255.54296875" bestFit="1" customWidth="1"/>
    <col min="12" max="12" width="8.7265625" style="33" customWidth="1"/>
    <col min="13" max="16384" width="8.7265625" style="33"/>
  </cols>
  <sheetData>
    <row r="1" spans="1:11" x14ac:dyDescent="0.35">
      <c r="A1" s="38" t="s">
        <v>2</v>
      </c>
      <c r="B1" s="39" t="s">
        <v>926</v>
      </c>
      <c r="C1" s="39" t="s">
        <v>927</v>
      </c>
      <c r="D1" s="39" t="s">
        <v>3</v>
      </c>
      <c r="E1" s="40" t="s">
        <v>928</v>
      </c>
      <c r="J1" t="s">
        <v>929</v>
      </c>
      <c r="K1" s="37" t="s">
        <v>930</v>
      </c>
    </row>
    <row r="2" spans="1:11" x14ac:dyDescent="0.35">
      <c r="A2" s="41" t="s">
        <v>931</v>
      </c>
      <c r="B2" s="42" t="s">
        <v>932</v>
      </c>
      <c r="C2" s="42" t="s">
        <v>933</v>
      </c>
      <c r="D2" s="42" t="s">
        <v>932</v>
      </c>
      <c r="E2" s="43" t="s">
        <v>934</v>
      </c>
      <c r="J2" t="s">
        <v>935</v>
      </c>
      <c r="K2" t="str">
        <f>IF(Sheet1!$J$7="Wise",IFERROR(VLOOKUP(Sheet1!$J$9, Template_DB!A:B, 2, FALSE), "Please Select an Escalation Scenario"),"" )</f>
        <v/>
      </c>
    </row>
    <row r="3" spans="1:11" x14ac:dyDescent="0.35">
      <c r="A3" s="41" t="s">
        <v>931</v>
      </c>
      <c r="B3" s="42" t="s">
        <v>936</v>
      </c>
      <c r="C3" s="42" t="s">
        <v>937</v>
      </c>
      <c r="D3" s="42" t="s">
        <v>936</v>
      </c>
      <c r="E3" s="43" t="s">
        <v>938</v>
      </c>
      <c r="J3" t="s">
        <v>939</v>
      </c>
      <c r="K3" s="37" t="str">
        <f t="array" ref="K3">_xlfn.IFS(AND(Sheet1!$J$6="Escalation", Sheet1!$J$7="Wise"), Template_DB!$B$2, AND(Sheet1!$J$6="Escalation", Sheet1!$J$7="Fluz"), Template_DB!$B$3, AND(Sheet1!$J$6="Non-Escalation", Sheet1!$J$7="Wise"), Template_DB!$B$4, AND(Sheet1!$J$6="Non-Escalation", Sheet1!$J$7="Fluz"), Template_DB!$B$4, AND(Sheet1!$J$6="Escalation", Sheet1!$J$7="Crypto"), Template_DB!$B$5, AND(Sheet1!$J$6="Non-Escalation", Sheet1!$J$7="Crypto"), Template_DB!$B$6, AND(Sheet1!$J$6="RFI", Sheet1!$J$7="Wise"), Template_DB!$B$7, AND(Sheet1!$J$6="RFI", Sheet1!$J$7="Airwallex"), Template_DB!$B$8, AND(Sheet1!$J$6="RFI", Sheet1!$J$7="Common"), Template_DB!$B$9, TRUE, "Select Template")</f>
        <v>Select Template</v>
      </c>
    </row>
    <row r="4" spans="1:11" x14ac:dyDescent="0.35">
      <c r="A4" s="41" t="s">
        <v>931</v>
      </c>
      <c r="B4" s="42" t="s">
        <v>940</v>
      </c>
      <c r="C4" s="42" t="s">
        <v>941</v>
      </c>
      <c r="D4" s="42" t="s">
        <v>940</v>
      </c>
      <c r="E4" s="43" t="s">
        <v>938</v>
      </c>
      <c r="J4" t="s">
        <v>942</v>
      </c>
      <c r="K4" s="37" t="str">
        <f>Sheet1!J14</f>
        <v>Tonik Sobczak, Zieba Sp.K.</v>
      </c>
    </row>
    <row r="5" spans="1:11" x14ac:dyDescent="0.35">
      <c r="A5" s="41" t="s">
        <v>943</v>
      </c>
      <c r="B5" s="42" t="s">
        <v>944</v>
      </c>
      <c r="C5" s="42" t="s">
        <v>945</v>
      </c>
      <c r="D5" s="42" t="s">
        <v>944</v>
      </c>
      <c r="E5" s="43" t="s">
        <v>938</v>
      </c>
      <c r="J5" t="s">
        <v>946</v>
      </c>
      <c r="K5" s="37">
        <f>Sheet1!J10</f>
        <v>128504</v>
      </c>
    </row>
    <row r="6" spans="1:11" ht="15" customHeight="1" thickBot="1" x14ac:dyDescent="0.4">
      <c r="A6" s="41" t="s">
        <v>943</v>
      </c>
      <c r="B6" s="44" t="s">
        <v>940</v>
      </c>
      <c r="C6" s="44" t="s">
        <v>947</v>
      </c>
      <c r="D6" s="44" t="s">
        <v>940</v>
      </c>
      <c r="E6" s="43" t="s">
        <v>938</v>
      </c>
      <c r="J6" t="s">
        <v>948</v>
      </c>
      <c r="K6" s="37" t="str">
        <f>Sheet1!J11</f>
        <v>ALERT2350097</v>
      </c>
    </row>
    <row r="7" spans="1:11" x14ac:dyDescent="0.35">
      <c r="J7" t="s">
        <v>949</v>
      </c>
      <c r="K7" s="37" t="str">
        <f>Sheet1!J15</f>
        <v>JANA KOCHANOWSKIEGO 4 LOK. 4 POZNAN, 60-844, Poland</v>
      </c>
    </row>
    <row r="8" spans="1:11" x14ac:dyDescent="0.35">
      <c r="A8" t="s">
        <v>950</v>
      </c>
      <c r="D8" t="s">
        <v>932</v>
      </c>
      <c r="E8" t="s">
        <v>932</v>
      </c>
      <c r="J8" t="s">
        <v>951</v>
      </c>
      <c r="K8" s="37" t="str">
        <f>IF(COUNTA(Sheet1!J19:J24)&gt;1,SUBSTITUTE(_xlfn.TEXTJOIN(", ", TRUE, Sheet1!J19:J24), ", "," and ", COUNTA(Sheet1!J19:J24)-1), _xlfn.TEXTJOIN(", ", TRUE, Sheet1!J19:J24))</f>
        <v/>
      </c>
    </row>
    <row r="9" spans="1:11" x14ac:dyDescent="0.35">
      <c r="A9" t="s">
        <v>952</v>
      </c>
      <c r="D9" t="s">
        <v>936</v>
      </c>
      <c r="E9" t="s">
        <v>953</v>
      </c>
      <c r="J9" t="s">
        <v>954</v>
      </c>
      <c r="K9" s="37" t="str">
        <f ca="1">TEXT(K11/K10, "#,##0.00")</f>
        <v>21,075.00</v>
      </c>
    </row>
    <row r="10" spans="1:11" x14ac:dyDescent="0.35">
      <c r="D10" t="s">
        <v>940</v>
      </c>
      <c r="E10" t="s">
        <v>955</v>
      </c>
      <c r="J10" t="s">
        <v>956</v>
      </c>
      <c r="K10" s="37">
        <f ca="1">COUNT(INDIRECT("ConsolidatedData!K:K"))</f>
        <v>3</v>
      </c>
    </row>
    <row r="11" spans="1:11" x14ac:dyDescent="0.35">
      <c r="J11" t="s">
        <v>957</v>
      </c>
      <c r="K11" s="37" t="str">
        <f ca="1">TEXT(SUM(INDIRECT("ConsolidatedData!K:K")), "#,##0.00")</f>
        <v>63,225.00</v>
      </c>
    </row>
    <row r="12" spans="1:11" x14ac:dyDescent="0.35">
      <c r="J12" t="s">
        <v>958</v>
      </c>
      <c r="K12" s="37" t="str">
        <f ca="1">TEXT(MIN(INDIRECT("ConsolidatedData!L:L")),"mm/dd/yyyy")</f>
        <v>05/06/2026</v>
      </c>
    </row>
    <row r="13" spans="1:11" x14ac:dyDescent="0.35">
      <c r="J13" t="s">
        <v>959</v>
      </c>
      <c r="K13" s="37" t="str">
        <f ca="1">TEXT(MAX(INDIRECT("ConsolidatedData!L:L")),"mm/dd/yyyy")</f>
        <v>05/08/2026</v>
      </c>
    </row>
    <row r="14" spans="1:11" x14ac:dyDescent="0.35">
      <c r="J14" t="s">
        <v>960</v>
      </c>
      <c r="K14" s="37" t="str">
        <f t="array" aca="1" ref="K14" ca="1">_xlfn.TEXTJOIN(",",TRUE,_xlfn.UNIQUE(_xlfn._xlws.FILTER(INDIRECT("ConsolidatedData!F2:F10000"),INDIRECT("ConsolidatedData!F2:F10000")&lt;&gt;"")))</f>
        <v>MSP8311619788</v>
      </c>
    </row>
    <row r="15" spans="1:11" x14ac:dyDescent="0.35">
      <c r="J15" t="s">
        <v>961</v>
      </c>
      <c r="K15" t="str">
        <f>IFERROR(VLOOKUP(Sheet1!J8, Program_Library!A:B, 2, FALSE), "Select a Program")</f>
        <v>Select a Program</v>
      </c>
    </row>
    <row r="16" spans="1:11" x14ac:dyDescent="0.35">
      <c r="J16" t="s">
        <v>962</v>
      </c>
      <c r="K16" t="str">
        <f>Sheet1!J8&amp;""</f>
        <v/>
      </c>
    </row>
    <row r="17" spans="10:11" x14ac:dyDescent="0.35">
      <c r="J17" t="s">
        <v>963</v>
      </c>
      <c r="K17" t="str">
        <f>Sheet1!J19&amp;""</f>
        <v/>
      </c>
    </row>
    <row r="18" spans="10:11" x14ac:dyDescent="0.35">
      <c r="J18" t="s">
        <v>964</v>
      </c>
      <c r="K18" t="str">
        <f>Sheet1!J20&amp;""</f>
        <v/>
      </c>
    </row>
    <row r="19" spans="10:11" x14ac:dyDescent="0.35">
      <c r="J19" t="s">
        <v>965</v>
      </c>
      <c r="K19" t="str">
        <f>Sheet1!J21&amp;""</f>
        <v/>
      </c>
    </row>
    <row r="20" spans="10:11" x14ac:dyDescent="0.35">
      <c r="J20" t="s">
        <v>966</v>
      </c>
      <c r="K20" t="str">
        <f>Sheet1!J22&amp;""</f>
        <v/>
      </c>
    </row>
    <row r="21" spans="10:11" x14ac:dyDescent="0.35">
      <c r="J21" t="s">
        <v>967</v>
      </c>
      <c r="K21" t="str">
        <f>Sheet1!J23&amp;""</f>
        <v/>
      </c>
    </row>
    <row r="22" spans="10:11" x14ac:dyDescent="0.35">
      <c r="J22" t="s">
        <v>968</v>
      </c>
      <c r="K22" t="str">
        <f>Sheet1!J24&amp;""</f>
        <v/>
      </c>
    </row>
    <row r="23" spans="10:11" x14ac:dyDescent="0.35">
      <c r="J23" t="s">
        <v>969</v>
      </c>
      <c r="K23" t="str">
        <f t="array" ref="K23">_xlfn.LET(_xlpm.AllAlerts, _xlfn.TEXTJOIN(",", TRUE, _xlfn._xlws.FILTER(ConsolidatedData!C2:C1000, ConsolidatedData!C2:C1000&lt;&gt;"")), _xlpm.SplitNames, _xlfn.UNIQUE(TRIM(_xlfn.TEXTSPLIT(_xlpm.AllAlerts, , ","))), _xlpm.RuleCodes, _xlfn.XLOOKUP(_xlpm.SplitNames, Rule_DB!C:C, Rule_DB!B:B, "Code Not Found"), _xlfn.TEXTJOIN(", ", TRUE, _xlpm.RuleCodes &amp; " - " &amp; _xlpm.SplitNames))</f>
        <v>RULE27B - Many to one fund transfer - Wires</v>
      </c>
    </row>
    <row r="24" spans="10:11" x14ac:dyDescent="0.35">
      <c r="J24" t="s">
        <v>970</v>
      </c>
      <c r="K24" s="37" t="str">
        <f>TEXT(_xlfn.MINIFS(ConsolidatedData!K:K, ConsolidatedData!K:K, "&gt;0"), "$#,##0.00")</f>
        <v>$4,550.00</v>
      </c>
    </row>
    <row r="25" spans="10:11" x14ac:dyDescent="0.35">
      <c r="J25" t="s">
        <v>971</v>
      </c>
      <c r="K25" s="37" t="str">
        <f>TEXT(_xlfn.MAXIFS(ConsolidatedData!K:K, ConsolidatedData!K:K, "&gt;0"), "$#,##0.00")</f>
        <v>$42,675.00</v>
      </c>
    </row>
    <row r="26" spans="10:11" x14ac:dyDescent="0.35">
      <c r="J26" t="s">
        <v>972</v>
      </c>
      <c r="K26" s="37" t="str">
        <f t="array" ref="K26">TEXT(SUMPRODUCT((ConsolidatedData!M:M="CR")*IFERROR(VALUE(SUBSTITUTE(ConsolidatedData!K:K, "$", "")), 0)), "#,##0.00")</f>
        <v>63,225.00</v>
      </c>
    </row>
    <row r="27" spans="10:11" x14ac:dyDescent="0.35">
      <c r="J27" t="s">
        <v>973</v>
      </c>
      <c r="K27" s="37" t="str">
        <f t="array" ref="K27">TEXT(SUMPRODUCT((ConsolidatedData!M:M="DR")*IFERROR(VALUE(SUBSTITUTE(ConsolidatedData!K:K, "$", "")), 0)), "#,##0.00")</f>
        <v>0.00</v>
      </c>
    </row>
    <row r="28" spans="10:11" x14ac:dyDescent="0.35">
      <c r="J28" t="s">
        <v>974</v>
      </c>
      <c r="K28" s="37">
        <f>COUNTIF(ConsolidatedData!M:M, "CR")</f>
        <v>3</v>
      </c>
    </row>
    <row r="29" spans="10:11" x14ac:dyDescent="0.35">
      <c r="J29" t="s">
        <v>975</v>
      </c>
      <c r="K29" s="37">
        <f>COUNTIF(ConsolidatedData!M:M, "DR")</f>
        <v>0</v>
      </c>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50"/>
  <sheetViews>
    <sheetView topLeftCell="A25" zoomScale="80" zoomScaleNormal="80" workbookViewId="0">
      <selection activeCell="A38" sqref="A38"/>
    </sheetView>
  </sheetViews>
  <sheetFormatPr defaultRowHeight="14.5" x14ac:dyDescent="0.35"/>
  <cols>
    <col min="1" max="1" width="94" bestFit="1" customWidth="1"/>
    <col min="2" max="2" width="9.1796875" bestFit="1" customWidth="1"/>
    <col min="3" max="3" width="75.1796875" bestFit="1" customWidth="1"/>
  </cols>
  <sheetData>
    <row r="1" spans="1:3" ht="16" customHeight="1" x14ac:dyDescent="0.35">
      <c r="A1" s="28" t="s">
        <v>976</v>
      </c>
      <c r="B1" t="s">
        <v>977</v>
      </c>
      <c r="C1" t="s">
        <v>978</v>
      </c>
    </row>
    <row r="2" spans="1:3" ht="16" customHeight="1" x14ac:dyDescent="0.35">
      <c r="A2" s="28" t="s">
        <v>979</v>
      </c>
      <c r="B2" t="str">
        <f t="shared" ref="B2:B49" si="0">LEFT(A2, FIND(" ", A2) -1)</f>
        <v>RULE02</v>
      </c>
      <c r="C2" t="str">
        <f t="shared" ref="C2:C49" si="1">MID(A2, FIND( " ", A2) + 1, LEN(A2))</f>
        <v>Large value card transactions for purchase</v>
      </c>
    </row>
    <row r="3" spans="1:3" ht="16" customHeight="1" x14ac:dyDescent="0.35">
      <c r="A3" s="28" t="s">
        <v>980</v>
      </c>
      <c r="B3" t="str">
        <f t="shared" si="0"/>
        <v>RULE03</v>
      </c>
      <c r="C3" t="str">
        <f t="shared" si="1"/>
        <v>Large value cash withdrawals against card - Weekly</v>
      </c>
    </row>
    <row r="4" spans="1:3" ht="16" customHeight="1" x14ac:dyDescent="0.35">
      <c r="A4" s="28" t="s">
        <v>981</v>
      </c>
      <c r="B4" t="str">
        <f t="shared" si="0"/>
        <v>RULE03A</v>
      </c>
      <c r="C4" t="str">
        <f t="shared" si="1"/>
        <v>Large value cash withdrawals against card - Monthly</v>
      </c>
    </row>
    <row r="5" spans="1:3" ht="16" customHeight="1" x14ac:dyDescent="0.35">
      <c r="A5" s="28" t="s">
        <v>982</v>
      </c>
      <c r="B5" t="str">
        <f t="shared" si="0"/>
        <v>RULE04</v>
      </c>
      <c r="C5" t="str">
        <f t="shared" si="1"/>
        <v>Repeated small value cash withdrawals against card</v>
      </c>
    </row>
    <row r="6" spans="1:3" ht="16" customHeight="1" x14ac:dyDescent="0.35">
      <c r="A6" s="28" t="s">
        <v>983</v>
      </c>
      <c r="B6" t="str">
        <f t="shared" si="0"/>
        <v>RULE05</v>
      </c>
      <c r="C6" t="str">
        <f t="shared" si="1"/>
        <v>Large repetitive card usage at the same merchant</v>
      </c>
    </row>
    <row r="7" spans="1:3" ht="16" customHeight="1" x14ac:dyDescent="0.35">
      <c r="A7" s="28" t="s">
        <v>984</v>
      </c>
      <c r="B7" t="str">
        <f t="shared" si="0"/>
        <v>RULE06</v>
      </c>
      <c r="C7" t="str">
        <f t="shared" si="1"/>
        <v>High value cash deposits in a month</v>
      </c>
    </row>
    <row r="8" spans="1:3" ht="16" customHeight="1" x14ac:dyDescent="0.35">
      <c r="A8" s="28" t="s">
        <v>985</v>
      </c>
      <c r="B8" t="str">
        <f t="shared" si="0"/>
        <v>RULE07</v>
      </c>
      <c r="C8" t="str">
        <f t="shared" si="1"/>
        <v>High value cash withdrawals in a month</v>
      </c>
    </row>
    <row r="9" spans="1:3" ht="16" customHeight="1" x14ac:dyDescent="0.35">
      <c r="A9" s="28" t="s">
        <v>986</v>
      </c>
      <c r="B9" t="str">
        <f t="shared" si="0"/>
        <v>RULE10</v>
      </c>
      <c r="C9" t="str">
        <f t="shared" si="1"/>
        <v>Sudden high value transaction for the client</v>
      </c>
    </row>
    <row r="10" spans="1:3" ht="16" customHeight="1" x14ac:dyDescent="0.35">
      <c r="A10" s="28" t="s">
        <v>987</v>
      </c>
      <c r="B10" t="str">
        <f t="shared" si="0"/>
        <v>RULE11</v>
      </c>
      <c r="C10" t="str">
        <f t="shared" si="1"/>
        <v>Structuring: Splitting of cash withdrawal just below $10,000 in multiple accounts in a day</v>
      </c>
    </row>
    <row r="11" spans="1:3" ht="16" customHeight="1" x14ac:dyDescent="0.35">
      <c r="A11" s="28" t="s">
        <v>988</v>
      </c>
      <c r="B11" t="str">
        <f t="shared" si="0"/>
        <v>RULE12</v>
      </c>
      <c r="C11" t="str">
        <f t="shared" si="1"/>
        <v>Structuring: Splitting cash deposits just below $10,000 in multiple accounts in a day</v>
      </c>
    </row>
    <row r="12" spans="1:3" ht="16" customHeight="1" x14ac:dyDescent="0.35">
      <c r="A12" s="28" t="s">
        <v>989</v>
      </c>
      <c r="B12" t="str">
        <f t="shared" si="0"/>
        <v>RULE14</v>
      </c>
      <c r="C12" t="str">
        <f t="shared" si="1"/>
        <v>Frequent low cash deposits</v>
      </c>
    </row>
    <row r="13" spans="1:3" ht="16" customHeight="1" x14ac:dyDescent="0.35">
      <c r="A13" s="28" t="s">
        <v>990</v>
      </c>
      <c r="B13" t="str">
        <f t="shared" si="0"/>
        <v>RULE15</v>
      </c>
      <c r="C13" t="str">
        <f t="shared" si="1"/>
        <v>Frequent low cash withdrawals</v>
      </c>
    </row>
    <row r="14" spans="1:3" ht="16" customHeight="1" x14ac:dyDescent="0.35">
      <c r="A14" s="28" t="s">
        <v>991</v>
      </c>
      <c r="B14" t="str">
        <f t="shared" si="0"/>
        <v>RULE20</v>
      </c>
      <c r="C14" t="str">
        <f t="shared" si="1"/>
        <v>Early withdrawal of CD's</v>
      </c>
    </row>
    <row r="15" spans="1:3" ht="16" customHeight="1" x14ac:dyDescent="0.35">
      <c r="A15" s="28" t="s">
        <v>992</v>
      </c>
      <c r="B15" t="str">
        <f t="shared" si="0"/>
        <v>RULE21</v>
      </c>
      <c r="C15" t="str">
        <f t="shared" si="1"/>
        <v>High value inward remittance</v>
      </c>
    </row>
    <row r="16" spans="1:3" ht="16" customHeight="1" x14ac:dyDescent="0.35">
      <c r="A16" s="28" t="s">
        <v>993</v>
      </c>
      <c r="B16" t="str">
        <f t="shared" si="0"/>
        <v>RULE24</v>
      </c>
      <c r="C16" t="str">
        <f t="shared" si="1"/>
        <v>Alerts on Foreign Inward remittance of beyond a threshold limit</v>
      </c>
    </row>
    <row r="17" spans="1:3" ht="16" customHeight="1" x14ac:dyDescent="0.35">
      <c r="A17" s="28" t="s">
        <v>994</v>
      </c>
      <c r="B17" t="str">
        <f t="shared" si="0"/>
        <v>RULE27A</v>
      </c>
      <c r="C17" t="str">
        <f t="shared" si="1"/>
        <v>Many to One ACH</v>
      </c>
    </row>
    <row r="18" spans="1:3" ht="16" customHeight="1" x14ac:dyDescent="0.35">
      <c r="A18" s="28" t="s">
        <v>995</v>
      </c>
      <c r="B18" t="str">
        <f t="shared" si="0"/>
        <v>RULE27A1</v>
      </c>
      <c r="C18" t="str">
        <f t="shared" si="1"/>
        <v>Many to One RDFI ACH</v>
      </c>
    </row>
    <row r="19" spans="1:3" ht="16" customHeight="1" x14ac:dyDescent="0.35">
      <c r="A19" s="28" t="s">
        <v>996</v>
      </c>
      <c r="B19" t="str">
        <f t="shared" si="0"/>
        <v>RULE27A2</v>
      </c>
      <c r="C19" t="str">
        <f t="shared" si="1"/>
        <v>Many to One High Volume ACH</v>
      </c>
    </row>
    <row r="20" spans="1:3" ht="16" customHeight="1" x14ac:dyDescent="0.35">
      <c r="A20" s="28" t="s">
        <v>997</v>
      </c>
      <c r="B20" t="str">
        <f t="shared" si="0"/>
        <v>RULE27B</v>
      </c>
      <c r="C20" t="str">
        <f t="shared" si="1"/>
        <v>Many to one fund transfer - Wires</v>
      </c>
    </row>
    <row r="21" spans="1:3" ht="16" customHeight="1" x14ac:dyDescent="0.35">
      <c r="A21" s="28" t="s">
        <v>998</v>
      </c>
      <c r="B21" t="str">
        <f t="shared" si="0"/>
        <v>RULE27C</v>
      </c>
      <c r="C21" t="str">
        <f t="shared" si="1"/>
        <v>Many to one fund transfer - ACH E-Corp</v>
      </c>
    </row>
    <row r="22" spans="1:3" ht="16" customHeight="1" x14ac:dyDescent="0.35">
      <c r="A22" s="28" t="s">
        <v>999</v>
      </c>
      <c r="B22" t="str">
        <f t="shared" si="0"/>
        <v>RULE27D</v>
      </c>
      <c r="C22" t="str">
        <f t="shared" si="1"/>
        <v>Pseudo Debit Many to One</v>
      </c>
    </row>
    <row r="23" spans="1:3" ht="16" customHeight="1" x14ac:dyDescent="0.35">
      <c r="A23" s="28" t="s">
        <v>1000</v>
      </c>
      <c r="B23" t="str">
        <f t="shared" si="0"/>
        <v>RULE28A</v>
      </c>
      <c r="C23" t="str">
        <f t="shared" si="1"/>
        <v>One to many fund transfer - ACH</v>
      </c>
    </row>
    <row r="24" spans="1:3" ht="16" customHeight="1" x14ac:dyDescent="0.35">
      <c r="A24" s="28" t="s">
        <v>1001</v>
      </c>
      <c r="B24" t="str">
        <f t="shared" si="0"/>
        <v>RULE28B</v>
      </c>
      <c r="C24" t="str">
        <f t="shared" si="1"/>
        <v>One to many fund transfer - Wires</v>
      </c>
    </row>
    <row r="25" spans="1:3" ht="16" customHeight="1" x14ac:dyDescent="0.35">
      <c r="A25" s="28" t="s">
        <v>1002</v>
      </c>
      <c r="B25" t="str">
        <f t="shared" si="0"/>
        <v>RULE28C</v>
      </c>
      <c r="C25" t="str">
        <f t="shared" si="1"/>
        <v>One to many fund transfer - ACH E-Corp</v>
      </c>
    </row>
    <row r="26" spans="1:3" ht="16" customHeight="1" x14ac:dyDescent="0.35">
      <c r="A26" s="28" t="s">
        <v>1003</v>
      </c>
      <c r="B26" t="str">
        <f t="shared" si="0"/>
        <v>RULE28D</v>
      </c>
      <c r="C26" t="str">
        <f t="shared" si="1"/>
        <v>Pseudo Debit One to Many</v>
      </c>
    </row>
    <row r="27" spans="1:3" ht="16" customHeight="1" x14ac:dyDescent="0.35">
      <c r="A27" s="28" t="s">
        <v>1004</v>
      </c>
      <c r="B27" t="str">
        <f t="shared" si="0"/>
        <v>RULE30</v>
      </c>
      <c r="C27" t="str">
        <f t="shared" si="1"/>
        <v>High value transactions with a country with high ML risk</v>
      </c>
    </row>
    <row r="28" spans="1:3" ht="16" customHeight="1" x14ac:dyDescent="0.35">
      <c r="A28" s="28" t="s">
        <v>1005</v>
      </c>
      <c r="B28" t="str">
        <f t="shared" si="0"/>
        <v>RULE31</v>
      </c>
      <c r="C28" t="str">
        <f t="shared" si="1"/>
        <v>Inward and outward ACH of same amount on same day</v>
      </c>
    </row>
    <row r="29" spans="1:3" ht="16" customHeight="1" x14ac:dyDescent="0.35">
      <c r="A29" s="28" t="s">
        <v>1006</v>
      </c>
      <c r="B29" t="str">
        <f t="shared" si="0"/>
        <v>RULE37</v>
      </c>
      <c r="C29" t="str">
        <f t="shared" si="1"/>
        <v>Opening and closing of loan accounts within short period</v>
      </c>
    </row>
    <row r="30" spans="1:3" ht="16" customHeight="1" x14ac:dyDescent="0.35">
      <c r="A30" s="28" t="s">
        <v>1007</v>
      </c>
      <c r="B30" t="str">
        <f t="shared" si="0"/>
        <v>RULE43</v>
      </c>
      <c r="C30" t="str">
        <f t="shared" si="1"/>
        <v>High value cash transactions inconsistent with profile</v>
      </c>
    </row>
    <row r="31" spans="1:3" ht="16" customHeight="1" x14ac:dyDescent="0.35">
      <c r="A31" s="28" t="s">
        <v>1008</v>
      </c>
      <c r="B31" t="str">
        <f t="shared" si="0"/>
        <v>RULE45</v>
      </c>
      <c r="C31" t="str">
        <f t="shared" si="1"/>
        <v>High value transactions by high-risk customers compared to profile.</v>
      </c>
    </row>
    <row r="32" spans="1:3" ht="16" customHeight="1" x14ac:dyDescent="0.35">
      <c r="A32" s="28" t="s">
        <v>1009</v>
      </c>
      <c r="B32" t="str">
        <f t="shared" si="0"/>
        <v>RULE50</v>
      </c>
      <c r="C32" t="str">
        <f t="shared" si="1"/>
        <v>Cash Deposit of total $10,000 or above in a day</v>
      </c>
    </row>
    <row r="33" spans="1:3" ht="16" customHeight="1" x14ac:dyDescent="0.35">
      <c r="A33" s="28" t="s">
        <v>1010</v>
      </c>
      <c r="B33" t="str">
        <f t="shared" si="0"/>
        <v>RULE51</v>
      </c>
      <c r="C33" t="str">
        <f t="shared" si="1"/>
        <v>Cash withdrawal of total $10,000 or above in a day</v>
      </c>
    </row>
    <row r="34" spans="1:3" ht="16" customHeight="1" x14ac:dyDescent="0.35">
      <c r="A34" s="28" t="s">
        <v>1011</v>
      </c>
      <c r="B34" t="str">
        <f t="shared" si="0"/>
        <v>RULE54</v>
      </c>
      <c r="C34" t="str">
        <f t="shared" si="1"/>
        <v>Deviation from historical behaviors-All</v>
      </c>
    </row>
    <row r="35" spans="1:3" ht="16" customHeight="1" x14ac:dyDescent="0.35">
      <c r="A35" s="28" t="s">
        <v>976</v>
      </c>
      <c r="B35" t="str">
        <f t="shared" si="0"/>
        <v>Rule</v>
      </c>
      <c r="C35" t="str">
        <f t="shared" si="1"/>
        <v>Code Rule Name</v>
      </c>
    </row>
    <row r="36" spans="1:3" ht="16" customHeight="1" x14ac:dyDescent="0.35">
      <c r="A36" s="28" t="s">
        <v>1012</v>
      </c>
      <c r="B36" t="str">
        <f t="shared" si="0"/>
        <v>RULE54A1</v>
      </c>
      <c r="C36" t="str">
        <f t="shared" si="1"/>
        <v>Deviation from historical behaviors-Prepaid Consumer</v>
      </c>
    </row>
    <row r="37" spans="1:3" ht="16" customHeight="1" x14ac:dyDescent="0.35">
      <c r="A37" s="28" t="s">
        <v>1013</v>
      </c>
      <c r="B37" t="str">
        <f t="shared" si="0"/>
        <v>RULE54A2</v>
      </c>
      <c r="C37" t="str">
        <f t="shared" si="1"/>
        <v>Deviation from historical behaviors-Prepaid Corporate</v>
      </c>
    </row>
    <row r="38" spans="1:3" ht="16" customHeight="1" x14ac:dyDescent="0.35">
      <c r="A38" s="28" t="s">
        <v>1014</v>
      </c>
      <c r="B38" t="str">
        <f t="shared" si="0"/>
        <v>RULE56</v>
      </c>
      <c r="C38" t="str">
        <f t="shared" si="1"/>
        <v>Pattern of "funding" in pre-pay card and rapid "spending" - min pre-load "spend"</v>
      </c>
    </row>
    <row r="39" spans="1:3" ht="16" customHeight="1" x14ac:dyDescent="0.35">
      <c r="A39" s="28" t="s">
        <v>1015</v>
      </c>
      <c r="B39" t="str">
        <f t="shared" si="0"/>
        <v>RULE76</v>
      </c>
      <c r="C39" t="str">
        <f t="shared" si="1"/>
        <v>Structuring patterns for IN wires between certain amounts.</v>
      </c>
    </row>
    <row r="40" spans="1:3" ht="16" customHeight="1" x14ac:dyDescent="0.35">
      <c r="A40" s="28" t="s">
        <v>1016</v>
      </c>
      <c r="B40" t="str">
        <f t="shared" si="0"/>
        <v>RULE79</v>
      </c>
      <c r="C40" t="str">
        <f t="shared" si="1"/>
        <v>Incoming Activity from High Risk Jurisdiction</v>
      </c>
    </row>
    <row r="41" spans="1:3" ht="16" customHeight="1" x14ac:dyDescent="0.35">
      <c r="A41" s="28" t="s">
        <v>1017</v>
      </c>
      <c r="B41" t="str">
        <f t="shared" si="0"/>
        <v>RULE79A</v>
      </c>
      <c r="C41" t="str">
        <f t="shared" si="1"/>
        <v>Incoming HR Jurisdiction High Volume Program</v>
      </c>
    </row>
    <row r="42" spans="1:3" ht="16" customHeight="1" x14ac:dyDescent="0.35">
      <c r="A42" s="28" t="s">
        <v>1018</v>
      </c>
      <c r="B42" t="str">
        <f t="shared" si="0"/>
        <v>RULE79B</v>
      </c>
      <c r="C42" t="str">
        <f t="shared" si="1"/>
        <v>Incoming Activity from Prohibited Jurisdiction</v>
      </c>
    </row>
    <row r="43" spans="1:3" ht="16" customHeight="1" x14ac:dyDescent="0.35">
      <c r="A43" s="28" t="s">
        <v>1019</v>
      </c>
      <c r="B43" t="str">
        <f t="shared" si="0"/>
        <v>RULE80</v>
      </c>
      <c r="C43" t="str">
        <f t="shared" si="1"/>
        <v>Outgoing Activity to High-Risk Jurisdiction</v>
      </c>
    </row>
    <row r="44" spans="1:3" ht="16" customHeight="1" x14ac:dyDescent="0.35">
      <c r="A44" s="28" t="s">
        <v>1020</v>
      </c>
      <c r="B44" t="str">
        <f t="shared" si="0"/>
        <v>RULE80A</v>
      </c>
      <c r="C44" t="str">
        <f t="shared" si="1"/>
        <v>Outgoing Activity to High-Risk Jurisdiction-TransferWise</v>
      </c>
    </row>
    <row r="45" spans="1:3" ht="16" customHeight="1" x14ac:dyDescent="0.35">
      <c r="A45" s="28" t="s">
        <v>1021</v>
      </c>
      <c r="B45" t="str">
        <f t="shared" si="0"/>
        <v>RULE80B</v>
      </c>
      <c r="C45" t="str">
        <f t="shared" si="1"/>
        <v>Outgoing Activity to Prohibited Jurisdiction</v>
      </c>
    </row>
    <row r="46" spans="1:3" ht="16" customHeight="1" x14ac:dyDescent="0.35">
      <c r="A46" s="28" t="s">
        <v>1022</v>
      </c>
      <c r="B46" t="str">
        <f t="shared" si="0"/>
        <v>RULE85</v>
      </c>
      <c r="C46" t="str">
        <f t="shared" si="1"/>
        <v>Transactions Involving Restricted or Prohibited Industries</v>
      </c>
    </row>
    <row r="47" spans="1:3" ht="16" customHeight="1" x14ac:dyDescent="0.35">
      <c r="A47" s="28" t="s">
        <v>1023</v>
      </c>
      <c r="B47" t="str">
        <f t="shared" si="0"/>
        <v>RULE86</v>
      </c>
      <c r="C47" t="str">
        <f t="shared" si="1"/>
        <v>Incoming wires from High-Risk Business</v>
      </c>
    </row>
    <row r="48" spans="1:3" ht="16" customHeight="1" x14ac:dyDescent="0.35">
      <c r="A48" s="28" t="s">
        <v>1024</v>
      </c>
      <c r="B48" t="str">
        <f t="shared" si="0"/>
        <v>RULE87</v>
      </c>
      <c r="C48" t="str">
        <f t="shared" si="1"/>
        <v>Outgoing Wires from High-Risk Business</v>
      </c>
    </row>
    <row r="49" spans="1:3" ht="16" customHeight="1" x14ac:dyDescent="0.35">
      <c r="A49" s="28" t="s">
        <v>1025</v>
      </c>
      <c r="B49" t="str">
        <f t="shared" si="0"/>
        <v>RULE88</v>
      </c>
      <c r="C49" t="str">
        <f t="shared" si="1"/>
        <v>Frequent low cash deposits</v>
      </c>
    </row>
    <row r="50" spans="1:3" ht="16" customHeight="1" x14ac:dyDescent="0.35">
      <c r="A50" s="2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84"/>
  <sheetViews>
    <sheetView topLeftCell="B1" zoomScale="70" zoomScaleNormal="70" workbookViewId="0">
      <selection activeCell="B7" sqref="B7"/>
    </sheetView>
  </sheetViews>
  <sheetFormatPr defaultRowHeight="14.5" x14ac:dyDescent="0.35"/>
  <cols>
    <col min="1" max="1" width="46.81640625" bestFit="1" customWidth="1"/>
    <col min="2" max="2" width="255.54296875" bestFit="1" customWidth="1"/>
  </cols>
  <sheetData>
    <row r="1" spans="1:2" ht="16" customHeight="1" thickBot="1" x14ac:dyDescent="0.4">
      <c r="A1" s="4" t="s">
        <v>953</v>
      </c>
      <c r="B1" s="5" t="s">
        <v>1026</v>
      </c>
    </row>
    <row r="2" spans="1:2" ht="16" customHeight="1" thickBot="1" x14ac:dyDescent="0.4">
      <c r="A2" s="6" t="s">
        <v>1027</v>
      </c>
      <c r="B2" s="7" t="s">
        <v>1028</v>
      </c>
    </row>
    <row r="3" spans="1:2" ht="16" customHeight="1" thickBot="1" x14ac:dyDescent="0.4">
      <c r="A3" s="8" t="s">
        <v>1029</v>
      </c>
      <c r="B3" s="7" t="s">
        <v>1030</v>
      </c>
    </row>
    <row r="4" spans="1:2" ht="16" customHeight="1" thickBot="1" x14ac:dyDescent="0.4">
      <c r="A4" s="8" t="s">
        <v>1031</v>
      </c>
      <c r="B4" s="7" t="s">
        <v>1032</v>
      </c>
    </row>
    <row r="5" spans="1:2" ht="16" customHeight="1" thickBot="1" x14ac:dyDescent="0.4">
      <c r="A5" s="8" t="s">
        <v>1033</v>
      </c>
      <c r="B5" s="7" t="s">
        <v>1034</v>
      </c>
    </row>
    <row r="6" spans="1:2" ht="16" customHeight="1" thickBot="1" x14ac:dyDescent="0.4">
      <c r="A6" s="8" t="s">
        <v>1035</v>
      </c>
      <c r="B6" s="7" t="s">
        <v>1036</v>
      </c>
    </row>
    <row r="7" spans="1:2" ht="16" customHeight="1" thickBot="1" x14ac:dyDescent="0.4">
      <c r="A7" s="8" t="s">
        <v>1037</v>
      </c>
      <c r="B7" s="7" t="s">
        <v>1038</v>
      </c>
    </row>
    <row r="8" spans="1:2" ht="16" customHeight="1" thickBot="1" x14ac:dyDescent="0.4">
      <c r="A8" s="8" t="s">
        <v>1039</v>
      </c>
      <c r="B8" s="7" t="s">
        <v>1040</v>
      </c>
    </row>
    <row r="9" spans="1:2" ht="16" customHeight="1" thickBot="1" x14ac:dyDescent="0.4">
      <c r="A9" s="8" t="s">
        <v>1041</v>
      </c>
      <c r="B9" s="7" t="s">
        <v>1042</v>
      </c>
    </row>
    <row r="10" spans="1:2" ht="16" customHeight="1" thickBot="1" x14ac:dyDescent="0.4">
      <c r="A10" s="8" t="s">
        <v>1043</v>
      </c>
      <c r="B10" s="7" t="s">
        <v>1044</v>
      </c>
    </row>
    <row r="11" spans="1:2" ht="62.15" customHeight="1" x14ac:dyDescent="0.35">
      <c r="A11" s="12" t="s">
        <v>1045</v>
      </c>
      <c r="B11" s="13" t="s">
        <v>1046</v>
      </c>
    </row>
    <row r="12" spans="1:2" ht="16" customHeight="1" thickBot="1" x14ac:dyDescent="0.4">
      <c r="A12" s="8" t="s">
        <v>1047</v>
      </c>
      <c r="B12" s="7" t="s">
        <v>1048</v>
      </c>
    </row>
    <row r="13" spans="1:2" ht="93" customHeight="1" x14ac:dyDescent="0.35">
      <c r="A13" s="12" t="s">
        <v>1049</v>
      </c>
      <c r="B13" s="13" t="s">
        <v>1050</v>
      </c>
    </row>
    <row r="14" spans="1:2" ht="16" customHeight="1" thickBot="1" x14ac:dyDescent="0.4">
      <c r="A14" s="8" t="s">
        <v>1051</v>
      </c>
      <c r="B14" s="7" t="s">
        <v>1052</v>
      </c>
    </row>
    <row r="15" spans="1:2" ht="16" customHeight="1" thickBot="1" x14ac:dyDescent="0.4">
      <c r="A15" s="8" t="s">
        <v>1053</v>
      </c>
      <c r="B15" s="7" t="s">
        <v>1054</v>
      </c>
    </row>
    <row r="16" spans="1:2" ht="62.15" customHeight="1" x14ac:dyDescent="0.35">
      <c r="A16" s="12" t="s">
        <v>1055</v>
      </c>
      <c r="B16" s="14" t="s">
        <v>1056</v>
      </c>
    </row>
    <row r="17" spans="1:2" ht="16" customHeight="1" thickBot="1" x14ac:dyDescent="0.4">
      <c r="A17" s="8" t="s">
        <v>1057</v>
      </c>
      <c r="B17" s="7" t="s">
        <v>1058</v>
      </c>
    </row>
    <row r="18" spans="1:2" ht="16" customHeight="1" thickBot="1" x14ac:dyDescent="0.4">
      <c r="A18" s="8" t="s">
        <v>1059</v>
      </c>
      <c r="B18" s="7" t="s">
        <v>1060</v>
      </c>
    </row>
    <row r="19" spans="1:2" ht="16" customHeight="1" thickBot="1" x14ac:dyDescent="0.4">
      <c r="A19" s="8" t="s">
        <v>1061</v>
      </c>
      <c r="B19" s="7" t="s">
        <v>1062</v>
      </c>
    </row>
    <row r="20" spans="1:2" ht="16" customHeight="1" thickBot="1" x14ac:dyDescent="0.4">
      <c r="A20" s="8" t="s">
        <v>1063</v>
      </c>
      <c r="B20" s="10" t="s">
        <v>1064</v>
      </c>
    </row>
    <row r="21" spans="1:2" ht="16" customHeight="1" thickBot="1" x14ac:dyDescent="0.4">
      <c r="A21" s="8" t="s">
        <v>1065</v>
      </c>
      <c r="B21" s="7" t="s">
        <v>1066</v>
      </c>
    </row>
    <row r="22" spans="1:2" ht="16" customHeight="1" thickBot="1" x14ac:dyDescent="0.4">
      <c r="A22" s="8" t="s">
        <v>1067</v>
      </c>
      <c r="B22" s="7" t="s">
        <v>1068</v>
      </c>
    </row>
    <row r="23" spans="1:2" ht="16" customHeight="1" thickBot="1" x14ac:dyDescent="0.4">
      <c r="A23" s="8" t="s">
        <v>1069</v>
      </c>
      <c r="B23" s="7" t="s">
        <v>1070</v>
      </c>
    </row>
    <row r="24" spans="1:2" ht="16" customHeight="1" thickBot="1" x14ac:dyDescent="0.4">
      <c r="A24" s="8" t="s">
        <v>1071</v>
      </c>
      <c r="B24" s="7" t="s">
        <v>1072</v>
      </c>
    </row>
    <row r="25" spans="1:2" ht="16" customHeight="1" thickBot="1" x14ac:dyDescent="0.4">
      <c r="A25" s="8" t="s">
        <v>1073</v>
      </c>
      <c r="B25" s="9" t="s">
        <v>1074</v>
      </c>
    </row>
    <row r="26" spans="1:2" ht="16" customHeight="1" thickBot="1" x14ac:dyDescent="0.4">
      <c r="A26" s="8" t="s">
        <v>1075</v>
      </c>
      <c r="B26" s="7" t="s">
        <v>1076</v>
      </c>
    </row>
    <row r="27" spans="1:2" ht="16" customHeight="1" thickBot="1" x14ac:dyDescent="0.4">
      <c r="A27" s="8" t="s">
        <v>1077</v>
      </c>
      <c r="B27" s="7" t="s">
        <v>1078</v>
      </c>
    </row>
    <row r="28" spans="1:2" ht="16" customHeight="1" thickBot="1" x14ac:dyDescent="0.4">
      <c r="A28" s="8" t="s">
        <v>1079</v>
      </c>
      <c r="B28" s="7" t="s">
        <v>1080</v>
      </c>
    </row>
    <row r="29" spans="1:2" ht="16" customHeight="1" thickBot="1" x14ac:dyDescent="0.4">
      <c r="A29" s="8" t="s">
        <v>1081</v>
      </c>
      <c r="B29" s="7" t="s">
        <v>1082</v>
      </c>
    </row>
    <row r="30" spans="1:2" ht="16" customHeight="1" thickBot="1" x14ac:dyDescent="0.4">
      <c r="A30" s="8" t="s">
        <v>1083</v>
      </c>
      <c r="B30" s="7" t="s">
        <v>1084</v>
      </c>
    </row>
    <row r="31" spans="1:2" ht="16" customHeight="1" thickBot="1" x14ac:dyDescent="0.4">
      <c r="A31" s="8" t="s">
        <v>1085</v>
      </c>
      <c r="B31" s="7" t="s">
        <v>1086</v>
      </c>
    </row>
    <row r="32" spans="1:2" ht="16" customHeight="1" thickBot="1" x14ac:dyDescent="0.4">
      <c r="A32" s="8" t="s">
        <v>1087</v>
      </c>
      <c r="B32" s="7" t="s">
        <v>1088</v>
      </c>
    </row>
    <row r="33" spans="1:2" ht="16" customHeight="1" thickBot="1" x14ac:dyDescent="0.4">
      <c r="A33" s="8" t="s">
        <v>1089</v>
      </c>
      <c r="B33" s="7" t="s">
        <v>1090</v>
      </c>
    </row>
    <row r="34" spans="1:2" ht="16" customHeight="1" thickBot="1" x14ac:dyDescent="0.4">
      <c r="A34" s="8" t="s">
        <v>1091</v>
      </c>
      <c r="B34" s="7" t="s">
        <v>1092</v>
      </c>
    </row>
    <row r="35" spans="1:2" ht="16" customHeight="1" thickBot="1" x14ac:dyDescent="0.4">
      <c r="A35" s="8" t="s">
        <v>1093</v>
      </c>
      <c r="B35" s="7" t="s">
        <v>1094</v>
      </c>
    </row>
    <row r="36" spans="1:2" ht="16" customHeight="1" thickBot="1" x14ac:dyDescent="0.4">
      <c r="A36" s="8" t="s">
        <v>1095</v>
      </c>
      <c r="B36" s="7" t="s">
        <v>1096</v>
      </c>
    </row>
    <row r="37" spans="1:2" ht="16" customHeight="1" thickBot="1" x14ac:dyDescent="0.4">
      <c r="A37" s="8" t="s">
        <v>1097</v>
      </c>
      <c r="B37" s="7" t="s">
        <v>1098</v>
      </c>
    </row>
    <row r="38" spans="1:2" ht="16" customHeight="1" thickBot="1" x14ac:dyDescent="0.4">
      <c r="A38" s="8" t="s">
        <v>1099</v>
      </c>
      <c r="B38" s="7" t="s">
        <v>1100</v>
      </c>
    </row>
    <row r="39" spans="1:2" ht="16" customHeight="1" thickBot="1" x14ac:dyDescent="0.4">
      <c r="A39" s="8" t="s">
        <v>1101</v>
      </c>
      <c r="B39" s="7" t="s">
        <v>1102</v>
      </c>
    </row>
    <row r="40" spans="1:2" ht="16" customHeight="1" thickBot="1" x14ac:dyDescent="0.4">
      <c r="A40" s="8" t="s">
        <v>1103</v>
      </c>
      <c r="B40" s="7" t="s">
        <v>1104</v>
      </c>
    </row>
    <row r="41" spans="1:2" ht="16" customHeight="1" thickBot="1" x14ac:dyDescent="0.4">
      <c r="A41" s="8" t="s">
        <v>1105</v>
      </c>
      <c r="B41" s="7" t="s">
        <v>1106</v>
      </c>
    </row>
    <row r="42" spans="1:2" ht="16" customHeight="1" thickBot="1" x14ac:dyDescent="0.4">
      <c r="A42" s="8" t="s">
        <v>1107</v>
      </c>
      <c r="B42" s="9" t="s">
        <v>1108</v>
      </c>
    </row>
    <row r="43" spans="1:2" ht="16" customHeight="1" thickBot="1" x14ac:dyDescent="0.4">
      <c r="A43" s="8" t="s">
        <v>1109</v>
      </c>
      <c r="B43" s="7" t="s">
        <v>1110</v>
      </c>
    </row>
    <row r="44" spans="1:2" ht="16" customHeight="1" thickBot="1" x14ac:dyDescent="0.4">
      <c r="A44" s="8" t="s">
        <v>1111</v>
      </c>
      <c r="B44" s="7" t="s">
        <v>1112</v>
      </c>
    </row>
    <row r="45" spans="1:2" ht="16" customHeight="1" thickBot="1" x14ac:dyDescent="0.4">
      <c r="A45" s="8" t="s">
        <v>1113</v>
      </c>
      <c r="B45" s="7" t="s">
        <v>1114</v>
      </c>
    </row>
    <row r="46" spans="1:2" ht="16" customHeight="1" thickBot="1" x14ac:dyDescent="0.4">
      <c r="A46" s="8" t="s">
        <v>1115</v>
      </c>
      <c r="B46" s="9" t="s">
        <v>1116</v>
      </c>
    </row>
    <row r="47" spans="1:2" ht="16" customHeight="1" thickBot="1" x14ac:dyDescent="0.4">
      <c r="A47" s="8" t="s">
        <v>1117</v>
      </c>
      <c r="B47" s="7" t="s">
        <v>1118</v>
      </c>
    </row>
    <row r="48" spans="1:2" ht="16" customHeight="1" thickBot="1" x14ac:dyDescent="0.4">
      <c r="A48" s="8" t="s">
        <v>1119</v>
      </c>
      <c r="B48" s="7" t="s">
        <v>1120</v>
      </c>
    </row>
    <row r="49" spans="1:2" ht="16" customHeight="1" thickBot="1" x14ac:dyDescent="0.4">
      <c r="A49" s="8" t="s">
        <v>1121</v>
      </c>
      <c r="B49" s="7" t="s">
        <v>1122</v>
      </c>
    </row>
    <row r="50" spans="1:2" ht="16" customHeight="1" thickBot="1" x14ac:dyDescent="0.4">
      <c r="A50" s="11" t="s">
        <v>1123</v>
      </c>
      <c r="B50" s="7" t="s">
        <v>1124</v>
      </c>
    </row>
    <row r="51" spans="1:2" ht="16" customHeight="1" thickBot="1" x14ac:dyDescent="0.4">
      <c r="A51" s="8" t="s">
        <v>1125</v>
      </c>
      <c r="B51" s="7" t="s">
        <v>1126</v>
      </c>
    </row>
    <row r="52" spans="1:2" ht="16" customHeight="1" thickBot="1" x14ac:dyDescent="0.4">
      <c r="A52" s="8" t="s">
        <v>1127</v>
      </c>
      <c r="B52" s="7" t="s">
        <v>1128</v>
      </c>
    </row>
    <row r="53" spans="1:2" ht="16" customHeight="1" thickBot="1" x14ac:dyDescent="0.4">
      <c r="A53" s="8" t="s">
        <v>1129</v>
      </c>
      <c r="B53" s="7" t="s">
        <v>1130</v>
      </c>
    </row>
    <row r="54" spans="1:2" ht="16" customHeight="1" thickBot="1" x14ac:dyDescent="0.4">
      <c r="A54" s="8" t="s">
        <v>1131</v>
      </c>
      <c r="B54" s="7" t="s">
        <v>1132</v>
      </c>
    </row>
    <row r="55" spans="1:2" ht="16" customHeight="1" thickBot="1" x14ac:dyDescent="0.4">
      <c r="A55" s="8" t="s">
        <v>1133</v>
      </c>
      <c r="B55" s="7" t="s">
        <v>1134</v>
      </c>
    </row>
    <row r="56" spans="1:2" ht="16" customHeight="1" thickBot="1" x14ac:dyDescent="0.4">
      <c r="A56" s="8" t="s">
        <v>1135</v>
      </c>
      <c r="B56" s="7" t="s">
        <v>1136</v>
      </c>
    </row>
    <row r="57" spans="1:2" ht="16" customHeight="1" thickBot="1" x14ac:dyDescent="0.4">
      <c r="A57" s="8" t="s">
        <v>1137</v>
      </c>
      <c r="B57" s="7" t="s">
        <v>1138</v>
      </c>
    </row>
    <row r="58" spans="1:2" ht="16" customHeight="1" thickBot="1" x14ac:dyDescent="0.4">
      <c r="A58" s="8" t="s">
        <v>1139</v>
      </c>
      <c r="B58" s="9" t="s">
        <v>1140</v>
      </c>
    </row>
    <row r="59" spans="1:2" ht="16" customHeight="1" thickBot="1" x14ac:dyDescent="0.4">
      <c r="A59" s="8" t="s">
        <v>1141</v>
      </c>
      <c r="B59" s="7" t="s">
        <v>1142</v>
      </c>
    </row>
    <row r="60" spans="1:2" ht="18" customHeight="1" thickBot="1" x14ac:dyDescent="0.4">
      <c r="A60" s="8" t="s">
        <v>1143</v>
      </c>
      <c r="B60" s="7" t="s">
        <v>1144</v>
      </c>
    </row>
    <row r="61" spans="1:2" ht="16" customHeight="1" thickBot="1" x14ac:dyDescent="0.4">
      <c r="A61" s="8" t="s">
        <v>1145</v>
      </c>
      <c r="B61" s="7" t="s">
        <v>1146</v>
      </c>
    </row>
    <row r="62" spans="1:2" ht="16" customHeight="1" thickBot="1" x14ac:dyDescent="0.4">
      <c r="A62" s="8" t="s">
        <v>1147</v>
      </c>
      <c r="B62" s="7" t="s">
        <v>1148</v>
      </c>
    </row>
    <row r="63" spans="1:2" ht="16" customHeight="1" thickBot="1" x14ac:dyDescent="0.4">
      <c r="A63" s="8" t="s">
        <v>1149</v>
      </c>
      <c r="B63" s="7" t="s">
        <v>1150</v>
      </c>
    </row>
    <row r="64" spans="1:2" ht="16" customHeight="1" thickBot="1" x14ac:dyDescent="0.4">
      <c r="A64" s="8" t="s">
        <v>1151</v>
      </c>
      <c r="B64" s="7" t="s">
        <v>1152</v>
      </c>
    </row>
    <row r="65" spans="1:2" ht="16" customHeight="1" thickBot="1" x14ac:dyDescent="0.4">
      <c r="A65" s="8" t="s">
        <v>1153</v>
      </c>
      <c r="B65" s="7" t="s">
        <v>1154</v>
      </c>
    </row>
    <row r="66" spans="1:2" ht="16" customHeight="1" thickBot="1" x14ac:dyDescent="0.4">
      <c r="A66" s="8" t="s">
        <v>1155</v>
      </c>
      <c r="B66" s="7" t="s">
        <v>1156</v>
      </c>
    </row>
    <row r="67" spans="1:2" ht="16" customHeight="1" thickBot="1" x14ac:dyDescent="0.4">
      <c r="A67" s="8" t="s">
        <v>1157</v>
      </c>
      <c r="B67" s="7" t="s">
        <v>1158</v>
      </c>
    </row>
    <row r="68" spans="1:2" ht="16" customHeight="1" thickBot="1" x14ac:dyDescent="0.4">
      <c r="A68" s="8" t="s">
        <v>1159</v>
      </c>
      <c r="B68" s="7" t="s">
        <v>1160</v>
      </c>
    </row>
    <row r="69" spans="1:2" ht="16" customHeight="1" thickBot="1" x14ac:dyDescent="0.4">
      <c r="A69" s="8" t="s">
        <v>1161</v>
      </c>
      <c r="B69" s="7" t="s">
        <v>1162</v>
      </c>
    </row>
    <row r="70" spans="1:2" ht="16" customHeight="1" thickBot="1" x14ac:dyDescent="0.4">
      <c r="A70" s="8" t="s">
        <v>1163</v>
      </c>
      <c r="B70" s="7" t="s">
        <v>1164</v>
      </c>
    </row>
    <row r="71" spans="1:2" ht="16" customHeight="1" thickBot="1" x14ac:dyDescent="0.4">
      <c r="A71" s="8" t="s">
        <v>1165</v>
      </c>
      <c r="B71" s="9" t="s">
        <v>1166</v>
      </c>
    </row>
    <row r="72" spans="1:2" ht="16" customHeight="1" thickBot="1" x14ac:dyDescent="0.4">
      <c r="A72" s="8" t="s">
        <v>1167</v>
      </c>
      <c r="B72" s="7" t="s">
        <v>1168</v>
      </c>
    </row>
    <row r="73" spans="1:2" ht="16" customHeight="1" thickBot="1" x14ac:dyDescent="0.4">
      <c r="A73" s="8" t="s">
        <v>1169</v>
      </c>
      <c r="B73" s="7" t="s">
        <v>1170</v>
      </c>
    </row>
    <row r="74" spans="1:2" ht="16" customHeight="1" thickBot="1" x14ac:dyDescent="0.4">
      <c r="A74" s="8" t="s">
        <v>1171</v>
      </c>
      <c r="B74" s="7" t="s">
        <v>1172</v>
      </c>
    </row>
    <row r="75" spans="1:2" ht="16" customHeight="1" thickBot="1" x14ac:dyDescent="0.4">
      <c r="A75" s="8" t="s">
        <v>1173</v>
      </c>
      <c r="B75" s="7" t="s">
        <v>1174</v>
      </c>
    </row>
    <row r="76" spans="1:2" ht="16" customHeight="1" thickBot="1" x14ac:dyDescent="0.4">
      <c r="A76" s="8" t="s">
        <v>1175</v>
      </c>
      <c r="B76" s="7" t="s">
        <v>1176</v>
      </c>
    </row>
    <row r="77" spans="1:2" ht="16" customHeight="1" thickBot="1" x14ac:dyDescent="0.4">
      <c r="A77" s="8" t="s">
        <v>1177</v>
      </c>
      <c r="B77" s="7" t="s">
        <v>1178</v>
      </c>
    </row>
    <row r="78" spans="1:2" ht="16" customHeight="1" thickBot="1" x14ac:dyDescent="0.4">
      <c r="A78" s="8" t="s">
        <v>1179</v>
      </c>
      <c r="B78" s="7" t="s">
        <v>1180</v>
      </c>
    </row>
    <row r="79" spans="1:2" ht="16" customHeight="1" thickBot="1" x14ac:dyDescent="0.4">
      <c r="A79" s="8" t="s">
        <v>1181</v>
      </c>
      <c r="B79" s="7" t="s">
        <v>1182</v>
      </c>
    </row>
    <row r="80" spans="1:2" ht="16" customHeight="1" thickBot="1" x14ac:dyDescent="0.4">
      <c r="A80" s="8" t="s">
        <v>1183</v>
      </c>
      <c r="B80" s="7" t="s">
        <v>1184</v>
      </c>
    </row>
    <row r="81" spans="1:2" ht="16" customHeight="1" thickBot="1" x14ac:dyDescent="0.4">
      <c r="A81" s="8" t="s">
        <v>1185</v>
      </c>
      <c r="B81" s="7" t="s">
        <v>1186</v>
      </c>
    </row>
    <row r="82" spans="1:2" ht="16" customHeight="1" thickBot="1" x14ac:dyDescent="0.4">
      <c r="A82" s="8" t="s">
        <v>1187</v>
      </c>
      <c r="B82" s="7" t="s">
        <v>1188</v>
      </c>
    </row>
    <row r="83" spans="1:2" ht="16" customHeight="1" thickBot="1" x14ac:dyDescent="0.4">
      <c r="A83" s="8" t="s">
        <v>1189</v>
      </c>
      <c r="B83" s="7" t="s">
        <v>1190</v>
      </c>
    </row>
    <row r="84" spans="1:2" ht="15.65" customHeight="1" x14ac:dyDescent="0.35">
      <c r="A84" s="3"/>
    </row>
  </sheetData>
  <hyperlinks>
    <hyperlink ref="B25" r:id="rId1" display="https://euroexchange.uk/" xr:uid="{00000000-0004-0000-0600-000000000000}"/>
    <hyperlink ref="B42" r:id="rId2" display="https://www.ipaylinks.com/" xr:uid="{00000000-0004-0000-0600-000001000000}"/>
    <hyperlink ref="B46" r:id="rId3" display="https://leatherback.co/" xr:uid="{00000000-0004-0000-0600-000002000000}"/>
    <hyperlink ref="B58" r:id="rId4" display="https://www.pandaremit.com/en/usa/about" xr:uid="{00000000-0004-0000-0600-000003000000}"/>
    <hyperlink ref="B71" r:id="rId5" display="http://www.skrill.com/" xr:uid="{00000000-0004-0000-0600-000004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8"/>
  <sheetViews>
    <sheetView topLeftCell="A2" zoomScale="50" zoomScaleNormal="50" workbookViewId="0">
      <selection activeCell="B5" sqref="B5"/>
    </sheetView>
  </sheetViews>
  <sheetFormatPr defaultRowHeight="14.5" x14ac:dyDescent="0.35"/>
  <cols>
    <col min="1" max="1" width="34" style="2" customWidth="1"/>
    <col min="2" max="2" width="95" style="1" customWidth="1"/>
  </cols>
  <sheetData>
    <row r="1" spans="1:2" ht="20.149999999999999" customHeight="1" x14ac:dyDescent="0.35">
      <c r="A1" s="15" t="s">
        <v>1191</v>
      </c>
      <c r="B1" s="15" t="s">
        <v>1192</v>
      </c>
    </row>
    <row r="2" spans="1:2" ht="110.15" customHeight="1" x14ac:dyDescent="0.35">
      <c r="A2" s="17" t="s">
        <v>933</v>
      </c>
      <c r="B2" s="18" t="s">
        <v>1223</v>
      </c>
    </row>
    <row r="3" spans="1:2" ht="110.15" customHeight="1" x14ac:dyDescent="0.35">
      <c r="A3" s="17" t="s">
        <v>937</v>
      </c>
      <c r="B3" s="18" t="s">
        <v>1245</v>
      </c>
    </row>
    <row r="4" spans="1:2" ht="110.15" customHeight="1" x14ac:dyDescent="0.35">
      <c r="A4" s="17" t="s">
        <v>945</v>
      </c>
      <c r="B4" s="18" t="s">
        <v>1285</v>
      </c>
    </row>
    <row r="5" spans="1:2" ht="110.15" customHeight="1" x14ac:dyDescent="0.35">
      <c r="A5" s="17" t="s">
        <v>1193</v>
      </c>
      <c r="B5" s="18" t="s">
        <v>1224</v>
      </c>
    </row>
    <row r="6" spans="1:2" ht="110.15" customHeight="1" x14ac:dyDescent="0.35">
      <c r="A6" s="17" t="s">
        <v>1194</v>
      </c>
      <c r="B6" s="18" t="s">
        <v>1225</v>
      </c>
    </row>
    <row r="7" spans="1:2" ht="110.15" customHeight="1" x14ac:dyDescent="0.35">
      <c r="A7" s="17" t="s">
        <v>1196</v>
      </c>
      <c r="B7" s="18" t="s">
        <v>1220</v>
      </c>
    </row>
    <row r="8" spans="1:2" ht="110.15" customHeight="1" x14ac:dyDescent="0.35">
      <c r="A8" s="17" t="s">
        <v>1197</v>
      </c>
      <c r="B8" s="18" t="s">
        <v>1221</v>
      </c>
    </row>
    <row r="9" spans="1:2" ht="110.15" customHeight="1" x14ac:dyDescent="0.35">
      <c r="A9" s="17" t="s">
        <v>1198</v>
      </c>
      <c r="B9" s="18" t="s">
        <v>1222</v>
      </c>
    </row>
    <row r="10" spans="1:2" ht="110.15" customHeight="1" x14ac:dyDescent="0.35">
      <c r="A10" s="17"/>
      <c r="B10" s="18"/>
    </row>
    <row r="11" spans="1:2" ht="110.15" customHeight="1" x14ac:dyDescent="0.35">
      <c r="A11" s="17"/>
      <c r="B11" s="18"/>
    </row>
    <row r="12" spans="1:2" ht="110.15" customHeight="1" x14ac:dyDescent="0.35">
      <c r="A12" s="17"/>
      <c r="B12" s="18"/>
    </row>
    <row r="13" spans="1:2" ht="110.15" customHeight="1" x14ac:dyDescent="0.35">
      <c r="A13" s="17"/>
      <c r="B13" s="18"/>
    </row>
    <row r="14" spans="1:2" ht="110.15" customHeight="1" x14ac:dyDescent="0.35">
      <c r="A14" s="17"/>
      <c r="B14" s="18"/>
    </row>
    <row r="15" spans="1:2" ht="110.15" customHeight="1" x14ac:dyDescent="0.35">
      <c r="A15" s="17"/>
      <c r="B15" s="18"/>
    </row>
    <row r="16" spans="1:2" ht="200.15" customHeight="1" x14ac:dyDescent="0.35">
      <c r="A16" s="17"/>
      <c r="B16" s="18"/>
    </row>
    <row r="17" spans="1:2" ht="200.15" customHeight="1" x14ac:dyDescent="0.35">
      <c r="A17" s="17"/>
      <c r="B17" s="18"/>
    </row>
    <row r="18" spans="1:2" ht="200.15" customHeight="1" x14ac:dyDescent="0.35">
      <c r="A18" s="17"/>
      <c r="B18" s="1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B12"/>
  <sheetViews>
    <sheetView topLeftCell="A8" zoomScale="50" zoomScaleNormal="50" workbookViewId="0">
      <selection activeCell="B10" sqref="B10"/>
    </sheetView>
  </sheetViews>
  <sheetFormatPr defaultRowHeight="14.5" x14ac:dyDescent="0.35"/>
  <cols>
    <col min="1" max="1" width="26.81640625" style="2" bestFit="1" customWidth="1"/>
    <col min="2" max="2" width="83.453125" style="1" customWidth="1"/>
  </cols>
  <sheetData>
    <row r="1" spans="1:2" ht="15" customHeight="1" thickBot="1" x14ac:dyDescent="0.4">
      <c r="A1" s="15" t="s">
        <v>1199</v>
      </c>
      <c r="B1" s="16" t="s">
        <v>1200</v>
      </c>
    </row>
    <row r="2" spans="1:2" ht="56.5" customHeight="1" x14ac:dyDescent="0.35">
      <c r="A2" s="17" t="s">
        <v>1201</v>
      </c>
      <c r="B2" s="18" t="s">
        <v>1202</v>
      </c>
    </row>
    <row r="3" spans="1:2" ht="70" customHeight="1" x14ac:dyDescent="0.35">
      <c r="A3" s="19" t="s">
        <v>1203</v>
      </c>
      <c r="B3" s="20" t="s">
        <v>1204</v>
      </c>
    </row>
    <row r="4" spans="1:2" ht="174" customHeight="1" x14ac:dyDescent="0.35">
      <c r="A4" s="19" t="s">
        <v>1205</v>
      </c>
      <c r="B4" s="20" t="s">
        <v>1206</v>
      </c>
    </row>
    <row r="5" spans="1:2" ht="130.5" customHeight="1" x14ac:dyDescent="0.35">
      <c r="A5" s="19" t="s">
        <v>1207</v>
      </c>
      <c r="B5" s="20" t="s">
        <v>1208</v>
      </c>
    </row>
    <row r="6" spans="1:2" ht="159.65" customHeight="1" x14ac:dyDescent="0.35">
      <c r="A6" s="19" t="s">
        <v>1209</v>
      </c>
      <c r="B6" s="20" t="s">
        <v>1210</v>
      </c>
    </row>
    <row r="7" spans="1:2" ht="116.15" customHeight="1" x14ac:dyDescent="0.35">
      <c r="A7" s="19" t="s">
        <v>1211</v>
      </c>
      <c r="B7" s="20" t="s">
        <v>1212</v>
      </c>
    </row>
    <row r="8" spans="1:2" ht="130.5" customHeight="1" x14ac:dyDescent="0.35">
      <c r="A8" s="19" t="s">
        <v>1213</v>
      </c>
      <c r="B8" s="20" t="s">
        <v>1214</v>
      </c>
    </row>
    <row r="9" spans="1:2" ht="145" customHeight="1" x14ac:dyDescent="0.35">
      <c r="A9" s="19" t="s">
        <v>1215</v>
      </c>
      <c r="B9" s="20" t="s">
        <v>1216</v>
      </c>
    </row>
    <row r="10" spans="1:2" ht="145.5" customHeight="1" thickBot="1" x14ac:dyDescent="0.4">
      <c r="A10" s="21" t="s">
        <v>1201</v>
      </c>
      <c r="B10" s="22" t="s">
        <v>1217</v>
      </c>
    </row>
    <row r="11" spans="1:2" ht="409.5" customHeight="1" x14ac:dyDescent="0.35">
      <c r="A11" s="23" t="s">
        <v>1193</v>
      </c>
      <c r="B11" s="24" t="s">
        <v>1218</v>
      </c>
    </row>
    <row r="12" spans="1:2" ht="409.6" customHeight="1" thickBot="1" x14ac:dyDescent="0.4">
      <c r="A12" s="25" t="s">
        <v>1194</v>
      </c>
      <c r="B12" s="26" t="s">
        <v>1195</v>
      </c>
    </row>
  </sheetData>
  <pageMargins left="0.7" right="0.7" top="0.75" bottom="0.75" header="0.3" footer="0.3"/>
</worksheet>
</file>

<file path=docMetadata/LabelInfo.xml><?xml version="1.0" encoding="utf-8"?>
<clbl:labelList xmlns:clbl="http://schemas.microsoft.com/office/2020/mipLabelMetadata">
  <clbl:label id="{9e17c3e3-ba51-4656-9767-5ba4c8c34f4b}" enabled="0" method="" siteId="{9e17c3e3-ba51-4656-9767-5ba4c8c34f4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Sheet1</vt:lpstr>
      <vt:lpstr>Search Matrix</vt:lpstr>
      <vt:lpstr>Backend_Settings</vt:lpstr>
      <vt:lpstr>ConsolidatedData</vt:lpstr>
      <vt:lpstr>Audit_Log</vt:lpstr>
      <vt:lpstr>Sheet7</vt:lpstr>
      <vt:lpstr>Rule_DB</vt:lpstr>
      <vt:lpstr>Program_Library</vt:lpstr>
      <vt:lpstr>Template_DB</vt:lpstr>
      <vt:lpstr>Language_Bits</vt:lpstr>
      <vt:lpstr>Crypto</vt:lpstr>
      <vt:lpstr>'Search Matrix'!ScenarioOptions</vt:lpstr>
      <vt:lpstr>ScenarioOptions</vt:lpstr>
      <vt:lpstr>TemplatesRFI</vt:lpstr>
      <vt:lpstr>TemplatesStandard</vt:lpstr>
      <vt:lpstr>Wise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Sammed Upadhye</dc:creator>
  <cp:lastModifiedBy>Swapnil Saha</cp:lastModifiedBy>
  <dcterms:created xsi:type="dcterms:W3CDTF">2015-06-05T18:17:20Z</dcterms:created>
  <dcterms:modified xsi:type="dcterms:W3CDTF">2026-07-29T15:03:32Z</dcterms:modified>
</cp:coreProperties>
</file>