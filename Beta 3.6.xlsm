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Beta 3.5/"/>
    </mc:Choice>
  </mc:AlternateContent>
  <xr:revisionPtr revIDLastSave="25834" documentId="8_{3E3C6872-244C-46E8-B337-E0CA4089D1DA}" xr6:coauthVersionLast="47" xr6:coauthVersionMax="47" xr10:uidLastSave="{25A71CF2-1E8B-49BF-92D1-2FFB8AB535C1}"/>
  <bookViews>
    <workbookView xWindow="-110" yWindow="-110" windowWidth="19420" windowHeight="11500" firstSheet="2" activeTab="10" xr2:uid="{00000000-000D-0000-FFFF-FFFF00000000}"/>
  </bookViews>
  <sheets>
    <sheet name="_DarkBak" sheetId="21" state="veryHidden" r:id="rId1"/>
    <sheet name="_NGBak" sheetId="22" state="veryHidden" r:id="rId2"/>
    <sheet name="Sheet1" sheetId="1" r:id="rId3"/>
    <sheet name="Search Matrix" sheetId="18" r:id="rId4"/>
    <sheet name="Backend_Settings" sheetId="2" r:id="rId5"/>
    <sheet name="ConsolidatedData" sheetId="3" r:id="rId6"/>
    <sheet name="Audit_Log" sheetId="4" state="hidden" r:id="rId7"/>
    <sheet name="Sheet7" sheetId="5" state="hidden" r:id="rId8"/>
    <sheet name="Rule_DB" sheetId="6" state="hidden" r:id="rId9"/>
    <sheet name="Program_Library" sheetId="7" state="hidden" r:id="rId10"/>
    <sheet name="Template_DB" sheetId="8" r:id="rId11"/>
    <sheet name="Language_Bits" sheetId="9" state="hidden" r:id="rId12"/>
    <sheet name="Audit_Ledger" sheetId="20" state="hidden" r:id="rId13"/>
  </sheets>
  <functionGroups builtInGroupCount="19"/>
  <externalReferences>
    <externalReference r:id="rId14"/>
  </externalReferences>
  <definedNames>
    <definedName name="_xlnm._FilterDatabase" localSheetId="5" hidden="1">ConsolidatedData!#REF!</definedName>
    <definedName name="_xlnm._FilterDatabase" localSheetId="2"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3">Sheet7!$Z$1</definedName>
    <definedName name="ScenarioOptions">Sheet7!$Z$1</definedName>
    <definedName name="TemplatesRFI" localSheetId="3">[1]Sheet7!$E$8:$E$10</definedName>
    <definedName name="TemplatesRFI">Sheet7!$E$8:$E$10</definedName>
    <definedName name="TemplatesStandard" localSheetId="3">[1]Sheet7!$D$8:$D$10</definedName>
    <definedName name="TemplatesStandard">Sheet7!$D$8:$D$10</definedName>
    <definedName name="Wise">Sheet7!$Z$1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 i="3" l="1"/>
  <c r="AK4" i="3"/>
  <c r="AK3" i="3"/>
  <c r="AK2" i="3"/>
  <c r="R27" i="1" l="1"/>
  <c r="P27" i="1"/>
  <c r="T27" i="1"/>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2" i="5"/>
  <c r="K11" i="5"/>
  <c r="K14" i="5" a="1"/>
  <c r="K13" i="5"/>
  <c r="K10" i="5"/>
  <c r="K9" i="5" l="1"/>
  <c r="K14" i="5"/>
</calcChain>
</file>

<file path=xl/sharedStrings.xml><?xml version="1.0" encoding="utf-8"?>
<sst xmlns="http://schemas.openxmlformats.org/spreadsheetml/2006/main" count="6011" uniqueCount="3052">
  <si>
    <t>Decision</t>
  </si>
  <si>
    <t>Template</t>
  </si>
  <si>
    <t>Program Name</t>
  </si>
  <si>
    <t>Escalation Scenario</t>
  </si>
  <si>
    <t>ECM Case</t>
  </si>
  <si>
    <t>Alert ID</t>
  </si>
  <si>
    <t>Customer Name</t>
  </si>
  <si>
    <t>Steeve Tremblay</t>
  </si>
  <si>
    <t>Customer Address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</si>
  <si>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</si>
  <si>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</si>
  <si>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</si>
  <si>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</si>
  <si>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</si>
  <si>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</si>
  <si>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</si>
  <si>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</si>
  <si>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</si>
  <si>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</si>
  <si>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</si>
  <si>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</si>
  <si>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Risk Score</t>
  </si>
  <si>
    <t>PDF Risk Class</t>
  </si>
  <si>
    <t>Excel Risk Class</t>
  </si>
  <si>
    <t>INDIA</t>
  </si>
  <si>
    <t>IN</t>
  </si>
  <si>
    <t>IND</t>
  </si>
  <si>
    <t>CountryName</t>
  </si>
  <si>
    <t>IsoCode2</t>
  </si>
  <si>
    <t>IsoCode3</t>
  </si>
  <si>
    <t>RiskLevel</t>
  </si>
  <si>
    <t>RiskScore</t>
  </si>
  <si>
    <t>PDFRisk</t>
  </si>
  <si>
    <t>AFGHANISTAN</t>
  </si>
  <si>
    <t>AF</t>
  </si>
  <si>
    <t>AFG</t>
  </si>
  <si>
    <t>Prohibited</t>
  </si>
  <si>
    <t>ALAND ISLANDS</t>
  </si>
  <si>
    <t>AX</t>
  </si>
  <si>
    <t>Medium</t>
  </si>
  <si>
    <t>N/A</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</si>
  <si>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</si>
  <si>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</si>
  <si>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</si>
  <si>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</si>
  <si>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</si>
  <si>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</si>
  <si>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</si>
  <si>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</si>
  <si>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</si>
  <si>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</si>
  <si>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</si>
  <si>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</si>
  <si>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</si>
  <si>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</si>
  <si>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</si>
  <si>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</si>
  <si>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</si>
  <si>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</si>
  <si>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</si>
  <si>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</si>
  <si>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</si>
  <si>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</si>
  <si>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</si>
  <si>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</si>
  <si>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</si>
  <si>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</si>
  <si>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</si>
  <si>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</si>
  <si>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</si>
  <si>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</si>
  <si>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</si>
  <si>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</si>
  <si>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</si>
  <si>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</si>
  <si>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</si>
  <si>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</si>
  <si>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</si>
  <si>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</si>
  <si>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</si>
  <si>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</si>
  <si>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</si>
  <si>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</si>
  <si>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</si>
  <si>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</si>
  <si>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</si>
  <si>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</si>
  <si>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</si>
  <si>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</si>
  <si>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</si>
  <si>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</si>
  <si>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</si>
  <si>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</si>
  <si>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</si>
  <si>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</si>
  <si>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</si>
  <si>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</si>
  <si>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</si>
  <si>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</si>
  <si>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</si>
  <si>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</si>
  <si>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</si>
  <si>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</si>
  <si>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</si>
  <si>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</si>
  <si>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</si>
  <si>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</si>
  <si>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</si>
  <si>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</si>
  <si>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</si>
  <si>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</si>
  <si>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</si>
  <si>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</si>
  <si>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</si>
  <si>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</si>
  <si>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</si>
  <si>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</si>
  <si>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</si>
  <si>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</si>
  <si>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</si>
  <si>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</si>
  <si>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</si>
  <si>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</si>
  <si>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</si>
  <si>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</si>
  <si>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</si>
  <si>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</si>
  <si>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</si>
  <si>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</si>
  <si>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</si>
  <si>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</si>
  <si>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</si>
  <si>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</si>
  <si>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</si>
  <si>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</si>
  <si>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</si>
  <si>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</si>
  <si>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</si>
  <si>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</si>
  <si>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</si>
  <si>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</si>
  <si>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</si>
  <si>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</si>
  <si>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</si>
  <si>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</si>
  <si>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</si>
  <si>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</si>
  <si>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</si>
  <si>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</si>
  <si>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</si>
  <si>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</si>
  <si>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</si>
  <si>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</si>
  <si>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</si>
  <si>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</si>
  <si>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</si>
  <si>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</si>
  <si>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</si>
  <si>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</si>
  <si>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</si>
  <si>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</si>
  <si>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</si>
  <si>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</si>
  <si>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</si>
  <si>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</si>
  <si>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</si>
  <si>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</si>
  <si>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</si>
  <si>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</si>
  <si>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</si>
  <si>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</si>
  <si>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</si>
  <si>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</si>
  <si>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</si>
  <si>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</si>
  <si>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</si>
  <si>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</si>
  <si>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</si>
  <si>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</si>
  <si>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</si>
  <si>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</si>
  <si>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</si>
  <si>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</si>
  <si>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</si>
  <si>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</si>
  <si>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</si>
  <si>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</si>
  <si>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</si>
  <si>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</si>
  <si>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</si>
  <si>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</si>
  <si>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</si>
  <si>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</si>
  <si>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</si>
  <si>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</si>
  <si>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</si>
  <si>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</si>
  <si>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</si>
  <si>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</si>
  <si>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</si>
  <si>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</si>
  <si>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</si>
  <si>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</si>
  <si>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</si>
  <si>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</si>
  <si>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</si>
  <si>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</si>
  <si>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</si>
  <si>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</si>
  <si>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</si>
  <si>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</si>
  <si>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</si>
  <si>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</si>
  <si>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</si>
  <si>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</si>
  <si>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</si>
  <si>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</si>
  <si>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</si>
  <si>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</si>
  <si>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</si>
  <si>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</si>
  <si>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</si>
  <si>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</si>
  <si>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</si>
  <si>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</si>
  <si>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</si>
  <si>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</si>
  <si>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</si>
  <si>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</si>
  <si>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</si>
  <si>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</si>
  <si>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</si>
  <si>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</si>
  <si>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</si>
  <si>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</si>
  <si>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</si>
  <si>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</si>
  <si>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</si>
  <si>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</si>
  <si>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</si>
  <si>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</si>
  <si>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</si>
  <si>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</si>
  <si>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</si>
  <si>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</si>
  <si>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</si>
  <si>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</si>
  <si>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</si>
  <si>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</si>
  <si>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</si>
  <si>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</si>
  <si>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</si>
  <si>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</si>
  <si>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</si>
  <si>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</si>
  <si>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</si>
  <si>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</si>
  <si>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</si>
  <si>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</si>
  <si>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</si>
  <si>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</si>
  <si>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</si>
  <si>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</si>
  <si>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</si>
  <si>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</si>
  <si>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</si>
  <si>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</si>
  <si>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</si>
  <si>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</si>
  <si>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</si>
  <si>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</si>
  <si>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</si>
  <si>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</si>
  <si>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</si>
  <si>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</si>
  <si>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</si>
  <si>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</si>
  <si>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</si>
  <si>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</si>
  <si>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</si>
  <si>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</si>
  <si>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</si>
  <si>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</si>
  <si>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</si>
  <si>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</si>
  <si>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</si>
  <si>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</si>
  <si>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</si>
  <si>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</si>
  <si>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</si>
  <si>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</si>
  <si>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</si>
  <si>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</si>
  <si>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</si>
  <si>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</si>
  <si>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</si>
  <si>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</si>
  <si>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</si>
  <si>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</si>
  <si>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</si>
  <si>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</si>
  <si>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</si>
  <si>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</si>
  <si>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</si>
  <si>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</si>
  <si>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</si>
  <si>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</si>
  <si>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</si>
  <si>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</si>
  <si>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</si>
  <si>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</si>
  <si>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</si>
  <si>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</si>
  <si>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</si>
  <si>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</si>
  <si>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</si>
  <si>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</si>
  <si>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</si>
  <si>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</si>
  <si>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</si>
  <si>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</si>
  <si>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</si>
  <si>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</si>
  <si>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</si>
  <si>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</si>
  <si>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</si>
  <si>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</si>
  <si>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</si>
  <si>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</si>
  <si>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</si>
  <si>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</si>
  <si>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</si>
  <si>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</si>
  <si>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</si>
  <si>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</si>
  <si>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</si>
  <si>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</si>
  <si>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</si>
  <si>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</si>
  <si>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</si>
  <si>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</si>
  <si>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</si>
  <si>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</si>
  <si>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</si>
  <si>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</si>
  <si>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</si>
  <si>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</si>
  <si>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</si>
  <si>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</si>
  <si>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</si>
  <si>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</si>
  <si>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</si>
  <si>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</si>
  <si>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</si>
  <si>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</si>
  <si>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</si>
  <si>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</si>
  <si>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</si>
  <si>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</si>
  <si>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</si>
  <si>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</si>
  <si>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</si>
  <si>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</si>
  <si>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</si>
  <si>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</si>
  <si>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</si>
  <si>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</si>
  <si>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</si>
  <si>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</si>
  <si>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</si>
  <si>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</si>
  <si>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</si>
  <si>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</si>
  <si>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</si>
  <si>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</si>
  <si>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</si>
  <si>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</si>
  <si>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</si>
  <si>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</si>
  <si>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</si>
  <si>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</si>
  <si>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</si>
  <si>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</si>
  <si>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</si>
  <si>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</si>
  <si>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</si>
  <si>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</si>
  <si>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</si>
  <si>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</si>
  <si>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</si>
  <si>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</si>
  <si>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</si>
  <si>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</si>
  <si>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</si>
  <si>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</si>
  <si>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</si>
  <si>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</si>
  <si>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</si>
  <si>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</si>
  <si>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</si>
  <si>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</si>
  <si>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</si>
  <si>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</si>
  <si>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</si>
  <si>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</si>
  <si>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</si>
  <si>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</si>
  <si>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</si>
  <si>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</si>
  <si>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</si>
  <si>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</si>
  <si>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</si>
  <si>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</si>
  <si>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</si>
  <si>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</si>
  <si>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</si>
  <si>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</si>
  <si>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</si>
  <si>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</si>
  <si>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</si>
  <si>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</si>
  <si>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</si>
  <si>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</si>
  <si>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</si>
  <si>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</si>
  <si>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</si>
  <si>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</si>
  <si>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</si>
  <si>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</si>
  <si>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</si>
  <si>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</si>
  <si>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</si>
  <si>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</si>
  <si>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</si>
  <si>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</si>
  <si>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</si>
  <si>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</si>
  <si>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</si>
  <si>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</si>
  <si>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</si>
  <si>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</si>
  <si>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</si>
  <si>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</si>
  <si>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</si>
  <si>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</si>
  <si>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</si>
  <si>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</si>
  <si>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</si>
  <si>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</si>
  <si>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</si>
  <si>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</si>
  <si>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</si>
  <si>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</si>
  <si>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</si>
  <si>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</si>
  <si>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</si>
  <si>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</si>
  <si>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</si>
  <si>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</si>
  <si>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</si>
  <si>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</si>
  <si>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</si>
  <si>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</si>
  <si>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</si>
  <si>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</si>
  <si>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</si>
  <si>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</si>
  <si>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</si>
  <si>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</si>
  <si>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</si>
  <si>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</si>
  <si>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</si>
  <si>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</si>
  <si>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</si>
  <si>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</si>
  <si>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</si>
  <si>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</si>
  <si>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</si>
  <si>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</si>
  <si>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</si>
  <si>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</si>
  <si>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</si>
  <si>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</si>
  <si>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</si>
  <si>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</si>
  <si>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</si>
  <si>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</si>
  <si>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</si>
  <si>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</si>
  <si>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</si>
  <si>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</si>
  <si>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</si>
  <si>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</si>
  <si>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</si>
  <si>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</si>
  <si>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</si>
  <si>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</si>
  <si>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</si>
  <si>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</si>
  <si>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</si>
  <si>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</si>
  <si>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</si>
  <si>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</si>
  <si>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</si>
  <si>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</si>
  <si>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</si>
  <si>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</si>
  <si>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</si>
  <si>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</si>
  <si>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</si>
  <si>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</si>
  <si>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</si>
  <si>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</si>
  <si>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</si>
  <si>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</si>
  <si>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</si>
  <si>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</si>
  <si>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</si>
  <si>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</si>
  <si>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</si>
  <si>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</si>
  <si>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</si>
  <si>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</si>
  <si>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</si>
  <si>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</si>
  <si>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</si>
  <si>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</si>
  <si>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</si>
  <si>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</si>
  <si>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</si>
  <si>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</si>
  <si>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</si>
  <si>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</si>
  <si>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</si>
  <si>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</si>
  <si>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</si>
  <si>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</si>
  <si>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</si>
  <si>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</si>
  <si>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</si>
  <si>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</si>
  <si>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</si>
  <si>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</si>
  <si>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</si>
  <si>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</si>
  <si>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</si>
  <si>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</si>
  <si>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</si>
  <si>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</si>
  <si>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</si>
  <si>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</si>
  <si>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</si>
  <si>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</si>
  <si>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</si>
  <si>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</si>
  <si>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</si>
  <si>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</si>
  <si>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</si>
  <si>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</si>
  <si>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</si>
  <si>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</si>
  <si>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</si>
  <si>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</si>
  <si>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</si>
  <si>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</si>
  <si>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</si>
  <si>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</si>
  <si>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</si>
  <si>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</si>
  <si>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</si>
  <si>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</si>
  <si>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</si>
  <si>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</si>
  <si>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</si>
  <si>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</si>
  <si>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</si>
  <si>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</si>
  <si>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</si>
  <si>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</si>
  <si>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</si>
  <si>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</si>
  <si>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</si>
  <si>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</si>
  <si>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</si>
  <si>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</si>
  <si>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</si>
  <si>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</si>
  <si>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</si>
  <si>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</si>
  <si>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</si>
  <si>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</si>
  <si>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</si>
  <si>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</si>
  <si>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</si>
  <si>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</si>
  <si>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</si>
  <si>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</si>
  <si>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</si>
  <si>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</si>
  <si>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</si>
  <si>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</si>
  <si>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</si>
  <si>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</si>
  <si>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</si>
  <si>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</si>
  <si>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</si>
  <si>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</si>
  <si>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</si>
  <si>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</si>
  <si>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</si>
  <si>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</si>
  <si>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</si>
  <si>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</si>
  <si>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</si>
  <si>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</si>
  <si>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</si>
  <si>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</si>
  <si>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</si>
  <si>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</si>
  <si>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</si>
  <si>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</si>
  <si>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</si>
  <si>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</si>
  <si>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</si>
  <si>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</si>
  <si>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</si>
  <si>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</si>
  <si>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</si>
  <si>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</si>
  <si>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</si>
  <si>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</si>
  <si>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</si>
  <si>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</si>
  <si>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</si>
  <si>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</si>
  <si>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</si>
  <si>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</si>
  <si>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</si>
  <si>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</si>
  <si>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</si>
  <si>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</si>
  <si>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</si>
  <si>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</si>
  <si>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</si>
  <si>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</si>
  <si>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</si>
  <si>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</si>
  <si>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</si>
  <si>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</si>
  <si>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</si>
  <si>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</si>
  <si>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</si>
  <si>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</si>
  <si>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</si>
  <si>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</si>
  <si>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</si>
  <si>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</si>
  <si>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</si>
  <si>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</si>
  <si>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</si>
  <si>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</si>
  <si>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</si>
  <si>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</si>
  <si>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</si>
  <si>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</si>
  <si>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</si>
  <si>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</si>
  <si>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</si>
  <si>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</si>
  <si>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</si>
  <si>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</si>
  <si>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</si>
  <si>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</si>
  <si>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</si>
  <si>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</si>
  <si>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</si>
  <si>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</si>
  <si>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</si>
  <si>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</si>
  <si>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</si>
  <si>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</si>
  <si>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</si>
  <si>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</si>
  <si>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</si>
  <si>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</si>
  <si>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</si>
  <si>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</si>
  <si>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</si>
  <si>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</si>
  <si>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</si>
  <si>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</si>
  <si>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</si>
  <si>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</si>
  <si>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</si>
  <si>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</si>
  <si>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</si>
  <si>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</si>
  <si>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</si>
  <si>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</si>
  <si>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</si>
  <si>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</si>
  <si>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</si>
  <si>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</si>
  <si>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</si>
  <si>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</si>
  <si>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</si>
  <si>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</si>
  <si>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</si>
  <si>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</si>
  <si>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</si>
  <si>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</si>
  <si>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</si>
  <si>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</si>
  <si>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</si>
  <si>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</si>
  <si>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</si>
  <si>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</si>
  <si>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</si>
  <si>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</si>
  <si>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</si>
  <si>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</si>
  <si>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</si>
  <si>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</si>
  <si>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</si>
  <si>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</si>
  <si>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</si>
  <si>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</si>
  <si>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</si>
  <si>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</si>
  <si>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</si>
  <si>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</si>
  <si>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</si>
  <si>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</si>
  <si>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</si>
  <si>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</si>
  <si>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</si>
  <si>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</si>
  <si>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</si>
  <si>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</si>
  <si>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</si>
  <si>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</si>
  <si>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</si>
  <si>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</si>
  <si>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</si>
  <si>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</si>
  <si>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</si>
  <si>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</si>
  <si>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</si>
  <si>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</si>
  <si>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</si>
  <si>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</si>
  <si>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</si>
  <si>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</si>
  <si>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</si>
  <si>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</si>
  <si>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</si>
  <si>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</si>
  <si>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</si>
  <si>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</si>
  <si>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</si>
  <si>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</si>
  <si>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</si>
  <si>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</si>
  <si>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</si>
  <si>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</si>
  <si>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</si>
  <si>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</si>
  <si>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</si>
  <si>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</si>
  <si>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</si>
  <si>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</si>
  <si>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</si>
  <si>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</si>
  <si>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</si>
  <si>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</si>
  <si>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</si>
  <si>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</si>
  <si>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</si>
  <si>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</si>
  <si>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</si>
  <si>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</si>
  <si>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</si>
  <si>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Customer / Counterparty</t>
  </si>
  <si>
    <t>Type of Search</t>
  </si>
  <si>
    <t>Raw URL</t>
  </si>
  <si>
    <t>Naming Convention</t>
  </si>
  <si>
    <t>Open URL</t>
  </si>
  <si>
    <t>Google name</t>
  </si>
  <si>
    <t>Address</t>
  </si>
  <si>
    <t>Name + Address</t>
  </si>
  <si>
    <t>Negative News, page 1</t>
  </si>
  <si>
    <t>Negative News, page 2</t>
  </si>
  <si>
    <t>Flow_1</t>
  </si>
  <si>
    <t>ms-powerautomate:/console/flow/run?workflowid=2e5455ef-1291-4211-aeb2-9558d2c49e6d</t>
  </si>
  <si>
    <t>Flow_Merge</t>
  </si>
  <si>
    <t>ALERT2369909</t>
  </si>
  <si>
    <t>Date &amp; Time</t>
  </si>
  <si>
    <t>Analyst ID</t>
  </si>
  <si>
    <t>ECM Case ID</t>
  </si>
  <si>
    <t>Total Entities</t>
  </si>
  <si>
    <t>Total Searches</t>
  </si>
  <si>
    <t>Time Taken</t>
  </si>
  <si>
    <t>Tool Version</t>
  </si>
  <si>
    <t>Error Diagnostic</t>
  </si>
  <si>
    <t>CAPTCHA Flagged</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</si>
  <si>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</si>
  <si>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</si>
  <si>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</si>
  <si>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</si>
  <si>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</si>
  <si>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</si>
  <si>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</si>
  <si>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</si>
  <si>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</si>
  <si>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</si>
  <si>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</si>
  <si>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</si>
  <si>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</si>
  <si>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</si>
  <si>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</si>
  <si>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</si>
  <si>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</si>
  <si>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</si>
  <si>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</si>
  <si>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</si>
  <si>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</si>
  <si>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</si>
  <si>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</si>
  <si>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</si>
  <si>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</si>
  <si>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</si>
  <si>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</si>
  <si>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</si>
  <si>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</si>
  <si>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</si>
  <si>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</si>
  <si>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</si>
  <si>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</si>
  <si>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</si>
  <si>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</si>
  <si>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</si>
  <si>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</si>
  <si>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</si>
  <si>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</si>
  <si>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</si>
  <si>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</si>
  <si>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</si>
  <si>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</si>
  <si>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</si>
  <si>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</si>
  <si>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</si>
  <si>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</si>
  <si>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</si>
  <si>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</si>
  <si>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</si>
  <si>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</si>
  <si>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</si>
  <si>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</si>
  <si>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</si>
  <si>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</si>
  <si>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</si>
  <si>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</si>
  <si>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</si>
  <si>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</si>
  <si>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</si>
  <si>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</si>
  <si>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</si>
  <si>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</si>
  <si>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</si>
  <si>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</si>
  <si>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</si>
  <si>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</si>
  <si>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</si>
  <si>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</si>
  <si>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</si>
  <si>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</si>
  <si>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</si>
  <si>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</si>
  <si>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</si>
  <si>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</si>
  <si>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</si>
  <si>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</si>
  <si>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</si>
  <si>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</si>
  <si>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</si>
  <si>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</si>
  <si>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</si>
  <si>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</si>
  <si>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</si>
  <si>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</si>
  <si>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</si>
  <si>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</si>
  <si>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</si>
  <si>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</si>
  <si>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</si>
  <si>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</si>
  <si>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</si>
  <si>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</si>
  <si>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</si>
  <si>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</si>
  <si>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</si>
  <si>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</si>
  <si>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</si>
  <si>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</si>
  <si>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test</t>
  </si>
  <si>
    <t>43 second(s)</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</si>
  <si>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</si>
  <si>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</si>
  <si>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</si>
  <si>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</si>
  <si>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</si>
  <si>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</si>
  <si>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</si>
  <si>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</si>
  <si>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</si>
  <si>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</si>
  <si>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</si>
  <si>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</si>
  <si>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</si>
  <si>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</si>
  <si>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</si>
  <si>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</si>
  <si>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</si>
  <si>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</si>
  <si>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</si>
  <si>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</si>
  <si>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</si>
  <si>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</si>
  <si>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</si>
  <si>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</si>
  <si>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</si>
  <si>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</si>
  <si>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</si>
  <si>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</si>
  <si>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</si>
  <si>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</si>
  <si>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</si>
  <si>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</si>
  <si>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</si>
  <si>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</si>
  <si>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</si>
  <si>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</si>
  <si>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</si>
  <si>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</si>
  <si>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</si>
  <si>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</si>
  <si>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</si>
  <si>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</si>
  <si>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</si>
  <si>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</si>
  <si>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</si>
  <si>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</si>
  <si>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</si>
  <si>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2.6.0</t>
  </si>
  <si>
    <t>16 minute(s) and 41 second(s)</t>
  </si>
  <si>
    <t>5 minute(s) and 28 second(s)</t>
  </si>
  <si>
    <t>33 second(s)</t>
  </si>
  <si>
    <t>1 minute(s) and 6 second(s)</t>
  </si>
  <si>
    <t>1 minute(s) and 3 second(s)</t>
  </si>
  <si>
    <t>1 minute(s) and 4 second(s)</t>
  </si>
  <si>
    <t>2 minute(s) and 12 second(s)</t>
  </si>
  <si>
    <t>1 minute(s) and 50 second(s)</t>
  </si>
  <si>
    <t>3 minute(s) and 12 second(s)</t>
  </si>
  <si>
    <t>3 minute(s) and 16 second(s)</t>
  </si>
  <si>
    <t>2 minute(s) and 45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</si>
  <si>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</si>
  <si>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</si>
  <si>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</si>
  <si>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</si>
  <si>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</si>
  <si>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</si>
  <si>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</si>
  <si>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</si>
  <si>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</si>
  <si>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</si>
  <si>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</si>
  <si>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</si>
  <si>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</si>
  <si>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</si>
  <si>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</si>
  <si>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</si>
  <si>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</si>
  <si>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</si>
  <si>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</si>
  <si>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</si>
  <si>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</si>
  <si>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</si>
  <si>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</si>
  <si>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</si>
  <si>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</si>
  <si>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</si>
  <si>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</si>
  <si>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</si>
  <si>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</si>
  <si>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</si>
  <si>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</si>
  <si>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</si>
  <si>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</si>
  <si>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</si>
  <si>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</si>
  <si>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</si>
  <si>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</si>
  <si>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</si>
  <si>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</si>
  <si>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</si>
  <si>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</si>
  <si>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</si>
  <si>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</si>
  <si>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</si>
  <si>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</si>
  <si>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</si>
  <si>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</si>
  <si>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</si>
  <si>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</si>
  <si>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</si>
  <si>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</si>
  <si>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</si>
  <si>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</si>
  <si>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</si>
  <si>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</si>
  <si>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</si>
  <si>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</si>
  <si>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</si>
  <si>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</si>
  <si>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</si>
  <si>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</si>
  <si>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</si>
  <si>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</si>
  <si>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</si>
  <si>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</si>
  <si>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</si>
  <si>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</si>
  <si>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</si>
  <si>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</si>
  <si>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</si>
  <si>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</si>
  <si>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</si>
  <si>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</si>
  <si>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</si>
  <si>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</si>
  <si>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</si>
  <si>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</si>
  <si>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</si>
  <si>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</si>
  <si>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</si>
  <si>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</si>
  <si>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</si>
  <si>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</si>
  <si>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</si>
  <si>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</si>
  <si>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</si>
  <si>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</si>
  <si>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</si>
  <si>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</si>
  <si>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</si>
  <si>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</si>
  <si>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</si>
  <si>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</si>
  <si>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 Risk Jurisdiction</t>
  </si>
  <si>
    <t>RULE80A Outgoing Activity to High 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</si>
  <si>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</si>
  <si>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</si>
  <si>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</si>
  <si>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</si>
  <si>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</si>
  <si>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</si>
  <si>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</si>
  <si>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</si>
  <si>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</si>
  <si>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</si>
  <si>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</si>
  <si>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</si>
  <si>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</si>
  <si>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</si>
  <si>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</si>
  <si>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</si>
  <si>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</si>
  <si>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</si>
  <si>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</si>
  <si>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</si>
  <si>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</si>
  <si>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</si>
  <si>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</si>
  <si>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</si>
  <si>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</si>
  <si>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</si>
  <si>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</si>
  <si>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</si>
  <si>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</si>
  <si>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</si>
  <si>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</si>
  <si>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</si>
  <si>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</si>
  <si>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</si>
  <si>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</si>
  <si>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</si>
  <si>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</si>
  <si>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</si>
  <si>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</si>
  <si>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</si>
  <si>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</si>
  <si>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</si>
  <si>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</si>
  <si>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</si>
  <si>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</si>
  <si>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</si>
  <si>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</si>
  <si>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</si>
  <si>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</si>
  <si>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</si>
  <si>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</si>
  <si>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</si>
  <si>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</si>
  <si>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</si>
  <si>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</si>
  <si>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</si>
  <si>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</si>
  <si>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</si>
  <si>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</si>
  <si>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</si>
  <si>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</si>
  <si>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</si>
  <si>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</si>
  <si>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</si>
  <si>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</si>
  <si>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</si>
  <si>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</si>
  <si>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</si>
  <si>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</si>
  <si>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</si>
  <si>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</si>
  <si>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</si>
  <si>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</si>
  <si>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</si>
  <si>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</si>
  <si>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</si>
  <si>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</si>
  <si>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</si>
  <si>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</si>
  <si>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</si>
  <si>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</si>
  <si>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</si>
  <si>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</si>
  <si>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</si>
  <si>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</si>
  <si>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</si>
  <si>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</si>
  <si>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</si>
  <si>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</si>
  <si>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</si>
  <si>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</si>
  <si>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</si>
  <si>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</si>
  <si>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</si>
  <si>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</si>
  <si>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</si>
  <si>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</si>
  <si>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</si>
  <si>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</si>
  <si>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</si>
  <si>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</si>
  <si>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</si>
  <si>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</si>
  <si>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</si>
  <si>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</si>
  <si>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</si>
  <si>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</si>
  <si>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</si>
  <si>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</si>
  <si>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</si>
  <si>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</si>
  <si>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</si>
  <si>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</si>
  <si>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</si>
  <si>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</si>
  <si>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</si>
  <si>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</si>
  <si>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</si>
  <si>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</si>
  <si>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</si>
  <si>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</si>
  <si>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</si>
  <si>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</si>
  <si>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</si>
  <si>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</si>
  <si>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</si>
  <si>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</si>
  <si>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</si>
  <si>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</si>
  <si>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</si>
  <si>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</si>
  <si>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</si>
  <si>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</si>
  <si>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</si>
  <si>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</si>
  <si>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</si>
  <si>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</si>
  <si>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</si>
  <si>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</si>
  <si>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</si>
  <si>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</si>
  <si>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</si>
  <si>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</si>
  <si>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</si>
  <si>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</si>
  <si>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</si>
  <si>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</si>
  <si>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</si>
  <si>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</si>
  <si>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</si>
  <si>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</si>
  <si>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</si>
  <si>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</si>
  <si>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</si>
  <si>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</si>
  <si>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</si>
  <si>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</si>
  <si>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</si>
  <si>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</si>
  <si>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</si>
  <si>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</si>
  <si>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</si>
  <si>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</si>
  <si>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</si>
  <si>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</si>
  <si>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</si>
  <si>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</si>
  <si>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</si>
  <si>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</si>
  <si>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</si>
  <si>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</si>
  <si>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</si>
  <si>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</si>
  <si>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Crypto_Escalation</t>
  </si>
  <si>
    <t>Crypto_Non_Escalation</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</si>
  <si>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</si>
  <si>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</si>
  <si>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RFI_Airwallex</t>
  </si>
  <si>
    <t>RFI_Common</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</si>
  <si>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</si>
  <si>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</si>
  <si>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</si>
  <si>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</si>
  <si>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</si>
  <si>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</si>
  <si>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</si>
  <si>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</si>
  <si>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</si>
  <si>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</si>
  <si>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</si>
  <si>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</si>
  <si>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</si>
  <si>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</si>
  <si>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</si>
  <si>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</si>
  <si>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</si>
  <si>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</si>
  <si>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</si>
  <si>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</si>
  <si>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</si>
  <si>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Analyst</t>
  </si>
  <si>
    <t>Counterparties</t>
  </si>
  <si>
    <t>Event Type</t>
  </si>
  <si>
    <t>Output File</t>
  </si>
  <si>
    <t>Notes</t>
  </si>
  <si>
    <t>Detail</t>
  </si>
  <si>
    <t>ALERT</t>
  </si>
  <si>
    <t>Swapnil</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</si>
  <si>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</si>
  <si>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</si>
  <si>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</si>
  <si>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</si>
  <si>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</si>
  <si>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</si>
  <si>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</si>
  <si>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</si>
  <si>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</si>
  <si>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</si>
  <si>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</si>
  <si>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</si>
  <si>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</si>
  <si>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</si>
  <si>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</si>
  <si>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</si>
  <si>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</si>
  <si>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</si>
  <si>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</si>
  <si>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</si>
  <si>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</si>
  <si>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</si>
  <si>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</si>
  <si>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</si>
  <si>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</si>
  <si>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</si>
  <si>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</si>
  <si>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</si>
  <si>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</si>
  <si>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</si>
  <si>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</si>
  <si>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</si>
  <si>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</si>
  <si>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</si>
  <si>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</si>
  <si>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</si>
  <si>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</si>
  <si>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</si>
  <si>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</si>
  <si>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</si>
  <si>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</si>
  <si>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</si>
  <si>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</si>
  <si>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</si>
  <si>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</si>
  <si>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Hongkong Cloudflying Technology</t>
  </si>
  <si>
    <t>Guang Zhou Chun Pai Ke Ji You Xian</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</si>
  <si>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</si>
  <si>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</si>
  <si>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</si>
  <si>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</si>
  <si>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</si>
  <si>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ALERT2358878</t>
  </si>
  <si>
    <t>Hemeko Usa Inc.</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</si>
  <si>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</si>
  <si>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</si>
  <si>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</si>
  <si>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</si>
  <si>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</si>
  <si>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</si>
  <si>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</si>
  <si>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</si>
  <si>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</si>
  <si>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</si>
  <si>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</si>
  <si>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</si>
  <si>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</si>
  <si>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</si>
  <si>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</si>
  <si>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</si>
  <si>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</si>
  <si>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</si>
  <si>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</si>
  <si>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</si>
  <si>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</si>
  <si>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</si>
  <si>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</si>
  <si>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</si>
  <si>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</si>
  <si>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</si>
  <si>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</si>
  <si>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</si>
  <si>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</si>
  <si>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</si>
  <si>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ALERT2368717</t>
  </si>
  <si>
    <t>Alexandre Peppo Do Nascimento</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</si>
  <si>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</si>
  <si>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</si>
  <si>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</si>
  <si>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</si>
  <si>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</si>
  <si>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</si>
  <si>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</si>
  <si>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</si>
  <si>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</si>
  <si>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</si>
  <si>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</si>
  <si>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</si>
  <si>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</si>
  <si>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</si>
  <si>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</si>
  <si>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</si>
  <si>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</si>
  <si>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</si>
  <si>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</si>
  <si>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</si>
  <si>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</si>
  <si>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</si>
  <si>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</si>
  <si>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</si>
  <si>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</si>
  <si>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</si>
  <si>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</si>
  <si>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</si>
  <si>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</si>
  <si>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</si>
  <si>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</si>
  <si>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</si>
  <si>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</si>
  <si>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</si>
  <si>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</si>
  <si>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</si>
  <si>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</si>
  <si>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</si>
  <si>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ALERT2363979</t>
  </si>
  <si>
    <t>Newton Maia Salomao Alves</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</si>
  <si>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</si>
  <si>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</si>
  <si>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</si>
  <si>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</si>
  <si>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</si>
  <si>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</si>
  <si>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</si>
  <si>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</si>
  <si>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ALERT2361040</t>
  </si>
  <si>
    <t>Alm Ecom LLC</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</si>
  <si>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</si>
  <si>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</si>
  <si>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</si>
  <si>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</si>
  <si>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</si>
  <si>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</si>
  <si>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</si>
  <si>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</si>
  <si>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</si>
  <si>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ALERT2358822</t>
  </si>
  <si>
    <t>Velocitytitan Commerce INC</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</si>
  <si>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</si>
  <si>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</si>
  <si>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</si>
  <si>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</si>
  <si>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</si>
  <si>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</si>
  <si>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</si>
  <si>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</si>
  <si>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</si>
  <si>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</si>
  <si>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</si>
  <si>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</si>
  <si>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</si>
  <si>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</si>
  <si>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</si>
  <si>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</si>
  <si>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</si>
  <si>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</si>
  <si>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ALERT2370284</t>
  </si>
  <si>
    <t>Embertech LTD</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</si>
  <si>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</si>
  <si>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</si>
  <si>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</si>
  <si>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</si>
  <si>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</si>
  <si>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</si>
  <si>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</si>
  <si>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</si>
  <si>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</si>
  <si>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</si>
  <si>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</si>
  <si>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</si>
  <si>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</si>
  <si>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</si>
  <si>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</si>
  <si>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</si>
  <si>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</si>
  <si>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</si>
  <si>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</si>
  <si>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</si>
  <si>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</si>
  <si>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</si>
  <si>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</si>
  <si>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</si>
  <si>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</si>
  <si>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</si>
  <si>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</si>
  <si>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</si>
  <si>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</si>
  <si>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</si>
  <si>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</si>
  <si>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</si>
  <si>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</si>
  <si>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</si>
  <si>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</si>
  <si>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</si>
  <si>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</si>
  <si>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</si>
  <si>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ALERT2362184</t>
  </si>
  <si>
    <t>Arthur Monroe</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</si>
  <si>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</si>
  <si>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</si>
  <si>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</si>
  <si>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</si>
  <si>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</si>
  <si>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</si>
  <si>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</si>
  <si>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</si>
  <si>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</si>
  <si>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ALERT2362241</t>
  </si>
  <si>
    <t>Eric J Chapman</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</si>
  <si>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</si>
  <si>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</si>
  <si>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</si>
  <si>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</si>
  <si>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</si>
  <si>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</si>
  <si>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</si>
  <si>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</si>
  <si>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</si>
  <si>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</si>
  <si>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</si>
  <si>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</si>
  <si>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</si>
  <si>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</si>
  <si>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</si>
  <si>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</si>
  <si>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</si>
  <si>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</si>
  <si>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</si>
  <si>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</si>
  <si>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</si>
  <si>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</si>
  <si>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</si>
  <si>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</si>
  <si>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</si>
  <si>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</si>
  <si>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</si>
  <si>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</si>
  <si>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</si>
  <si>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</si>
  <si>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</si>
  <si>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</si>
  <si>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</si>
  <si>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</si>
  <si>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</si>
  <si>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</si>
  <si>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</si>
  <si>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</si>
  <si>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</si>
  <si>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</si>
  <si>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</si>
  <si>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</si>
  <si>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</si>
  <si>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</si>
  <si>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</si>
  <si>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</si>
  <si>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</si>
  <si>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</si>
  <si>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</si>
  <si>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</si>
  <si>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</si>
  <si>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</si>
  <si>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</si>
  <si>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</si>
  <si>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</si>
  <si>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</si>
  <si>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</si>
  <si>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</si>
  <si>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</si>
  <si>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</si>
  <si>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</si>
  <si>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</si>
  <si>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</si>
  <si>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</si>
  <si>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</si>
  <si>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</si>
  <si>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</si>
  <si>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</si>
  <si>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</si>
  <si>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</si>
  <si>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</si>
  <si>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</si>
  <si>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</si>
  <si>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</si>
  <si>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</si>
  <si>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</si>
  <si>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</si>
  <si>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</si>
  <si>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</si>
  <si>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</si>
  <si>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</si>
  <si>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</si>
  <si>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</si>
  <si>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</si>
  <si>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</si>
  <si>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</si>
  <si>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</si>
  <si>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</si>
  <si>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</si>
  <si>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</si>
  <si>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</si>
  <si>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C:\Users\ssaha\OneDrive - Community Federal Savings Bank\Desktop\138164\138164_ALERT_Combined_Alerted_Transaction.xlsx</t>
  </si>
  <si>
    <t>ALERT2362155</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</si>
  <si>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</si>
  <si>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</si>
  <si>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</si>
  <si>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</si>
  <si>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</si>
  <si>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ALERT2362336</t>
  </si>
  <si>
    <t>Adt INC</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</si>
  <si>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</si>
  <si>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</si>
  <si>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</si>
  <si>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</si>
  <si>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</si>
  <si>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</si>
  <si>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</si>
  <si>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</si>
  <si>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</si>
  <si>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</si>
  <si>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</si>
  <si>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</si>
  <si>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Raphael Carvalho Bernardino</t>
  </si>
  <si>
    <t>Qantas Air</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</si>
  <si>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</si>
  <si>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</si>
  <si>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</si>
  <si>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</si>
  <si>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</si>
  <si>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</si>
  <si>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ALERT2361749</t>
  </si>
  <si>
    <t>Stefan Madach</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</si>
  <si>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</si>
  <si>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</si>
  <si>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</si>
  <si>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</si>
  <si>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</si>
  <si>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</si>
  <si>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</si>
  <si>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</si>
  <si>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</si>
  <si>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</si>
  <si>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</si>
  <si>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</si>
  <si>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</si>
  <si>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</si>
  <si>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</si>
  <si>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</si>
  <si>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</si>
  <si>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</si>
  <si>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</si>
  <si>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</si>
  <si>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</si>
  <si>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</si>
  <si>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</si>
  <si>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</si>
  <si>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</si>
  <si>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</si>
  <si>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</si>
  <si>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</si>
  <si>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</si>
  <si>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</si>
  <si>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</si>
  <si>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</si>
  <si>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</si>
  <si>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</si>
  <si>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</si>
  <si>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</si>
  <si>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</si>
  <si>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ALERT2370466</t>
  </si>
  <si>
    <t>Beyondazure Media</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</si>
  <si>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</si>
  <si>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</si>
  <si>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</si>
  <si>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</si>
  <si>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</si>
  <si>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</si>
  <si>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</si>
  <si>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</si>
  <si>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</si>
  <si>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</si>
  <si>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</si>
  <si>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</si>
  <si>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</si>
  <si>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</si>
  <si>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</si>
  <si>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</si>
  <si>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</si>
  <si>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</si>
  <si>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</si>
  <si>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</si>
  <si>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</si>
  <si>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</si>
  <si>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</si>
  <si>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</si>
  <si>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</si>
  <si>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</si>
  <si>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</si>
  <si>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</si>
  <si>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ALERT2363682</t>
  </si>
  <si>
    <t>The Trustee For Tash Sultana Sour Lemon Trust</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</si>
  <si>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</si>
  <si>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</si>
  <si>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</si>
  <si>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</si>
  <si>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</si>
  <si>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</si>
  <si>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</si>
  <si>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</si>
  <si>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</si>
  <si>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</si>
  <si>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</si>
  <si>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</si>
  <si>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</si>
  <si>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</si>
  <si>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</si>
  <si>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</si>
  <si>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</si>
  <si>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</si>
  <si>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</si>
  <si>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</si>
  <si>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</si>
  <si>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</si>
  <si>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</si>
  <si>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</si>
  <si>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</si>
  <si>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</si>
  <si>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</si>
  <si>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</si>
  <si>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</si>
  <si>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</si>
  <si>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</si>
  <si>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</si>
  <si>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</si>
  <si>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</si>
  <si>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</si>
  <si>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</si>
  <si>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</si>
  <si>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</si>
  <si>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</si>
  <si>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</si>
  <si>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</si>
  <si>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</si>
  <si>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</si>
  <si>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</si>
  <si>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</si>
  <si>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</si>
  <si>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</si>
  <si>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</si>
  <si>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ALERT2369109</t>
  </si>
  <si>
    <t>31 Games Limited</t>
  </si>
  <si>
    <t>Air Smart Advertising Solutions Fz LLC</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</si>
  <si>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</si>
  <si>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</si>
  <si>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</si>
  <si>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</si>
  <si>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</si>
  <si>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</si>
  <si>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</si>
  <si>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</si>
  <si>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</si>
  <si>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</si>
  <si>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</si>
  <si>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</si>
  <si>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</si>
  <si>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</si>
  <si>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</si>
  <si>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</si>
  <si>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</si>
  <si>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</si>
  <si>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</si>
  <si>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</si>
  <si>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</si>
  <si>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</si>
  <si>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</si>
  <si>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</si>
  <si>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</si>
  <si>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</si>
  <si>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</si>
  <si>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</si>
  <si>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</si>
  <si>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</si>
  <si>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</si>
  <si>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</si>
  <si>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</si>
  <si>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</si>
  <si>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</si>
  <si>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</si>
  <si>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</si>
  <si>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</si>
  <si>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</si>
  <si>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</si>
  <si>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</si>
  <si>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ALERT2359594</t>
  </si>
  <si>
    <t>Pieter Danhieux</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</si>
  <si>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</si>
  <si>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</si>
  <si>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</si>
  <si>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</si>
  <si>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</si>
  <si>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</si>
  <si>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</si>
  <si>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</si>
  <si>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</si>
  <si>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</si>
  <si>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</si>
  <si>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</si>
  <si>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</si>
  <si>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</si>
  <si>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</si>
  <si>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</si>
  <si>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</si>
  <si>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</si>
  <si>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ALERT2362588</t>
  </si>
  <si>
    <t>Bondi Moves Pty LTD</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</si>
  <si>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</si>
  <si>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</si>
  <si>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</si>
  <si>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</si>
  <si>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</si>
  <si>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</si>
  <si>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</si>
  <si>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</si>
  <si>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</si>
  <si>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</si>
  <si>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</si>
  <si>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</si>
  <si>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</si>
  <si>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</si>
  <si>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</si>
  <si>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</si>
  <si>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</si>
  <si>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</si>
  <si>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</si>
  <si>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</si>
  <si>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</si>
  <si>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</si>
  <si>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</si>
  <si>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</si>
  <si>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</si>
  <si>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</si>
  <si>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</si>
  <si>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</si>
  <si>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</si>
  <si>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</si>
  <si>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</si>
  <si>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</si>
  <si>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</si>
  <si>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</si>
  <si>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</si>
  <si>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</si>
  <si>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</si>
  <si>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</si>
  <si>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</si>
  <si>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</si>
  <si>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</si>
  <si>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</si>
  <si>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</si>
  <si>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</si>
  <si>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</si>
  <si>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</si>
  <si>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</si>
  <si>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</si>
  <si>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</si>
  <si>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</si>
  <si>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</si>
  <si>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ALERT2362339</t>
  </si>
  <si>
    <t>Medtronic INC</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</si>
  <si>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</si>
  <si>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</si>
  <si>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</si>
  <si>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</si>
  <si>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</si>
  <si>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</si>
  <si>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</si>
  <si>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</si>
  <si>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</si>
  <si>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</si>
  <si>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</si>
  <si>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</si>
  <si>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</si>
  <si>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</si>
  <si>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</si>
  <si>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</si>
  <si>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</si>
  <si>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ALERT2369929</t>
  </si>
  <si>
    <t>Sen Nan Trading Co., Limited</t>
  </si>
  <si>
    <t>C:\Users\ssaha\OneDrive - Community Federal Savings Bank\Desktop\137027</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</si>
  <si>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</si>
  <si>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</si>
  <si>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</si>
  <si>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</si>
  <si>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</si>
  <si>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</si>
  <si>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C:\Users\ssaha\OneDrive - Community Federal Savings Bank\Desktop\137003</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</si>
  <si>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</si>
  <si>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</si>
  <si>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</si>
  <si>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</si>
  <si>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</si>
  <si>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</si>
  <si>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</si>
  <si>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</si>
  <si>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</si>
  <si>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</si>
  <si>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</si>
  <si>
    <t>mode=Visible, entities=1, searches=3, time=2 minute(s) and 42 second(s), captchaFlagged=0</t>
  </si>
  <si>
    <t>Method: Visible | Searches: [Customer (Steeve Tremblay)] Google name; [Customer (Steeve Tremblay)] Negative News page 1; [Customer (Steeve Tremblay)] Negative News page 2</t>
  </si>
  <si>
    <t>$A$1</t>
  </si>
  <si>
    <t>$B$1</t>
  </si>
  <si>
    <t>$C$1</t>
  </si>
  <si>
    <t>$D$1</t>
  </si>
  <si>
    <t>$E$1</t>
  </si>
  <si>
    <t>$F$1</t>
  </si>
  <si>
    <t>$G$1</t>
  </si>
  <si>
    <t>$H$1</t>
  </si>
  <si>
    <t>$I$1</t>
  </si>
  <si>
    <t>$J$1</t>
  </si>
  <si>
    <t>$K$1</t>
  </si>
  <si>
    <t>$L$1</t>
  </si>
  <si>
    <t>$M$1</t>
  </si>
  <si>
    <t>$N$1</t>
  </si>
  <si>
    <t>$O$1</t>
  </si>
  <si>
    <t>$P$1</t>
  </si>
  <si>
    <t>$Q$1</t>
  </si>
  <si>
    <t>$R$1</t>
  </si>
  <si>
    <t>$S$1</t>
  </si>
  <si>
    <t>$T$1</t>
  </si>
  <si>
    <t>$U$1</t>
  </si>
  <si>
    <t>$A$2</t>
  </si>
  <si>
    <t>$B$2</t>
  </si>
  <si>
    <t>$C$2</t>
  </si>
  <si>
    <t>$D$2</t>
  </si>
  <si>
    <t>$E$2</t>
  </si>
  <si>
    <t>$F$2</t>
  </si>
  <si>
    <t>$G$2</t>
  </si>
  <si>
    <t>$H$2</t>
  </si>
  <si>
    <t>$I$2</t>
  </si>
  <si>
    <t>$J$2</t>
  </si>
  <si>
    <t>$K$2</t>
  </si>
  <si>
    <t>$L$2</t>
  </si>
  <si>
    <t>$M$2</t>
  </si>
  <si>
    <t>$N$2</t>
  </si>
  <si>
    <t>$O$2</t>
  </si>
  <si>
    <t>$P$2</t>
  </si>
  <si>
    <t>$Q$2</t>
  </si>
  <si>
    <t>$R$2</t>
  </si>
  <si>
    <t>$S$2</t>
  </si>
  <si>
    <t>$T$2</t>
  </si>
  <si>
    <t>$U$2</t>
  </si>
  <si>
    <t>$A$3</t>
  </si>
  <si>
    <t>$B$3</t>
  </si>
  <si>
    <t>$C$3</t>
  </si>
  <si>
    <t>$D$3</t>
  </si>
  <si>
    <t>$E$3</t>
  </si>
  <si>
    <t>$F$3</t>
  </si>
  <si>
    <t>$G$3</t>
  </si>
  <si>
    <t>$H$3</t>
  </si>
  <si>
    <t>$I$3</t>
  </si>
  <si>
    <t>$J$3</t>
  </si>
  <si>
    <t>$K$3</t>
  </si>
  <si>
    <t>$L$3</t>
  </si>
  <si>
    <t>$M$3</t>
  </si>
  <si>
    <t>$N$3</t>
  </si>
  <si>
    <t>$O$3</t>
  </si>
  <si>
    <t>$P$3</t>
  </si>
  <si>
    <t>$Q$3</t>
  </si>
  <si>
    <t>$R$3</t>
  </si>
  <si>
    <t>$S$3</t>
  </si>
  <si>
    <t>$T$3</t>
  </si>
  <si>
    <t>$U$3</t>
  </si>
  <si>
    <t>$A$4</t>
  </si>
  <si>
    <t>$B$4</t>
  </si>
  <si>
    <t>$C$4</t>
  </si>
  <si>
    <t>$D$4</t>
  </si>
  <si>
    <t>$E$4</t>
  </si>
  <si>
    <t>$F$4</t>
  </si>
  <si>
    <t>$G$4</t>
  </si>
  <si>
    <t>$H$4</t>
  </si>
  <si>
    <t>$I$4</t>
  </si>
  <si>
    <t>$J$4</t>
  </si>
  <si>
    <t>$K$4</t>
  </si>
  <si>
    <t>$L$4</t>
  </si>
  <si>
    <t>$M$4</t>
  </si>
  <si>
    <t>$N$4</t>
  </si>
  <si>
    <t>$O$4</t>
  </si>
  <si>
    <t>$P$4</t>
  </si>
  <si>
    <t>$Q$4</t>
  </si>
  <si>
    <t>$R$4</t>
  </si>
  <si>
    <t>$S$4</t>
  </si>
  <si>
    <t>$T$4</t>
  </si>
  <si>
    <t>$U$4</t>
  </si>
  <si>
    <t>$A$5</t>
  </si>
  <si>
    <t>$B$5</t>
  </si>
  <si>
    <t>$C$5</t>
  </si>
  <si>
    <t>$D$5</t>
  </si>
  <si>
    <t>$E$5</t>
  </si>
  <si>
    <t>$F$5</t>
  </si>
  <si>
    <t>$G$5</t>
  </si>
  <si>
    <t>$H$5</t>
  </si>
  <si>
    <t>$I$5</t>
  </si>
  <si>
    <t>$J$5</t>
  </si>
  <si>
    <t>$K$5</t>
  </si>
  <si>
    <t>$L$5</t>
  </si>
  <si>
    <t>$M$5</t>
  </si>
  <si>
    <t>$N$5</t>
  </si>
  <si>
    <t>$O$5</t>
  </si>
  <si>
    <t>$P$5</t>
  </si>
  <si>
    <t>$Q$5</t>
  </si>
  <si>
    <t>$R$5</t>
  </si>
  <si>
    <t>$S$5</t>
  </si>
  <si>
    <t>$T$5</t>
  </si>
  <si>
    <t>$U$5</t>
  </si>
  <si>
    <t>$A$6</t>
  </si>
  <si>
    <t>$B$6</t>
  </si>
  <si>
    <t>$C$6</t>
  </si>
  <si>
    <t>$D$6</t>
  </si>
  <si>
    <t>$E$6</t>
  </si>
  <si>
    <t>$F$6</t>
  </si>
  <si>
    <t>$G$6</t>
  </si>
  <si>
    <t>$H$6</t>
  </si>
  <si>
    <t>$I$6</t>
  </si>
  <si>
    <t>$J$6</t>
  </si>
  <si>
    <t>$K$6</t>
  </si>
  <si>
    <t>$L$6</t>
  </si>
  <si>
    <t>$M$6</t>
  </si>
  <si>
    <t>$N$6</t>
  </si>
  <si>
    <t>$O$6</t>
  </si>
  <si>
    <t>$P$6</t>
  </si>
  <si>
    <t>$Q$6</t>
  </si>
  <si>
    <t>$R$6</t>
  </si>
  <si>
    <t>$S$6</t>
  </si>
  <si>
    <t>$T$6</t>
  </si>
  <si>
    <t>$U$6</t>
  </si>
  <si>
    <t>$A$7</t>
  </si>
  <si>
    <t>$B$7</t>
  </si>
  <si>
    <t>$C$7</t>
  </si>
  <si>
    <t>$D$7</t>
  </si>
  <si>
    <t>$E$7</t>
  </si>
  <si>
    <t>$F$7</t>
  </si>
  <si>
    <t>$G$7</t>
  </si>
  <si>
    <t>$H$7</t>
  </si>
  <si>
    <t>$I$7</t>
  </si>
  <si>
    <t>$J$7</t>
  </si>
  <si>
    <t>$K$7</t>
  </si>
  <si>
    <t>$L$7</t>
  </si>
  <si>
    <t>$M$7</t>
  </si>
  <si>
    <t>$N$7</t>
  </si>
  <si>
    <t>$O$7</t>
  </si>
  <si>
    <t>$P$7</t>
  </si>
  <si>
    <t>$Q$7</t>
  </si>
  <si>
    <t>$R$7</t>
  </si>
  <si>
    <t>$S$7</t>
  </si>
  <si>
    <t>$T$7</t>
  </si>
  <si>
    <t>$U$7</t>
  </si>
  <si>
    <t>$A$8</t>
  </si>
  <si>
    <t>$B$8</t>
  </si>
  <si>
    <t>$C$8</t>
  </si>
  <si>
    <t>$D$8</t>
  </si>
  <si>
    <t>$E$8</t>
  </si>
  <si>
    <t>$F$8</t>
  </si>
  <si>
    <t>$G$8</t>
  </si>
  <si>
    <t>$H$8</t>
  </si>
  <si>
    <t>$I$8</t>
  </si>
  <si>
    <t>$J$8</t>
  </si>
  <si>
    <t>$K$8</t>
  </si>
  <si>
    <t>$L$8</t>
  </si>
  <si>
    <t>$M$8</t>
  </si>
  <si>
    <t>$N$8</t>
  </si>
  <si>
    <t>$O$8</t>
  </si>
  <si>
    <t>$P$8</t>
  </si>
  <si>
    <t>$Q$8</t>
  </si>
  <si>
    <t>$R$8</t>
  </si>
  <si>
    <t>$S$8</t>
  </si>
  <si>
    <t>$T$8</t>
  </si>
  <si>
    <t>$U$8</t>
  </si>
  <si>
    <t>$A$9</t>
  </si>
  <si>
    <t>$B$9</t>
  </si>
  <si>
    <t>$C$9</t>
  </si>
  <si>
    <t>$D$9</t>
  </si>
  <si>
    <t>$E$9</t>
  </si>
  <si>
    <t>$F$9</t>
  </si>
  <si>
    <t>$G$9</t>
  </si>
  <si>
    <t>$H$9</t>
  </si>
  <si>
    <t>$I$9</t>
  </si>
  <si>
    <t>$J$9</t>
  </si>
  <si>
    <t>$K$9</t>
  </si>
  <si>
    <t>$L$9</t>
  </si>
  <si>
    <t>$M$9</t>
  </si>
  <si>
    <t>$N$9</t>
  </si>
  <si>
    <t>$O$9</t>
  </si>
  <si>
    <t>$P$9</t>
  </si>
  <si>
    <t>$Q$9</t>
  </si>
  <si>
    <t>$R$9</t>
  </si>
  <si>
    <t>$S$9</t>
  </si>
  <si>
    <t>$T$9</t>
  </si>
  <si>
    <t>$U$9</t>
  </si>
  <si>
    <t>$A$10</t>
  </si>
  <si>
    <t>$B$10</t>
  </si>
  <si>
    <t>$C$10</t>
  </si>
  <si>
    <t>$D$10</t>
  </si>
  <si>
    <t>$E$10</t>
  </si>
  <si>
    <t>$F$10</t>
  </si>
  <si>
    <t>$G$10</t>
  </si>
  <si>
    <t>$H$10</t>
  </si>
  <si>
    <t>$I$10</t>
  </si>
  <si>
    <t>$J$10</t>
  </si>
  <si>
    <t>$K$10</t>
  </si>
  <si>
    <t>$L$10</t>
  </si>
  <si>
    <t>$M$10</t>
  </si>
  <si>
    <t>$N$10</t>
  </si>
  <si>
    <t>$O$10</t>
  </si>
  <si>
    <t>$P$10</t>
  </si>
  <si>
    <t>$Q$10</t>
  </si>
  <si>
    <t>$R$10</t>
  </si>
  <si>
    <t>$S$10</t>
  </si>
  <si>
    <t>$T$10</t>
  </si>
  <si>
    <t>$U$10</t>
  </si>
  <si>
    <t>$A$11</t>
  </si>
  <si>
    <t>$B$11</t>
  </si>
  <si>
    <t>$C$11</t>
  </si>
  <si>
    <t>$D$11</t>
  </si>
  <si>
    <t>$E$11</t>
  </si>
  <si>
    <t>$F$11</t>
  </si>
  <si>
    <t>$G$11</t>
  </si>
  <si>
    <t>$H$11</t>
  </si>
  <si>
    <t>$I$11</t>
  </si>
  <si>
    <t>$J$11</t>
  </si>
  <si>
    <t>$K$11</t>
  </si>
  <si>
    <t>$L$11</t>
  </si>
  <si>
    <t>$M$11</t>
  </si>
  <si>
    <t>$N$11</t>
  </si>
  <si>
    <t>$O$11</t>
  </si>
  <si>
    <t>$P$11</t>
  </si>
  <si>
    <t>$Q$11</t>
  </si>
  <si>
    <t>$R$11</t>
  </si>
  <si>
    <t>$S$11</t>
  </si>
  <si>
    <t>$T$11</t>
  </si>
  <si>
    <t>$U$11</t>
  </si>
  <si>
    <t>$A$12</t>
  </si>
  <si>
    <t>$B$12</t>
  </si>
  <si>
    <t>$C$12</t>
  </si>
  <si>
    <t>$D$12</t>
  </si>
  <si>
    <t>$E$12</t>
  </si>
  <si>
    <t>$F$12</t>
  </si>
  <si>
    <t>$G$12</t>
  </si>
  <si>
    <t>$H$12</t>
  </si>
  <si>
    <t>$I$12</t>
  </si>
  <si>
    <t>$J$12</t>
  </si>
  <si>
    <t>$K$12</t>
  </si>
  <si>
    <t>$L$12</t>
  </si>
  <si>
    <t>$M$12</t>
  </si>
  <si>
    <t>$N$12</t>
  </si>
  <si>
    <t>$O$12</t>
  </si>
  <si>
    <t>$P$12</t>
  </si>
  <si>
    <t>$Q$12</t>
  </si>
  <si>
    <t>$R$12</t>
  </si>
  <si>
    <t>$S$12</t>
  </si>
  <si>
    <t>$T$12</t>
  </si>
  <si>
    <t>$U$12</t>
  </si>
  <si>
    <t>$A$13</t>
  </si>
  <si>
    <t>$B$13</t>
  </si>
  <si>
    <t>$C$13</t>
  </si>
  <si>
    <t>$D$13</t>
  </si>
  <si>
    <t>$E$13</t>
  </si>
  <si>
    <t>$F$13</t>
  </si>
  <si>
    <t>$G$13</t>
  </si>
  <si>
    <t>$H$13</t>
  </si>
  <si>
    <t>$I$13</t>
  </si>
  <si>
    <t>$J$13</t>
  </si>
  <si>
    <t>$K$13</t>
  </si>
  <si>
    <t>$L$13</t>
  </si>
  <si>
    <t>$M$13</t>
  </si>
  <si>
    <t>$N$13</t>
  </si>
  <si>
    <t>$O$13</t>
  </si>
  <si>
    <t>$P$13</t>
  </si>
  <si>
    <t>$Q$13</t>
  </si>
  <si>
    <t>$R$13</t>
  </si>
  <si>
    <t>$S$13</t>
  </si>
  <si>
    <t>$T$13</t>
  </si>
  <si>
    <t>$U$13</t>
  </si>
  <si>
    <t>$A$14</t>
  </si>
  <si>
    <t>$B$14</t>
  </si>
  <si>
    <t>$C$14</t>
  </si>
  <si>
    <t>$D$14</t>
  </si>
  <si>
    <t>$E$14</t>
  </si>
  <si>
    <t>$F$14</t>
  </si>
  <si>
    <t>$G$14</t>
  </si>
  <si>
    <t>$H$14</t>
  </si>
  <si>
    <t>$I$14</t>
  </si>
  <si>
    <t>$J$14</t>
  </si>
  <si>
    <t>$K$14</t>
  </si>
  <si>
    <t>$L$14</t>
  </si>
  <si>
    <t>$M$14</t>
  </si>
  <si>
    <t>$N$14</t>
  </si>
  <si>
    <t>$O$14</t>
  </si>
  <si>
    <t>$P$14</t>
  </si>
  <si>
    <t>$Q$14</t>
  </si>
  <si>
    <t>$R$14</t>
  </si>
  <si>
    <t>$S$14</t>
  </si>
  <si>
    <t>$T$14</t>
  </si>
  <si>
    <t>$U$14</t>
  </si>
  <si>
    <t>$A$15</t>
  </si>
  <si>
    <t>$B$15</t>
  </si>
  <si>
    <t>$C$15</t>
  </si>
  <si>
    <t>$D$15</t>
  </si>
  <si>
    <t>$E$15</t>
  </si>
  <si>
    <t>$F$15</t>
  </si>
  <si>
    <t>$G$15</t>
  </si>
  <si>
    <t>$H$15</t>
  </si>
  <si>
    <t>$I$15</t>
  </si>
  <si>
    <t>$J$15</t>
  </si>
  <si>
    <t>$K$15</t>
  </si>
  <si>
    <t>$L$15</t>
  </si>
  <si>
    <t>$M$15</t>
  </si>
  <si>
    <t>$N$15</t>
  </si>
  <si>
    <t>$O$15</t>
  </si>
  <si>
    <t>$P$15</t>
  </si>
  <si>
    <t>$Q$15</t>
  </si>
  <si>
    <t>$R$15</t>
  </si>
  <si>
    <t>$S$15</t>
  </si>
  <si>
    <t>$T$15</t>
  </si>
  <si>
    <t>$U$15</t>
  </si>
  <si>
    <t>$A$16</t>
  </si>
  <si>
    <t>$B$16</t>
  </si>
  <si>
    <t>$C$16</t>
  </si>
  <si>
    <t>$D$16</t>
  </si>
  <si>
    <t>$E$16</t>
  </si>
  <si>
    <t>$F$16</t>
  </si>
  <si>
    <t>$G$16</t>
  </si>
  <si>
    <t>$H$16</t>
  </si>
  <si>
    <t>$I$16</t>
  </si>
  <si>
    <t>$J$16</t>
  </si>
  <si>
    <t>$K$16</t>
  </si>
  <si>
    <t>$L$16</t>
  </si>
  <si>
    <t>$M$16</t>
  </si>
  <si>
    <t>$N$16</t>
  </si>
  <si>
    <t>$O$16</t>
  </si>
  <si>
    <t>$P$16</t>
  </si>
  <si>
    <t>$Q$16</t>
  </si>
  <si>
    <t>$R$16</t>
  </si>
  <si>
    <t>$S$16</t>
  </si>
  <si>
    <t>$T$16</t>
  </si>
  <si>
    <t>$U$16</t>
  </si>
  <si>
    <t>$A$17</t>
  </si>
  <si>
    <t>$B$17</t>
  </si>
  <si>
    <t>$C$17</t>
  </si>
  <si>
    <t>$D$17</t>
  </si>
  <si>
    <t>$E$17</t>
  </si>
  <si>
    <t>$F$17</t>
  </si>
  <si>
    <t>$G$17</t>
  </si>
  <si>
    <t>$H$17</t>
  </si>
  <si>
    <t>$I$17</t>
  </si>
  <si>
    <t>$J$17</t>
  </si>
  <si>
    <t>$K$17</t>
  </si>
  <si>
    <t>$L$17</t>
  </si>
  <si>
    <t>$M$17</t>
  </si>
  <si>
    <t>$N$17</t>
  </si>
  <si>
    <t>$O$17</t>
  </si>
  <si>
    <t>$P$17</t>
  </si>
  <si>
    <t>$Q$17</t>
  </si>
  <si>
    <t>$R$17</t>
  </si>
  <si>
    <t>$S$17</t>
  </si>
  <si>
    <t>$T$17</t>
  </si>
  <si>
    <t>$U$17</t>
  </si>
  <si>
    <t>$A$18</t>
  </si>
  <si>
    <t>$B$18</t>
  </si>
  <si>
    <t>$C$18</t>
  </si>
  <si>
    <t>$D$18</t>
  </si>
  <si>
    <t>$E$18</t>
  </si>
  <si>
    <t>$F$18</t>
  </si>
  <si>
    <t>$G$18</t>
  </si>
  <si>
    <t>$H$18</t>
  </si>
  <si>
    <t>$I$18</t>
  </si>
  <si>
    <t>$J$18</t>
  </si>
  <si>
    <t>$K$18</t>
  </si>
  <si>
    <t>$L$18</t>
  </si>
  <si>
    <t>$M$18</t>
  </si>
  <si>
    <t>$N$18</t>
  </si>
  <si>
    <t>$O$18</t>
  </si>
  <si>
    <t>$P$18</t>
  </si>
  <si>
    <t>$Q$18</t>
  </si>
  <si>
    <t>$R$18</t>
  </si>
  <si>
    <t>$S$18</t>
  </si>
  <si>
    <t>$T$18</t>
  </si>
  <si>
    <t>$U$18</t>
  </si>
  <si>
    <t>$A$19</t>
  </si>
  <si>
    <t>$B$19</t>
  </si>
  <si>
    <t>$C$19</t>
  </si>
  <si>
    <t>$D$19</t>
  </si>
  <si>
    <t>$E$19</t>
  </si>
  <si>
    <t>$F$19</t>
  </si>
  <si>
    <t>$G$19</t>
  </si>
  <si>
    <t>$H$19</t>
  </si>
  <si>
    <t>$I$19</t>
  </si>
  <si>
    <t>$J$19</t>
  </si>
  <si>
    <t>$K$19</t>
  </si>
  <si>
    <t>$L$19</t>
  </si>
  <si>
    <t>$M$19</t>
  </si>
  <si>
    <t>$N$19</t>
  </si>
  <si>
    <t>$O$19</t>
  </si>
  <si>
    <t>$P$19</t>
  </si>
  <si>
    <t>$Q$19</t>
  </si>
  <si>
    <t>$R$19</t>
  </si>
  <si>
    <t>$S$19</t>
  </si>
  <si>
    <t>$T$19</t>
  </si>
  <si>
    <t>$U$19</t>
  </si>
  <si>
    <t>$A$20</t>
  </si>
  <si>
    <t>$B$20</t>
  </si>
  <si>
    <t>$C$20</t>
  </si>
  <si>
    <t>$D$20</t>
  </si>
  <si>
    <t>$E$20</t>
  </si>
  <si>
    <t>$F$20</t>
  </si>
  <si>
    <t>$G$20</t>
  </si>
  <si>
    <t>$H$20</t>
  </si>
  <si>
    <t>$I$20</t>
  </si>
  <si>
    <t>$J$20</t>
  </si>
  <si>
    <t>$K$20</t>
  </si>
  <si>
    <t>$L$20</t>
  </si>
  <si>
    <t>$M$20</t>
  </si>
  <si>
    <t>$N$20</t>
  </si>
  <si>
    <t>$O$20</t>
  </si>
  <si>
    <t>$P$20</t>
  </si>
  <si>
    <t>$Q$20</t>
  </si>
  <si>
    <t>$R$20</t>
  </si>
  <si>
    <t>$S$20</t>
  </si>
  <si>
    <t>$T$20</t>
  </si>
  <si>
    <t>$U$20</t>
  </si>
  <si>
    <t>$A$21</t>
  </si>
  <si>
    <t>$B$21</t>
  </si>
  <si>
    <t>$C$21</t>
  </si>
  <si>
    <t>$D$21</t>
  </si>
  <si>
    <t>$E$21</t>
  </si>
  <si>
    <t>$F$21</t>
  </si>
  <si>
    <t>$G$21</t>
  </si>
  <si>
    <t>$H$21</t>
  </si>
  <si>
    <t>$I$21</t>
  </si>
  <si>
    <t>$J$21</t>
  </si>
  <si>
    <t>$K$21</t>
  </si>
  <si>
    <t>$L$21</t>
  </si>
  <si>
    <t>$M$21</t>
  </si>
  <si>
    <t>$N$21</t>
  </si>
  <si>
    <t>$O$21</t>
  </si>
  <si>
    <t>$P$21</t>
  </si>
  <si>
    <t>$Q$21</t>
  </si>
  <si>
    <t>$R$21</t>
  </si>
  <si>
    <t>$S$21</t>
  </si>
  <si>
    <t>$T$21</t>
  </si>
  <si>
    <t>$U$21</t>
  </si>
  <si>
    <t>$A$22</t>
  </si>
  <si>
    <t>$B$22</t>
  </si>
  <si>
    <t>$C$22</t>
  </si>
  <si>
    <t>$D$22</t>
  </si>
  <si>
    <t>$E$22</t>
  </si>
  <si>
    <t>$F$22</t>
  </si>
  <si>
    <t>$G$22</t>
  </si>
  <si>
    <t>$H$22</t>
  </si>
  <si>
    <t>$I$22</t>
  </si>
  <si>
    <t>$J$22</t>
  </si>
  <si>
    <t>$K$22</t>
  </si>
  <si>
    <t>$L$22</t>
  </si>
  <si>
    <t>$M$22</t>
  </si>
  <si>
    <t>$N$22</t>
  </si>
  <si>
    <t>$O$22</t>
  </si>
  <si>
    <t>$P$22</t>
  </si>
  <si>
    <t>$Q$22</t>
  </si>
  <si>
    <t>$R$22</t>
  </si>
  <si>
    <t>$S$22</t>
  </si>
  <si>
    <t>$T$22</t>
  </si>
  <si>
    <t>$U$22</t>
  </si>
  <si>
    <t>$A$23</t>
  </si>
  <si>
    <t>$B$23</t>
  </si>
  <si>
    <t>$C$23</t>
  </si>
  <si>
    <t>$D$23</t>
  </si>
  <si>
    <t>$E$23</t>
  </si>
  <si>
    <t>$F$23</t>
  </si>
  <si>
    <t>$G$23</t>
  </si>
  <si>
    <t>$H$23</t>
  </si>
  <si>
    <t>$I$23</t>
  </si>
  <si>
    <t>$J$23</t>
  </si>
  <si>
    <t>$K$23</t>
  </si>
  <si>
    <t>$L$23</t>
  </si>
  <si>
    <t>$M$23</t>
  </si>
  <si>
    <t>$N$23</t>
  </si>
  <si>
    <t>$O$23</t>
  </si>
  <si>
    <t>$P$23</t>
  </si>
  <si>
    <t>$Q$23</t>
  </si>
  <si>
    <t>$R$23</t>
  </si>
  <si>
    <t>$S$23</t>
  </si>
  <si>
    <t>$T$23</t>
  </si>
  <si>
    <t>$U$23</t>
  </si>
  <si>
    <t>$A$24</t>
  </si>
  <si>
    <t>$B$24</t>
  </si>
  <si>
    <t>$C$24</t>
  </si>
  <si>
    <t>$D$24</t>
  </si>
  <si>
    <t>$E$24</t>
  </si>
  <si>
    <t>$F$24</t>
  </si>
  <si>
    <t>$G$24</t>
  </si>
  <si>
    <t>$H$24</t>
  </si>
  <si>
    <t>$I$24</t>
  </si>
  <si>
    <t>$J$24</t>
  </si>
  <si>
    <t>$K$24</t>
  </si>
  <si>
    <t>$L$24</t>
  </si>
  <si>
    <t>$M$24</t>
  </si>
  <si>
    <t>$N$24</t>
  </si>
  <si>
    <t>$O$24</t>
  </si>
  <si>
    <t>$P$24</t>
  </si>
  <si>
    <t>$Q$24</t>
  </si>
  <si>
    <t>$R$24</t>
  </si>
  <si>
    <t>$S$24</t>
  </si>
  <si>
    <t>$T$24</t>
  </si>
  <si>
    <t>$U$24</t>
  </si>
  <si>
    <t>$A$25</t>
  </si>
  <si>
    <t>$B$25</t>
  </si>
  <si>
    <t>$C$25</t>
  </si>
  <si>
    <t>$D$25</t>
  </si>
  <si>
    <t>$E$25</t>
  </si>
  <si>
    <t>$F$25</t>
  </si>
  <si>
    <t>$G$25</t>
  </si>
  <si>
    <t>$H$25</t>
  </si>
  <si>
    <t>$I$25</t>
  </si>
  <si>
    <t>$J$25</t>
  </si>
  <si>
    <t>$K$25</t>
  </si>
  <si>
    <t>$L$25</t>
  </si>
  <si>
    <t>$M$25</t>
  </si>
  <si>
    <t>$N$25</t>
  </si>
  <si>
    <t>$O$25</t>
  </si>
  <si>
    <t>$P$25</t>
  </si>
  <si>
    <t>$Q$25</t>
  </si>
  <si>
    <t>$R$25</t>
  </si>
  <si>
    <t>$S$25</t>
  </si>
  <si>
    <t>$T$25</t>
  </si>
  <si>
    <t>$U$25</t>
  </si>
  <si>
    <t>$A$26</t>
  </si>
  <si>
    <t>$B$26</t>
  </si>
  <si>
    <t>$C$26</t>
  </si>
  <si>
    <t>$D$26</t>
  </si>
  <si>
    <t>$E$26</t>
  </si>
  <si>
    <t>$F$26</t>
  </si>
  <si>
    <t>$G$26</t>
  </si>
  <si>
    <t>$H$26</t>
  </si>
  <si>
    <t>$I$26</t>
  </si>
  <si>
    <t>$J$26</t>
  </si>
  <si>
    <t>$K$26</t>
  </si>
  <si>
    <t>$L$26</t>
  </si>
  <si>
    <t>$M$26</t>
  </si>
  <si>
    <t>$N$26</t>
  </si>
  <si>
    <t>$O$26</t>
  </si>
  <si>
    <t>$P$26</t>
  </si>
  <si>
    <t>$Q$26</t>
  </si>
  <si>
    <t>$R$26</t>
  </si>
  <si>
    <t>$S$26</t>
  </si>
  <si>
    <t>$T$26</t>
  </si>
  <si>
    <t>$U$26</t>
  </si>
  <si>
    <t>$A$27</t>
  </si>
  <si>
    <t>$B$27</t>
  </si>
  <si>
    <t>$C$27</t>
  </si>
  <si>
    <t>$D$27</t>
  </si>
  <si>
    <t>$E$27</t>
  </si>
  <si>
    <t>$F$27</t>
  </si>
  <si>
    <t>$G$27</t>
  </si>
  <si>
    <t>$H$27</t>
  </si>
  <si>
    <t>$I$27</t>
  </si>
  <si>
    <t>$J$27</t>
  </si>
  <si>
    <t>$K$27</t>
  </si>
  <si>
    <t>$L$27</t>
  </si>
  <si>
    <t>$M$27</t>
  </si>
  <si>
    <t>$N$27</t>
  </si>
  <si>
    <t>$O$27</t>
  </si>
  <si>
    <t>$P$27</t>
  </si>
  <si>
    <t>$Q$27</t>
  </si>
  <si>
    <t>$R$27</t>
  </si>
  <si>
    <t>$S$27</t>
  </si>
  <si>
    <t>$T$27</t>
  </si>
  <si>
    <t>$U$27</t>
  </si>
  <si>
    <t>$A$28</t>
  </si>
  <si>
    <t>$B$28</t>
  </si>
  <si>
    <t>$C$28</t>
  </si>
  <si>
    <t>$D$28</t>
  </si>
  <si>
    <t>$E$28</t>
  </si>
  <si>
    <t>$F$28</t>
  </si>
  <si>
    <t>$G$28</t>
  </si>
  <si>
    <t>$H$28</t>
  </si>
  <si>
    <t>$I$28</t>
  </si>
  <si>
    <t>$J$28</t>
  </si>
  <si>
    <t>$K$28</t>
  </si>
  <si>
    <t>$L$28</t>
  </si>
  <si>
    <t>$M$28</t>
  </si>
  <si>
    <t>$N$28</t>
  </si>
  <si>
    <t>$O$28</t>
  </si>
  <si>
    <t>$P$28</t>
  </si>
  <si>
    <t>$Q$28</t>
  </si>
  <si>
    <t>$R$28</t>
  </si>
  <si>
    <t>$S$28</t>
  </si>
  <si>
    <t>$T$28</t>
  </si>
  <si>
    <t>$U$28</t>
  </si>
  <si>
    <t>$A$29</t>
  </si>
  <si>
    <t>$B$29</t>
  </si>
  <si>
    <t>$C$29</t>
  </si>
  <si>
    <t>$D$29</t>
  </si>
  <si>
    <t>$E$29</t>
  </si>
  <si>
    <t>$F$29</t>
  </si>
  <si>
    <t>$G$29</t>
  </si>
  <si>
    <t>$H$29</t>
  </si>
  <si>
    <t>$I$29</t>
  </si>
  <si>
    <t>$J$29</t>
  </si>
  <si>
    <t>$K$29</t>
  </si>
  <si>
    <t>$L$29</t>
  </si>
  <si>
    <t>$M$29</t>
  </si>
  <si>
    <t>$N$29</t>
  </si>
  <si>
    <t>$O$29</t>
  </si>
  <si>
    <t>$P$29</t>
  </si>
  <si>
    <t>$Q$29</t>
  </si>
  <si>
    <t>$R$29</t>
  </si>
  <si>
    <t>$S$29</t>
  </si>
  <si>
    <t>$T$29</t>
  </si>
  <si>
    <t>$U$29</t>
  </si>
  <si>
    <t>$V$1</t>
  </si>
  <si>
    <t>$W$1</t>
  </si>
  <si>
    <t>$X$1</t>
  </si>
  <si>
    <t>$Y$1</t>
  </si>
  <si>
    <t>$Z$1</t>
  </si>
  <si>
    <t>$AA$1</t>
  </si>
  <si>
    <t>$AB$1</t>
  </si>
  <si>
    <t>$AC$1</t>
  </si>
  <si>
    <t>$V$2</t>
  </si>
  <si>
    <t>$W$2</t>
  </si>
  <si>
    <t>$X$2</t>
  </si>
  <si>
    <t>$Y$2</t>
  </si>
  <si>
    <t>$Z$2</t>
  </si>
  <si>
    <t>$AA$2</t>
  </si>
  <si>
    <t>$AB$2</t>
  </si>
  <si>
    <t>$AC$2</t>
  </si>
  <si>
    <t>$V$3</t>
  </si>
  <si>
    <t>$W$3</t>
  </si>
  <si>
    <t>$X$3</t>
  </si>
  <si>
    <t>$Y$3</t>
  </si>
  <si>
    <t>$Z$3</t>
  </si>
  <si>
    <t>$AA$3</t>
  </si>
  <si>
    <t>$AB$3</t>
  </si>
  <si>
    <t>$AC$3</t>
  </si>
  <si>
    <t>$V$4</t>
  </si>
  <si>
    <t>$W$4</t>
  </si>
  <si>
    <t>$X$4</t>
  </si>
  <si>
    <t>$Y$4</t>
  </si>
  <si>
    <t>$Z$4</t>
  </si>
  <si>
    <t>$AA$4</t>
  </si>
  <si>
    <t>$AB$4</t>
  </si>
  <si>
    <t>$AC$4</t>
  </si>
  <si>
    <t>$V$5</t>
  </si>
  <si>
    <t>$W$5</t>
  </si>
  <si>
    <t>$X$5</t>
  </si>
  <si>
    <t>$Y$5</t>
  </si>
  <si>
    <t>$Z$5</t>
  </si>
  <si>
    <t>$AA$5</t>
  </si>
  <si>
    <t>$AB$5</t>
  </si>
  <si>
    <t>$AC$5</t>
  </si>
  <si>
    <t>$V$6</t>
  </si>
  <si>
    <t>$W$6</t>
  </si>
  <si>
    <t>$X$6</t>
  </si>
  <si>
    <t>$Y$6</t>
  </si>
  <si>
    <t>$Z$6</t>
  </si>
  <si>
    <t>$AA$6</t>
  </si>
  <si>
    <t>$AB$6</t>
  </si>
  <si>
    <t>$AC$6</t>
  </si>
  <si>
    <t>$V$7</t>
  </si>
  <si>
    <t>$W$7</t>
  </si>
  <si>
    <t>$X$7</t>
  </si>
  <si>
    <t>$Y$7</t>
  </si>
  <si>
    <t>$Z$7</t>
  </si>
  <si>
    <t>$AA$7</t>
  </si>
  <si>
    <t>$AB$7</t>
  </si>
  <si>
    <t>$AC$7</t>
  </si>
  <si>
    <t>$V$8</t>
  </si>
  <si>
    <t>$W$8</t>
  </si>
  <si>
    <t>$X$8</t>
  </si>
  <si>
    <t>$Y$8</t>
  </si>
  <si>
    <t>$Z$8</t>
  </si>
  <si>
    <t>$AA$8</t>
  </si>
  <si>
    <t>$AB$8</t>
  </si>
  <si>
    <t>$AC$8</t>
  </si>
  <si>
    <t>$V$9</t>
  </si>
  <si>
    <t>$W$9</t>
  </si>
  <si>
    <t>$X$9</t>
  </si>
  <si>
    <t>$Y$9</t>
  </si>
  <si>
    <t>$Z$9</t>
  </si>
  <si>
    <t>$AA$9</t>
  </si>
  <si>
    <t>$AB$9</t>
  </si>
  <si>
    <t>$AC$9</t>
  </si>
  <si>
    <t>$V$10</t>
  </si>
  <si>
    <t>$W$10</t>
  </si>
  <si>
    <t>$X$10</t>
  </si>
  <si>
    <t>$Y$10</t>
  </si>
  <si>
    <t>$Z$10</t>
  </si>
  <si>
    <t>$AA$10</t>
  </si>
  <si>
    <t>$AB$10</t>
  </si>
  <si>
    <t>$AC$10</t>
  </si>
  <si>
    <t>$V$11</t>
  </si>
  <si>
    <t>$W$11</t>
  </si>
  <si>
    <t>$X$11</t>
  </si>
  <si>
    <t>$Y$11</t>
  </si>
  <si>
    <t>$Z$11</t>
  </si>
  <si>
    <t>$AA$11</t>
  </si>
  <si>
    <t>$AB$11</t>
  </si>
  <si>
    <t>$AC$11</t>
  </si>
  <si>
    <t>$V$12</t>
  </si>
  <si>
    <t>$W$12</t>
  </si>
  <si>
    <t>$X$12</t>
  </si>
  <si>
    <t>$Y$12</t>
  </si>
  <si>
    <t>$Z$12</t>
  </si>
  <si>
    <t>$AA$12</t>
  </si>
  <si>
    <t>$AB$12</t>
  </si>
  <si>
    <t>$AC$12</t>
  </si>
  <si>
    <t>$V$13</t>
  </si>
  <si>
    <t>$W$13</t>
  </si>
  <si>
    <t>$X$13</t>
  </si>
  <si>
    <t>$Y$13</t>
  </si>
  <si>
    <t>$Z$13</t>
  </si>
  <si>
    <t>$AA$13</t>
  </si>
  <si>
    <t>$AB$13</t>
  </si>
  <si>
    <t>$AC$13</t>
  </si>
  <si>
    <t>$V$14</t>
  </si>
  <si>
    <t>$W$14</t>
  </si>
  <si>
    <t>$X$14</t>
  </si>
  <si>
    <t>$Y$14</t>
  </si>
  <si>
    <t>$Z$14</t>
  </si>
  <si>
    <t>$AA$14</t>
  </si>
  <si>
    <t>$AB$14</t>
  </si>
  <si>
    <t>$AC$14</t>
  </si>
  <si>
    <t>$V$15</t>
  </si>
  <si>
    <t>$W$15</t>
  </si>
  <si>
    <t>$X$15</t>
  </si>
  <si>
    <t>$Y$15</t>
  </si>
  <si>
    <t>$Z$15</t>
  </si>
  <si>
    <t>$AA$15</t>
  </si>
  <si>
    <t>$AB$15</t>
  </si>
  <si>
    <t>$AC$15</t>
  </si>
  <si>
    <t>$V$16</t>
  </si>
  <si>
    <t>$W$16</t>
  </si>
  <si>
    <t>$X$16</t>
  </si>
  <si>
    <t>$Y$16</t>
  </si>
  <si>
    <t>$Z$16</t>
  </si>
  <si>
    <t>$AA$16</t>
  </si>
  <si>
    <t>$AB$16</t>
  </si>
  <si>
    <t>$AC$16</t>
  </si>
  <si>
    <t>$V$17</t>
  </si>
  <si>
    <t>$W$17</t>
  </si>
  <si>
    <t>$X$17</t>
  </si>
  <si>
    <t>$Y$17</t>
  </si>
  <si>
    <t>$Z$17</t>
  </si>
  <si>
    <t>$AA$17</t>
  </si>
  <si>
    <t>$AB$17</t>
  </si>
  <si>
    <t>$AC$17</t>
  </si>
  <si>
    <t>$V$18</t>
  </si>
  <si>
    <t>$W$18</t>
  </si>
  <si>
    <t>$X$18</t>
  </si>
  <si>
    <t>$Y$18</t>
  </si>
  <si>
    <t>$Z$18</t>
  </si>
  <si>
    <t>$AA$18</t>
  </si>
  <si>
    <t>$AB$18</t>
  </si>
  <si>
    <t>$AC$18</t>
  </si>
  <si>
    <t>$V$19</t>
  </si>
  <si>
    <t>$W$19</t>
  </si>
  <si>
    <t>$X$19</t>
  </si>
  <si>
    <t>$Y$19</t>
  </si>
  <si>
    <t>$Z$19</t>
  </si>
  <si>
    <t>$AA$19</t>
  </si>
  <si>
    <t>$AB$19</t>
  </si>
  <si>
    <t>$AC$19</t>
  </si>
  <si>
    <t>$V$20</t>
  </si>
  <si>
    <t>$W$20</t>
  </si>
  <si>
    <t>$X$20</t>
  </si>
  <si>
    <t>$Y$20</t>
  </si>
  <si>
    <t>$Z$20</t>
  </si>
  <si>
    <t>$AA$20</t>
  </si>
  <si>
    <t>$AB$20</t>
  </si>
  <si>
    <t>$AC$20</t>
  </si>
  <si>
    <t>$V$21</t>
  </si>
  <si>
    <t>$W$21</t>
  </si>
  <si>
    <t>$X$21</t>
  </si>
  <si>
    <t>$Y$21</t>
  </si>
  <si>
    <t>$Z$21</t>
  </si>
  <si>
    <t>$AA$21</t>
  </si>
  <si>
    <t>$AB$21</t>
  </si>
  <si>
    <t>$AC$21</t>
  </si>
  <si>
    <t>$V$22</t>
  </si>
  <si>
    <t>$W$22</t>
  </si>
  <si>
    <t>$X$22</t>
  </si>
  <si>
    <t>$Y$22</t>
  </si>
  <si>
    <t>$Z$22</t>
  </si>
  <si>
    <t>$AA$22</t>
  </si>
  <si>
    <t>$AB$22</t>
  </si>
  <si>
    <t>$AC$22</t>
  </si>
  <si>
    <t>$V$23</t>
  </si>
  <si>
    <t>$W$23</t>
  </si>
  <si>
    <t>$X$23</t>
  </si>
  <si>
    <t>$Y$23</t>
  </si>
  <si>
    <t>$Z$23</t>
  </si>
  <si>
    <t>$AA$23</t>
  </si>
  <si>
    <t>$AB$23</t>
  </si>
  <si>
    <t>$AC$23</t>
  </si>
  <si>
    <t>$V$24</t>
  </si>
  <si>
    <t>$W$24</t>
  </si>
  <si>
    <t>$X$24</t>
  </si>
  <si>
    <t>$Y$24</t>
  </si>
  <si>
    <t>$Z$24</t>
  </si>
  <si>
    <t>$AA$24</t>
  </si>
  <si>
    <t>$AB$24</t>
  </si>
  <si>
    <t>$AC$24</t>
  </si>
  <si>
    <t>$V$25</t>
  </si>
  <si>
    <t>$W$25</t>
  </si>
  <si>
    <t>$X$25</t>
  </si>
  <si>
    <t>$Y$25</t>
  </si>
  <si>
    <t>$Z$25</t>
  </si>
  <si>
    <t>$AA$25</t>
  </si>
  <si>
    <t>$AB$25</t>
  </si>
  <si>
    <t>$AC$25</t>
  </si>
  <si>
    <t>$V$26</t>
  </si>
  <si>
    <t>$W$26</t>
  </si>
  <si>
    <t>$X$26</t>
  </si>
  <si>
    <t>$Y$26</t>
  </si>
  <si>
    <t>$Z$26</t>
  </si>
  <si>
    <t>$AA$26</t>
  </si>
  <si>
    <t>$AB$26</t>
  </si>
  <si>
    <t>$AC$26</t>
  </si>
  <si>
    <t>$V$27</t>
  </si>
  <si>
    <t>$W$27</t>
  </si>
  <si>
    <t>$X$27</t>
  </si>
  <si>
    <t>$Y$27</t>
  </si>
  <si>
    <t>$Z$27</t>
  </si>
  <si>
    <t>$AA$27</t>
  </si>
  <si>
    <t>$AB$27</t>
  </si>
  <si>
    <t>$AC$27</t>
  </si>
  <si>
    <t>$V$28</t>
  </si>
  <si>
    <t>$W$28</t>
  </si>
  <si>
    <t>$X$28</t>
  </si>
  <si>
    <t>$Y$28</t>
  </si>
  <si>
    <t>$Z$28</t>
  </si>
  <si>
    <t>$AA$28</t>
  </si>
  <si>
    <t>$AB$28</t>
  </si>
  <si>
    <t>$AC$28</t>
  </si>
  <si>
    <t>$V$29</t>
  </si>
  <si>
    <t>$W$29</t>
  </si>
  <si>
    <t>$X$29</t>
  </si>
  <si>
    <t>$Y$29</t>
  </si>
  <si>
    <t>$Z$29</t>
  </si>
  <si>
    <t>$AA$29</t>
  </si>
  <si>
    <t>$AB$29</t>
  </si>
  <si>
    <t>$AC$29</t>
  </si>
  <si>
    <t>$A$30</t>
  </si>
  <si>
    <t>$B$30</t>
  </si>
  <si>
    <t>$C$30</t>
  </si>
  <si>
    <t>$D$30</t>
  </si>
  <si>
    <t>$E$30</t>
  </si>
  <si>
    <t>$F$30</t>
  </si>
  <si>
    <t>$G$30</t>
  </si>
  <si>
    <t>$H$30</t>
  </si>
  <si>
    <t>$I$30</t>
  </si>
  <si>
    <t>$J$30</t>
  </si>
  <si>
    <t>$K$30</t>
  </si>
  <si>
    <t>$L$30</t>
  </si>
  <si>
    <t>$M$30</t>
  </si>
  <si>
    <t>$N$30</t>
  </si>
  <si>
    <t>$O$30</t>
  </si>
  <si>
    <t>$P$30</t>
  </si>
  <si>
    <t>$Q$30</t>
  </si>
  <si>
    <t>$R$30</t>
  </si>
  <si>
    <t>$S$30</t>
  </si>
  <si>
    <t>$T$30</t>
  </si>
  <si>
    <t>$U$30</t>
  </si>
  <si>
    <t>$V$30</t>
  </si>
  <si>
    <t>$W$30</t>
  </si>
  <si>
    <t>$X$30</t>
  </si>
  <si>
    <t>$Y$30</t>
  </si>
  <si>
    <t>$Z$30</t>
  </si>
  <si>
    <t>$AA$30</t>
  </si>
  <si>
    <t>$AB$30</t>
  </si>
  <si>
    <t>$AC$30</t>
  </si>
  <si>
    <t>Graphic 16</t>
  </si>
  <si>
    <t>Rounded Rectangle 15</t>
  </si>
  <si>
    <t>Rounded Rectangle 17</t>
  </si>
  <si>
    <t>Rounded Rectangle 19</t>
  </si>
  <si>
    <t>Rounded Rectangle 24</t>
  </si>
  <si>
    <t>Rounded Rectangle 25</t>
  </si>
  <si>
    <t>Rounded Rectangle 26</t>
  </si>
  <si>
    <t>Rounded Rectangle 21</t>
  </si>
  <si>
    <t>Rounded Rectangle 27</t>
  </si>
  <si>
    <t>Rounded Rectangle 28</t>
  </si>
  <si>
    <t>btnWarmUp</t>
  </si>
  <si>
    <t>Rounded Rectangle 29</t>
  </si>
  <si>
    <t>Graphic 246</t>
  </si>
  <si>
    <t>Graphic 261</t>
  </si>
  <si>
    <t>C:\Users\ssaha\OneDrive - Community Federal Savings Bank\Desktop\137155\137155_ALERT_Combined_Alerted_Transaction.xlsx</t>
  </si>
  <si>
    <t>testt</t>
  </si>
  <si>
    <t>Amazon; Flipkart</t>
  </si>
  <si>
    <t>C:\Users\ssaha\OneDrive - Community Federal Savings Bank\Desktop\testt\OSDD Searches</t>
  </si>
  <si>
    <t>mode=Fast, entities=3, searches=9, time=2 minute(s) and 1 second(s), captchaFlagged=0</t>
  </si>
  <si>
    <t>Method: Fast | Searches: [Customer (Steeve Tremblay)] Negative News page 1; [Customer (Steeve Tremblay)] Negative News page 2; [CP 1 of 2 (Amazon)] Negative News page 1; [CP 1 of 2 (Amazon)] Negative News page 2; [CP 2 of 2 (Flipkart)] Negative News page 1; [CP 2 of 2 (Flipkart)] Negative News page 2; [Customer (Steeve Tremblay)] Google name; [CP 1 of 2 (Amazon)] Google name; [CP 2 of 2 (Flipkart)] Google name</t>
  </si>
  <si>
    <t>C:\Users\ssaha\OneDrive - Community Federal Savings Bank\Desktop\testt\testt__Steeve Tremblay_RFI QUESTIONS.docx</t>
  </si>
  <si>
    <t>Full text archived in 'Narrative' tab of testt_Audit_Log.xlsx</t>
  </si>
  <si>
    <t>C:\Users\ssaha\OneDrive - Community Federal Savings Bank\Desktop\testt\testt__Steeve Tremblay_Pre RFI Alert Write-Up.docx</t>
  </si>
  <si>
    <t>Elevenyellow Pte LTD</t>
  </si>
  <si>
    <t>ALERT2364567</t>
  </si>
  <si>
    <t>Printful INC; Finova Singapore Pte LTD; Elevenyellow Pte LTD</t>
  </si>
  <si>
    <t>C:\Users\ssaha\OneDrive - Community Federal Savings Bank\Desktop\134228</t>
  </si>
  <si>
    <t>C:\Users\ssaha\OneDrive - Community Federal Savings Bank\Desktop\134228\134228_ALERT2364567_Combined_Alerted_Transaction.xlsx</t>
  </si>
  <si>
    <t>Printful INC; Finova Singapore Pte LTD</t>
  </si>
  <si>
    <t>C:\Users\ssaha\OneDrive - Community Federal Savings Bank\Desktop\134228\OSDD Searches</t>
  </si>
  <si>
    <t>mode=Fast, entities=3, searches=19, time=2 minute(s) and 48 second(s), captchaFlagged=0</t>
  </si>
  <si>
    <t>Method: Fast | Searches: [Customer (Elevenyellow Pte LTD)] Negative News page 1; [Customer (Elevenyellow Pte LTD)] Negative News page 2; [Customer (Elevenyellow Pte LTD)] Negative News w/o middle, page 1; [Customer (Elevenyellow Pte LTD)] Negative News w/o middle, page 2; [CP 1 of 2 (Printful INC)] Negative News page 1; [CP 1 of 2 (Printful INC)] Negative News page 2; [CP 2 of 2 (Finova Singapore Pte LTD)] Negative News page 1; [CP 2 of 2 (Finova Singapore Pte LTD)] Negative News page 2; [CP 2 of 2 (Finova Singapore Pte LTD)] Negative News w/o middle, page 1; [CP 2 of 2 (Finova Singapore Pte LTD)] Negative News w/o middle, page 2; [Customer (Elevenyellow Pte LTD)] Name + Address; [CP 1 of 2 (Printful INC)] Name + Address; [CP 2 of 2 (Finova Singapore Pte LTD)] Name + Address; [Customer (Elevenyellow Pte LTD)] Google name; [Customer (Elevenyellow Pte LTD)] Address; [CP 1 of 2 (Printful INC)] Google name; [CP 1 of 2 (Printful INC)] Address; [CP 2 of 2 (Finova Singapore Pte LTD)] Google name; [CP 2 of 2 (Finova Singapore Pte LTD)] Address</t>
  </si>
  <si>
    <t>C:\Users\ssaha\OneDrive - Community Federal Savings Bank\Desktop\134228\134228_ALERT2364567_Elevenyellow Pte LTD_Alert Write-Up.docx</t>
  </si>
  <si>
    <t>Full text archived in 'Narrative' tab of 134228_Audit_Log.xlsx</t>
  </si>
  <si>
    <t>Ift Studio Pte LTD</t>
  </si>
  <si>
    <t>ALERT2362546</t>
  </si>
  <si>
    <t>C:\Users\ssaha\OneDrive - Community Federal Savings Bank\Desktop\134292</t>
  </si>
  <si>
    <t>C:\Users\ssaha\OneDrive - Community Federal Savings Bank\Desktop\134292\134292_ALERT2362546_Combined_Alerted_Transaction.xlsx</t>
  </si>
  <si>
    <t>Jonathan Zerah Corporation; Succinct Raccoons Consulting LLC; Kirsten Pomales</t>
  </si>
  <si>
    <t>C:\Users\ssaha\OneDrive - Community Federal Savings Bank\Desktop\134292\OSDD Searches</t>
  </si>
  <si>
    <t>mode=Fast, entities=4, searches=26, time=5 minute(s) and 53 second(s), captchaFlagged=0</t>
  </si>
  <si>
    <t>Method: Fast | Searches: [Customer (Ift Studio Pte LTD)] Negative News page 1; [Customer (Ift Studio Pte LTD)] Negative News page 2; [Customer (Ift Studio Pte LTD)] Negative News w/o legal ext, page 1; [Customer (Ift Studio Pte LTD)] Negative News w/o legal ext, page 2; [CP 1 of 3 (Jonathan Zerah Corporation)] Negative News page 1; [CP 1 of 3 (Jonathan Zerah Corporation)] Negative News page 2; [CP 1 of 3 (Jonathan Zerah Corporation)] Negative News w/o middle, page 1; [CP 1 of 3 (Jonathan Zerah Corporation)] Negative News w/o middle, page 2; [CP 2 of 3 (Succinct Raccoons Consulting LLC)] Negative News page 1; [CP 2 of 3 (Succinct Raccoons Consulting LLC)] Negative News page 2; [CP 2 of 3 (Succinct Raccoons Consulting LLC)] Negative News w/o legal ext, page 1; [CP 2 of 3 (Succinct Raccoons Consulting LLC)] Negative News w/o legal ext, page 2; [CP 3 of 3 (Kirsten Pomales)] Negative News page 1; [CP 3 of 3 (Kirsten Pomales)] Negative News page 2; [Customer (Ift Studio Pte LTD)] Name + Address; [CP 1 of 3 (Jonathan Zerah Corporation)] Name + Address; [CP 2 of 3 (Succinct Raccoons Consulting LLC)] Name + Address; [CP 3 of 3 (Kirsten Pomales)] Name + Address; [Customer (Ift Studio Pte LTD)] Google name; [Customer (Ift Studio Pte LTD)] Address; [CP 1 of 3 (Jonathan Zerah Corporation)] Google name; [CP 1 of 3 (Jonathan Zerah Corporation)] Address; [CP 2 of 3 (Succinct Raccoons Consulting LLC)] Google name; [CP 2 of 3 (Succinct Raccoons Consulting LLC)] Address; [CP 3 of 3 (Kirsten Pomales)] Google name; [CP 3 of 3 (Kirsten Pomales)] Address</t>
  </si>
  <si>
    <t>C:\Users\ssaha\OneDrive - Community Federal Savings Bank\Desktop\134292\134292_ALERT2362546_Ift Studio Pte LTD_Alert Write-Up.docx</t>
  </si>
  <si>
    <t>Full text archived in 'Narrative' tab of 134292_Audit_Log.xlsx</t>
  </si>
  <si>
    <t>Longevity Unity Limited</t>
  </si>
  <si>
    <t>ALERT2369067</t>
  </si>
  <si>
    <t>Curiosidades Totek Sas De Cv</t>
  </si>
  <si>
    <t>C:\Users\ssaha\OneDrive - Community Federal Savings Bank\Desktop\134316</t>
  </si>
  <si>
    <t>C:\Users\ssaha\OneDrive - Community Federal Savings Bank\Desktop\134316\134316_ALERT2369067_Combined_Alerted_Transaction.xlsx</t>
  </si>
  <si>
    <t>C:\Users\ssaha\OneDrive - Community Federal Savings Bank\Desktop\134316\OSDD Searches</t>
  </si>
  <si>
    <t>mode=Fast, entities=2, searches=12, time=2 minute(s) and 36 second(s), captchaFlagged=0</t>
  </si>
  <si>
    <t>Method: Fast | Searches: [Customer (Longevity Unity Limited)] Negative News page 1; [Customer (Longevity Unity Limited)] Negative News page 2; [Customer (Longevity Unity Limited)] Negative News w/o legal ext, page 1; [Customer (Longevity Unity Limited)] Negative News w/o legal ext, page 2; [CP 1 of 1 (Curiosidades Totek Sas De Cv)] Negative News page 1; [CP 1 of 1 (Curiosidades Totek Sas De Cv)] Negative News page 2; [Customer (Longevity Unity Limited)] Name + Address; [CP 1 of 1 (Curiosidades Totek Sas De Cv)] Name + Address; [Customer (Longevity Unity Limited)] Google name; [Customer (Longevity Unity Limited)] Address; [CP 1 of 1 (Curiosidades Totek Sas De Cv)] Google name; [CP 1 of 1 (Curiosidades Totek Sas De Cv)] Address</t>
  </si>
  <si>
    <t>C:\Users\ssaha\OneDrive - Community Federal Savings Bank\Desktop\134316\134316_ALERT2369067_Longevity Unity Limited_RFI QUESTIONS.docx</t>
  </si>
  <si>
    <t>Full text archived in 'Narrative' tab of 134316_Audit_Log.xlsx</t>
  </si>
  <si>
    <t>C:\Users\ssaha\OneDrive - Community Federal Savings Bank\Desktop\134316\134316_ALERT2369067_Longevity Unity Limited_Pre RFI Alert Write-Up.docx</t>
  </si>
  <si>
    <t>ALERT2363800</t>
  </si>
  <si>
    <t xml:space="preserve">	
Dovy Corporation Limited</t>
  </si>
  <si>
    <t>C:\Users\ssaha\OneDrive - Community Federal Savings Bank\Desktop\134324</t>
  </si>
  <si>
    <t>Dovy Corporation Limited</t>
  </si>
  <si>
    <t>C:\Users\ssaha\OneDrive - Community Federal Savings Bank\Desktop\134324\134324_ALERT2363800_Combined_Alerted_Transaction.xlsx</t>
  </si>
  <si>
    <t>All Game Parts LLC</t>
  </si>
  <si>
    <t>C:\Users\ssaha\OneDrive - Community Federal Savings Bank\Desktop\134324\OSDD Searches</t>
  </si>
  <si>
    <t>mode=Fast, entities=2, searches=14, time=2 minute(s) and 52 second(s), captchaFlagged=0</t>
  </si>
  <si>
    <t>Method: Fast | Searches: [Customer (Dovy Corporation Limited)] Negative News page 1; [Customer (Dovy Corporation Limited)] Negative News page 2; [Customer (Dovy Corporation Limited)] Negative News w/o legal ext, page 1; [Customer (Dovy Corporation Limited)] Negative News w/o legal ext, page 2; [CP 1 of 1 (All Game Parts LLC)] Negative News page 1; [CP 1 of 1 (All Game Parts LLC)] Negative News page 2; [CP 1 of 1 (All Game Parts LLC)] Negative News w/o legal ext, page 1; [CP 1 of 1 (All Game Parts LLC)] Negative News w/o legal ext, page 2; [Customer (Dovy Corporation Limited)] Name + Address; [CP 1 of 1 (All Game Parts LLC)] Name + Address; [Customer (Dovy Corporation Limited)] Google name; [Customer (Dovy Corporation Limited)] Address; [CP 1 of 1 (All Game Parts LLC)] Google name; [CP 1 of 1 (All Game Parts LLC)] Address</t>
  </si>
  <si>
    <t>C:\Users\ssaha\OneDrive - Community Federal Savings Bank\Desktop\134324\134324_ALERT2363800_Dovy Corporation Limited_RFI QUESTIONS.docx</t>
  </si>
  <si>
    <t>Full text archived in 'Narrative' tab of 134324_Audit_Log.xlsx</t>
  </si>
  <si>
    <t>C:\Users\ssaha\OneDrive - Community Federal Savings Bank\Desktop\134324\134324_ALERT2363800_Dovy Corporation Limited_Pre RFI Alert Write-Up.docx</t>
  </si>
  <si>
    <t>Astoria Rx Holdings INC; Happy Healthy Adult Daycare INC; D And V Adult Day Care Center INC</t>
  </si>
  <si>
    <t>Escalation Narrative Generated</t>
  </si>
  <si>
    <t>C:\Users\ssaha\OneDrive - Community Federal Savings Bank\Desktop\137237\137237_ALERT2363759_Escalation Narrative.docx</t>
  </si>
  <si>
    <t>Full text archived in 'Narrative' tab of 137237_Audit_Log.xlsx</t>
  </si>
  <si>
    <t>Railway Media Limited</t>
  </si>
  <si>
    <t>ALERT2364899</t>
  </si>
  <si>
    <t>C:\Users\ssaha\OneDrive - Community Federal Savings Bank\Desktop\134356</t>
  </si>
  <si>
    <t>C:\Users\ssaha\OneDrive - Community Federal Savings Bank\Desktop\134356\134356_ALERT2364899_Combined_Alerted_Transaction.xlsx</t>
  </si>
  <si>
    <t>Myc Media Private Limited; Label Products B.V.</t>
  </si>
  <si>
    <t>C:\Users\ssaha\OneDrive - Community Federal Savings Bank\Desktop\134356\OSDD Searches</t>
  </si>
  <si>
    <t>mode=Fast, entities=3, searches=21, time=14 minute(s) and 42 second(s), captchaFlagged=2</t>
  </si>
  <si>
    <t>Method: Fast | Searches: [Customer (Railway Media Limited)] Negative News page 1; [Customer (Railway Media Limited)] Negative News page 2; [Customer (Railway Media Limited)] Negative News w/o legal ext, page 1; [Customer (Railway Media Limited)] Negative News w/o legal ext, page 2; [CP 1 of 2 (Myc Media Private Limited)] Negative News page 1; [CP 1 of 2 (Myc Media Private Limited)] Negative News page 2; [CP 1 of 2 (Myc Media Private Limited)] Negative News w/o legal ext, page 1; [CP 1 of 2 (Myc Media Private Limited)] Negative News w/o legal ext, page 2; [CP 2 of 2 (Label Products B.V.)] Negative News page 1; [CP 2 of 2 (Label Products B.V.)] Negative News page 2; [CP 2 of 2 (Label Products B.V.)] Negative News w/o legal ext, page 1; [CP 2 of 2 (Label Products B.V.)] Negative News w/o legal ext, page 2; [Customer (Railway Media Limited)] Name + Address; [CP 1 of 2 (Myc Media Private Limited)] Name + Address; [CP 2 of 2 (Label Products B.V.)] Name + Address; [Customer (Railway Media Limited)] Google name; [Customer (Railway Media Limited)] Address; [CP 1 of 2 (Myc Media Private Limited)] Google name; [CP 1 of 2 (Myc Media Private Limited)] Address; [CP 2 of 2 (Label Products B.V.)] Google name; [CP 2 of 2 (Label Products B.V.)] Address</t>
  </si>
  <si>
    <t>C:\Users\ssaha\OneDrive - Community Federal Savings Bank\Desktop\134356\134356_ALERT2364899_Railway Media Limited_RFI QUESTIONS.docx</t>
  </si>
  <si>
    <t>Full text archived in 'Narrative' tab of 134356_Audit_Log.xlsx</t>
  </si>
  <si>
    <t>C:\Users\ssaha\OneDrive - Community Federal Savings Bank\Desktop\134356\134356_ALERT2364899_Railway Media Limited_Pre RFI Alert Write-Up.docx</t>
  </si>
  <si>
    <t>Backend Settings</t>
  </si>
  <si>
    <t>ALERT2362632</t>
  </si>
  <si>
    <t xml:space="preserve">Hello Molly Pty LTD </t>
  </si>
  <si>
    <t>Hello Molly Pty LTD</t>
  </si>
  <si>
    <t>C:\Users\ssaha\OneDrive - Community Federal Savings Bank\Desktop\134372</t>
  </si>
  <si>
    <t>C:\Users\ssaha\OneDrive - Community Federal Savings Bank\Desktop\134372\134372_ALERT2362632_Combined_Alerted_Transaction.xlsx</t>
  </si>
  <si>
    <t>Jd Logistics United States Company; Xchange Logistics Corporation; Billini INC</t>
  </si>
  <si>
    <t>C:\Users\ssaha\OneDrive - Community Federal Savings Bank\Desktop\134372\OSDD Searches</t>
  </si>
  <si>
    <t>mode=Fast, entities=4, searches=28, time=4 minute(s) and 13 second(s), captchaFlagged=0</t>
  </si>
  <si>
    <t>Method: Fast | Searches: [Customer (Hello Molly Pty LTD)] Negative News page 1; [Customer (Hello Molly Pty LTD)] Negative News page 2; [Customer (Hello Molly Pty LTD)] Negative News w/o legal ext, page 1; [Customer (Hello Molly Pty LTD)] Negative News w/o legal ext, page 2; [CP 1 of 3 (Jd Logistics United States Company)] Negative News page 1; [CP 1 of 3 (Jd Logistics United States Company)] Negative News page 2; [CP 1 of 3 (Jd Logistics United States Company)] Negative News w/o legal ext, page 1; [CP 1 of 3 (Jd Logistics United States Company)] Negative News w/o legal ext, page 2; [CP 2 of 3 (Xchange Logistics Corporation)] Negative News page 1; [CP 2 of 3 (Xchange Logistics Corporation)] Negative News page 2; [CP 2 of 3 (Xchange Logistics Corporation)] Negative News w/o legal ext, page 1; [CP 2 of 3 (Xchange Logistics Corporation)] Negative News w/o legal ext, page 2; [CP 3 of 3 (Billini INC)] Negative News page 1; [CP 3 of 3 (Billini INC)] Negative News page 2; [CP 3 of 3 (Billini INC)] Negative News w/o legal ext, page 1; [CP 3 of 3 (Billini INC)] Negative News w/o legal ext, page 2; [Customer (Hello Molly Pty LTD)] Name + Address; [CP 1 of 3 (Jd Logistics United States Company)] Name + Address; [CP 2 of 3 (Xchange Logistics Corporation)] Name + Address; [CP 3 of 3 (Billini INC)] Name + Address; [Customer (Hello Molly Pty LTD)] Google name; [Customer (Hello Molly Pty LTD)] Address; [CP 1 of 3 (Jd Logistics United States Company)] Google name; [CP 1 of 3 (Jd Logistics United States Company)] Address; [CP 2 of 3 (Xchange Logistics Corporation)] Google name; [CP 2 of 3 (Xchange Logistics Corporation)] Address; [CP 3 of 3 (Billini INC)] Google name; [CP 3 of 3 (Billini INC)] Address</t>
  </si>
  <si>
    <t>4 minute(s) and 13 second(s)</t>
  </si>
  <si>
    <t>None</t>
  </si>
  <si>
    <t>C:\Users\ssaha\OneDrive - Community Federal Savings Bank\Desktop\134372\134372_ALERT2362632_Hello Molly Pty LTD _Alert Write-Up.docx</t>
  </si>
  <si>
    <t>Full text archived in 'Narrative' tab of 134372_Audit_Log.xlsx</t>
  </si>
  <si>
    <t>C:\Users\ssaha\OneDrive - Community Federal Savings Bank\Desktop\134372\134372_ALERT2362632_Hello Molly Pty LTD _RFI QUESTIONS.docx</t>
  </si>
  <si>
    <t>C:\Users\ssaha\OneDrive - Community Federal Savings Bank\Desktop\134372\134372_ALERT2362632_Hello Molly Pty LTD _Pre RFI Alert Write-Up.docx</t>
  </si>
  <si>
    <t>ALERT2360594</t>
  </si>
  <si>
    <t>Ponhu LLC</t>
  </si>
  <si>
    <t>C:\Users\ssaha\OneDrive - Community Federal Savings Bank\Desktop\134388</t>
  </si>
  <si>
    <t>C:\Users\ssaha\OneDrive - Community Federal Savings Bank\Desktop\134388\134388_ALERT2360594_Combined_Alerted_Transaction.xlsx</t>
  </si>
  <si>
    <t>Tiktok Shop</t>
  </si>
  <si>
    <t>C:\Users\ssaha\OneDrive - Community Federal Savings Bank\Desktop\134388\OSDD Searches</t>
  </si>
  <si>
    <t>mode=Fast, entities=2, searches=10, time=2 minute(s) and 11 second(s), captchaFlagged=0</t>
  </si>
  <si>
    <t>Method: Fast | Searches: [Customer (Ponhu LLC)] Negative News page 1; [Customer (Ponhu LLC)] Negative News page 2; [Customer (Ponhu LLC)] Negative News w/o legal ext, page 1; [Customer (Ponhu LLC)] Negative News w/o legal ext, page 2; [CP 1 of 1 (Tiktok Shop)] Negative News page 1; [CP 1 of 1 (Tiktok Shop)] Negative News page 2; [Customer (Ponhu LLC)] Name + Address; [Customer (Ponhu LLC)] Google name; [Customer (Ponhu LLC)] Address; [CP 1 of 1 (Tiktok Shop)] Google name</t>
  </si>
  <si>
    <t>C:\Users\ssaha\OneDrive - Community Federal Savings Bank\Desktop\134388\134388_ALERT2360594_Ponhu LLC_Alert Write-Up.docx</t>
  </si>
  <si>
    <t>Full text archived in 'Narrative' tab of 134388_Audit_Log.xlsx</t>
  </si>
  <si>
    <t>Ritzy Charters LLC</t>
  </si>
  <si>
    <t>ALERT2363986</t>
  </si>
  <si>
    <t>C:\Users\ssaha\OneDrive - Community Federal Savings Bank\Desktop\134412</t>
  </si>
  <si>
    <t>C:\Users\ssaha\OneDrive - Community Federal Savings Bank\Desktop\134412\134412_ALERT2363986_Combined_Alerted_Transaction.xlsx</t>
  </si>
  <si>
    <t>A Chernacov And P Tekiel; Eric G Stucchi Arce; Speak Breath Retreats LLC</t>
  </si>
  <si>
    <t>C:\Users\ssaha\OneDrive - Community Federal Savings Bank\Desktop\134412\OSDD Searches</t>
  </si>
  <si>
    <t>mode=Fast, entities=4, searches=27, time=5 minute(s) and 13 second(s), captchaFlagged=0</t>
  </si>
  <si>
    <t>Method: Fast | Searches: [Customer (Ritzy Charters LLC)] Negative News page 1; [Customer (Ritzy Charters LLC)] Negative News page 2; [Customer (Ritzy Charters LLC)] Negative News w/o legal ext, page 1; [Customer (Ritzy Charters LLC)] Negative News w/o legal ext, page 2; [CP 1 of 3 (A Chernacov And P Tekiel)] Negative News page 1; [CP 1 of 3 (A Chernacov And P Tekiel)] Negative News page 2; [CP 2 of 3 (Eric G Stucchi Arce)] Negative News page 1; [CP 2 of 3 (Eric G Stucchi Arce)] Negative News page 2; [CP 2 of 3 (Eric G Stucchi Arce)] Negative News w/o middle, page 1; [CP 2 of 3 (Eric G Stucchi Arce)] Negative News w/o middle, page 2; [CP 3 of 3 (Speak Breath Retreats LLC)] Negative News page 1; [CP 3 of 3 (Speak Breath Retreats LLC)] Negative News page 2; [CP 3 of 3 (Speak Breath Retreats LLC)] Negative News w/o legal ext, page 1; [CP 3 of 3 (Speak Breath Retreats LLC)] Negative News w/o legal ext, page 2; [Customer (Ritzy Charters LLC)] Name + Address; [CP 1 of 3 (A Chernacov And P Tekiel)] Name + Address; [CP 2 of 3 (Eric G Stucchi Arce)] Name + Address; [CP 3 of 3 (Speak Breath Retreats LLC)] Name + Address; [Customer (Ritzy Charters LLC)] Google name; [Customer (Ritzy Charters LLC)] Address; [Customer (Ritzy Charters LLC)] Name + Additional Address; [CP 1 of 3 (A Chernacov And P Tekiel)] Google name; [CP 1 of 3 (A Chernacov And P Tekiel)] Address; [CP 2 of 3 (Eric G Stucchi Arce)] Google name; [CP 2 of 3 (Eric G Stucchi Arce)] Address; [CP 3 of 3 (Speak Breath Retreats LLC)] Google name; [CP 3 of 3 (Speak Breath Retreats LLC)] Address</t>
  </si>
  <si>
    <t>5 minute(s) and 13 second(s)</t>
  </si>
  <si>
    <t>mode=Fast, entities=4, searches=27, time=5 minute(s) and 39 second(s), captchaFlagged=0</t>
  </si>
  <si>
    <t>C:\Users\ssaha\OneDrive - Community Federal Savings Bank\Desktop\134412\134412_ALERT2363986_Ritzy Charters LLC_Alert Write-Up.docx</t>
  </si>
  <si>
    <t>Full text archived in 'Narrative' tab of 134412_Audit_Log.xlsx</t>
  </si>
  <si>
    <t>ALERT2363053</t>
  </si>
  <si>
    <t>Currentware INC</t>
  </si>
  <si>
    <t>C:\Users\ssaha\OneDrive - Community Federal Savings Bank\Desktop\134436</t>
  </si>
  <si>
    <t>C:\Users\ssaha\OneDrive - Community Federal Savings Bank\Desktop\134436\134436_ALERT2363053_Combined_Alerted_Transaction.xlsx</t>
  </si>
  <si>
    <t>Cadable LLC; First National Bank Cortez</t>
  </si>
  <si>
    <t>C:\Users\ssaha\OneDrive - Community Federal Savings Bank\Desktop\134436\OSDD Searches</t>
  </si>
  <si>
    <t>mode=Fast, entities=3, searches=19, time=3 minute(s) and 43 second(s), captchaFlagged=0</t>
  </si>
  <si>
    <t>Method: Fast | Searches: [Customer (Currentware INC)] Negative News page 1; [Customer (Currentware INC)] Negative News page 2; [Customer (Currentware INC)] Negative News w/o legal ext, page 1; [Customer (Currentware INC)] Negative News w/o legal ext, page 2; [CP 1 of 2 (Cadable LLC)] Negative News page 1; [CP 1 of 2 (Cadable LLC)] Negative News page 2; [CP 1 of 2 (Cadable LLC)] Negative News w/o legal ext, page 1; [CP 1 of 2 (Cadable LLC)] Negative News w/o legal ext, page 2; [CP 2 of 2 (First National Bank Cortez)] Negative News page 1; [CP 2 of 2 (First National Bank Cortez)] Negative News page 2; [Customer (Currentware INC)] Name + Address; [CP 1 of 2 (Cadable LLC)] Name + Address; [CP 2 of 2 (First National Bank Cortez)] Name + Address; [Customer (Currentware INC)] Google name; [Customer (Currentware INC)] Address; [CP 1 of 2 (Cadable LLC)] Google name; [CP 1 of 2 (Cadable LLC)] Address; [CP 2 of 2 (First National Bank Cortez)] Google name; [CP 2 of 2 (First National Bank Cortez)] Address</t>
  </si>
  <si>
    <t>mode=Fast, entities=3, searches=19, time=3 minute(s) and 16 second(s), captchaFlagged=0</t>
  </si>
  <si>
    <t>C:\Users\ssaha\OneDrive - Community Federal Savings Bank\Desktop\134436\134436_ALERT2363053_Currentware INC_RFI QUESTIONS.docx</t>
  </si>
  <si>
    <t>Full text archived in 'Narrative' tab of 134436_Audit_Log.xlsx</t>
  </si>
  <si>
    <t>C:\Users\ssaha\OneDrive - Community Federal Savings Bank\Desktop\134436\134436_ALERT2363053_Currentware INC_Pre RFI Alert Write-Up.docx</t>
  </si>
  <si>
    <t>,Cadable LLC; First National Bank Cortez</t>
  </si>
  <si>
    <t>C:\Users\ssaha\OneDrive - Community Federal Savings Bank\Desktop\134436\134436_ALERT2363053_Currentware INC_Alert Write-Up.docx</t>
  </si>
  <si>
    <t>ALERT2364103</t>
  </si>
  <si>
    <t>B Robinson LLC</t>
  </si>
  <si>
    <t>C:\Users\ssaha\OneDrive - Community Federal Savings Bank\Desktop\134444</t>
  </si>
  <si>
    <t>C:\Users\ssaha\OneDrive - Community Federal Savings Bank\Desktop\134444\134444_ALERT2364103_Combined_Alerted_Transaction.xlsx</t>
  </si>
  <si>
    <t>Global-E Nl Bv; C B Rise LTD; Sun District Sapi De Cv</t>
  </si>
  <si>
    <t>C:\Users\ssaha\OneDrive - Community Federal Savings Bank\Desktop\134444\OSDD Searches</t>
  </si>
  <si>
    <t>mode=Fast, entities=4, searches=22, time=12 minute(s) and 6 second(s), captchaFlagged=0</t>
  </si>
  <si>
    <t>Method: Fast | Searches: [Customer (B Robinson LLC)] Negative News page 1; [Customer (B Robinson LLC)] Negative News page 2; [Customer (B Robinson LLC)] Negative News w/o legal ext, page 1; [Customer (B Robinson LLC)] Negative News w/o legal ext, page 2; [CP 1 of 3 (Global-E Nl Bv)] Negative News page 1; [CP 1 of 3 (Global-E Nl Bv)] Negative News page 2; [CP 1 of 3 (Global-E Nl Bv)] Negative News w/o legal ext, page 1; [CP 1 of 3 (Global-E Nl Bv)] Negative News w/o legal ext, page 2; [CP 2 of 3 (C B Rise LTD)] Negative News page 1; [CP 2 of 3 (C B Rise LTD)] Negative News page 2; [CP 2 of 3 (C B Rise LTD)] Negative News w/o legal ext, page 1; [CP 2 of 3 (C B Rise LTD)] Negative News w/o legal ext, page 2; [CP 3 of 3 (Sun District Sapi De Cv)] Negative News page 1; [CP 3 of 3 (Sun District Sapi De Cv)] Negative News page 2; [Customer (B Robinson LLC)] Name + Address; [CP 1 of 3 (Global-E Nl Bv)] Name + Address; [Customer (B Robinson LLC)] Google name; [Customer (B Robinson LLC)] Address; [CP 1 of 3 (Global-E Nl Bv)] Google name; [CP 1 of 3 (Global-E Nl Bv)] Address; [CP 2 of 3 (C B Rise LTD)] Google name; [CP 3 of 3 (Sun District Sapi De Cv)] Google name</t>
  </si>
  <si>
    <t>12 minute(s) and 6 second(s)</t>
  </si>
  <si>
    <t>C:\Users\ssaha\OneDrive - Community Federal Savings Bank\Desktop\134444\134444_ALERT2364103_B Robinson LLC_Alert Write-Up.docx</t>
  </si>
  <si>
    <t>Full text archived in 'Narrative' tab of 134444_Audit_Log.xlsx</t>
  </si>
  <si>
    <t>Pangolin Industries LTD</t>
  </si>
  <si>
    <t>ALERT2363156</t>
  </si>
  <si>
    <t>Acd Systemtechnik GMBH; Noptel Oy; Finisar Wuxi INC</t>
  </si>
  <si>
    <t>C:\Users\ssaha\OneDrive - Community Federal Savings Bank\Desktop\134508</t>
  </si>
  <si>
    <t>C:\Users\ssaha\OneDrive - Community Federal Savings Bank\Desktop\134508\134508_ALERT2363156_Combined_Alerted_Transaction.xlsx</t>
  </si>
  <si>
    <t>C:\Users\ssaha\OneDrive - Community Federal Savings Bank\Desktop\134508\OSDD Searches</t>
  </si>
  <si>
    <t>mode=Fast, entities=4, searches=26, time=3 minute(s) and 16 second(s), captchaFlagged=0</t>
  </si>
  <si>
    <t>Method: Fast | Searches: [Customer (Pangolin Industries LTD)] Negative News page 1; [Customer (Pangolin Industries LTD)] Negative News page 2; [Customer (Pangolin Industries LTD)] Negative News w/o legal ext, page 1; [Customer (Pangolin Industries LTD)] Negative News w/o legal ext, page 2; [CP 1 of 3 (Acd Systemtechnik GMBH)] Negative News page 1; [CP 1 of 3 (Acd Systemtechnik GMBH)] Negative News page 2; [CP 1 of 3 (Acd Systemtechnik GMBH)] Negative News w/o legal ext, page 1; [CP 1 of 3 (Acd Systemtechnik GMBH)] Negative News w/o legal ext, page 2; [CP 2 of 3 (Noptel Oy)] Negative News page 1; [CP 2 of 3 (Noptel Oy)] Negative News page 2; [CP 3 of 3 (Finisar Wuxi INC)] Negative News page 1; [CP 3 of 3 (Finisar Wuxi INC)] Negative News page 2; [CP 3 of 3 (Finisar Wuxi INC)] Negative News w/o legal ext, page 1; [CP 3 of 3 (Finisar Wuxi INC)] Negative News w/o legal ext, page 2; [Customer (Pangolin Industries LTD)] Name + Address; [CP 1 of 3 (Acd Systemtechnik GMBH)] Name + Address; [CP 2 of 3 (Noptel Oy)] Name + Address; [CP 3 of 3 (Finisar Wuxi INC)] Name + Address; [Customer (Pangolin Industries LTD)] Google name; [Customer (Pangolin Industries LTD)] Address; [CP 1 of 3 (Acd Systemtechnik GMBH)] Google name; [CP 1 of 3 (Acd Systemtechnik GMBH)] Address; [CP 2 of 3 (Noptel Oy)] Google name; [CP 2 of 3 (Noptel Oy)] Address; [CP 3 of 3 (Finisar Wuxi INC)] Google name; [CP 3 of 3 (Finisar Wuxi INC)] Address</t>
  </si>
  <si>
    <t>C:\Users\ssaha\OneDrive - Community Federal Savings Bank\Desktop\134508\134508_ALERT2363156_Pangolin Industries LTD_Alert Write-Up.docx</t>
  </si>
  <si>
    <t>Full text archived in 'Narrative' tab of 134508_Audit_Log.xlsx</t>
  </si>
  <si>
    <t>Guangzhou Binlai Trading Co LTD</t>
  </si>
  <si>
    <t>C:\Users\ssaha\OneDrive - Community Federal Savings Bank\Desktop\135984</t>
  </si>
  <si>
    <t>ALERT2363476</t>
  </si>
  <si>
    <t>C:\Users\ssaha\OneDrive - Community Federal Savings Bank\Desktop\135984\135984_ALERT2363476_Combined_Alerted_Transaction.xlsx</t>
  </si>
  <si>
    <t>Jose Maria Suchite Alonzo; Veronica Hernandez; Alejandro General Merchandise LLC</t>
  </si>
  <si>
    <t>C:\Users\ssaha\OneDrive - Community Federal Savings Bank\Desktop\135984\OSDD Searches</t>
  </si>
  <si>
    <t>mode=Fast, entities=4, searches=26, time=3 minute(s) and 13 second(s), captchaFlagged=0</t>
  </si>
  <si>
    <t>Method: Fast | Searches: [Customer (Guangzhou Binlai Trading Co LTD)] Negative News page 1; [Customer (Guangzhou Binlai Trading Co LTD)] Negative News page 2; [Customer (Guangzhou Binlai Trading Co LTD)] Negative News w/o legal ext, page 1; [Customer (Guangzhou Binlai Trading Co LTD)] Negative News w/o legal ext, page 2; [CP 1 of 3 (Jose Maria Suchite Alonzo)] Negative News page 1; [CP 1 of 3 (Jose Maria Suchite Alonzo)] Negative News page 2; [CP 1 of 3 (Jose Maria Suchite Alonzo)] Negative News w/o middle, page 1; [CP 1 of 3 (Jose Maria Suchite Alonzo)] Negative News w/o middle, page 2; [CP 2 of 3 (Veronica Hernandez)] Negative News page 1; [CP 2 of 3 (Veronica Hernandez)] Negative News page 2; [CP 3 of 3 (Alejandro General Merchandise LLC)] Negative News page 1; [CP 3 of 3 (Alejandro General Merchandise LLC)] Negative News page 2; [CP 3 of 3 (Alejandro General Merchandise LLC)] Negative News w/o legal ext, page 1; [CP 3 of 3 (Alejandro General Merchandise LLC)] Negative News w/o legal ext, page 2; [Customer (Guangzhou Binlai Trading Co LTD)] Name + Address; [CP 1 of 3 (Jose Maria Suchite Alonzo)] Name + Address; [CP 2 of 3 (Veronica Hernandez)] Name + Address; [CP 3 of 3 (Alejandro General Merchandise LLC)] Name + Address; [Customer (Guangzhou Binlai Trading Co LTD)] Google name; [Customer (Guangzhou Binlai Trading Co LTD)] Address; [CP 1 of 3 (Jose Maria Suchite Alonzo)] Google name; [CP 1 of 3 (Jose Maria Suchite Alonzo)] Address; [CP 2 of 3 (Veronica Hernandez)] Google name; [CP 2 of 3 (Veronica Hernandez)] Address; [CP 3 of 3 (Alejandro General Merchandise LLC)] Google name; [CP 3 of 3 (Alejandro General Merchandise LLC)] Address</t>
  </si>
  <si>
    <t>3 minute(s) and 13 second(s)</t>
  </si>
  <si>
    <t>C:\Users\ssaha\OneDrive - Community Federal Savings Bank\Desktop\135984\135984_ALERT2363476_Guangzhou Binlai Trading Co LTD_RFI QUESTIONS.docx</t>
  </si>
  <si>
    <t>Full text archived in 'Narrative' tab of 135984_Audit_Log.xlsx</t>
  </si>
  <si>
    <t>C:\Users\ssaha\OneDrive - Community Federal Savings Bank\Desktop\135984\135984_ALERT2363476_Guangzhou Binlai Trading Co LTD_Pre RFI Alert Write-Up.docx</t>
  </si>
  <si>
    <t>Giske Network Technology Co. Limited</t>
  </si>
  <si>
    <t>ALERT2369851</t>
  </si>
  <si>
    <t>C:\Users\ssaha\OneDrive - Community Federal Savings Bank\Desktop\134556</t>
  </si>
  <si>
    <t>C:\Users\ssaha\OneDrive - Community Federal Savings Bank\Desktop\134556\134556_ALERT2369851_Combined_Alerted_Transaction.xlsx</t>
  </si>
  <si>
    <t>Nan Chang Hui Yun Ling Hai Ke Ji Yo</t>
  </si>
  <si>
    <t>C:\Users\ssaha\OneDrive - Community Federal Savings Bank\Desktop\134556\OSDD Searches</t>
  </si>
  <si>
    <t>mode=Fast, entities=2, searches=14, time=2 minute(s) and 25 second(s), captchaFlagged=0</t>
  </si>
  <si>
    <t>Method: Fast | Searches: [Customer (Giske Network Technology Co. Limited)] Negative News page 1; [Customer (Giske Network Technology Co. Limited)] Negative News page 2; [Customer (Giske Network Technology Co. Limited)] Negative News w/o legal ext, page 1; [Customer (Giske Network Technology Co. Limited)] Negative News w/o legal ext, page 2; [CP 1 of 1 (Nan Chang Hui Yun Ling Hai Ke Ji Yo)] Negative News page 1; [CP 1 of 1 (Nan Chang Hui Yun Ling Hai Ke Ji Yo)] Negative News page 2; [CP 1 of 1 (Nan Chang Hui Yun Ling Hai Ke Ji Yo)] Negative News w/o middle, page 1; [CP 1 of 1 (Nan Chang Hui Yun Ling Hai Ke Ji Yo)] Negative News w/o middle, page 2; [Customer (Giske Network Technology Co. Limited)] Name + Address; [CP 1 of 1 (Nan Chang Hui Yun Ling Hai Ke Ji Yo)] Name + Address; [Customer (Giske Network Technology Co. Limited)] Google name; [Customer (Giske Network Technology Co. Limited)] Address; [CP 1 of 1 (Nan Chang Hui Yun Ling Hai Ke Ji Yo)] Google name; [CP 1 of 1 (Nan Chang Hui Yun Ling Hai Ke Ji Yo)] Address</t>
  </si>
  <si>
    <t>C:\Users\ssaha\OneDrive - Community Federal Savings Bank\Desktop\134556\134556_ALERT2369851_Giske Network Technology Co. Limited_RFI QUESTIONS.docx</t>
  </si>
  <si>
    <t>Full text archived in 'Narrative' tab of 134556_Audit_Log.xlsx</t>
  </si>
  <si>
    <t>C:\Users\ssaha\OneDrive - Community Federal Savings Bank\Desktop\134556\134556_ALERT2369851_Giske Network Technology Co. Limited_Pre RFI Alert Write-Up.docx</t>
  </si>
  <si>
    <t>Enrico Rippe</t>
  </si>
  <si>
    <t>Juan Alberto Sánchez Coloma</t>
  </si>
  <si>
    <t>ALERT2371234</t>
  </si>
  <si>
    <t>C:\Users\ssaha\OneDrive - Community Federal Savings Bank\Desktop\137083</t>
  </si>
  <si>
    <t>C:\Users\ssaha\OneDrive - Community Federal Savings Bank\Desktop\137083\137083_ALERT2371234_Combined_Alerted_Transaction.xlsx</t>
  </si>
  <si>
    <t>C:\Users\ssaha\OneDrive - Community Federal Savings Bank\Desktop\137083\OSDD Searches</t>
  </si>
  <si>
    <t>mode=Fast, entities=2, searches=12, time=1 minute(s) and 36 second(s), captchaFlagged=0</t>
  </si>
  <si>
    <t>Method: Fast | Searches: [Customer (Enrico Rippe)] Negative News page 1; [Customer (Enrico Rippe)] Negative News page 2; [CP 1 of 1 (Juan Alberto Sánchez Coloma)] Negative News page 1; [CP 1 of 1 (Juan Alberto Sánchez Coloma)] Negative News page 2; [CP 1 of 1 (Juan Alberto Sánchez Coloma)] Negative News w/o middle, page 1; [CP 1 of 1 (Juan Alberto Sánchez Coloma)] Negative News w/o middle, page 2; [Customer (Enrico Rippe)] Name + Address; [CP 1 of 1 (Juan Alberto Sánchez Coloma)] Name + Address; [Customer (Enrico Rippe)] Google name; [Customer (Enrico Rippe)] Address; [CP 1 of 1 (Juan Alberto Sánchez Coloma)] Google name; [CP 1 of 1 (Juan Alberto Sánchez Coloma)] Address</t>
  </si>
  <si>
    <t>C:\Users\ssaha\OneDrive - Community Federal Savings Bank\Desktop\137083\137083_ALERT2371234_Enrico Rippe_Alert Write-Up.docx</t>
  </si>
  <si>
    <t>Full text archived in 'Narrative' tab of 137083_Audit_Log.xlsx</t>
  </si>
  <si>
    <t>Swapn</t>
  </si>
  <si>
    <t>ALERT2364360</t>
  </si>
  <si>
    <t>James Jenet</t>
  </si>
  <si>
    <t>C:\Users\ssaha\OneDrive - Community Federal Savings Bank\Desktop\137323</t>
  </si>
  <si>
    <t>James Carlin Jenet</t>
  </si>
  <si>
    <t>C:\Users\ssaha\OneDrive - Community Federal Savings Bank\Desktop\137323\137323_ALERT2364360_Combined_Alerted_Transaction.xlsx</t>
  </si>
  <si>
    <t>C:\Users\ssaha\OneDrive - Community Federal Savings Bank\Desktop\137323\OSDD Searches</t>
  </si>
  <si>
    <t>mode=Fast, entities=1, searches=7, time=2 minute(s) and 2 second(s), captchaFlagged=0</t>
  </si>
  <si>
    <t>Method: Fast | Searches: [Customer (James Carlin Jenet)] Negative News page 1; [Customer (James Carlin Jenet)] Negative News page 2; [Customer (James Carlin Jenet)] Negative News w/o middle, page 1; [Customer (James Carlin Jenet)] Negative News w/o middle, page 2; [Customer (James Carlin Jenet)] Name + Address; [Customer (James Carlin Jenet)] Google name; [Customer (James Carlin Jenet)] Address</t>
  </si>
  <si>
    <t>2 minute(s) and 2 second(s)</t>
  </si>
  <si>
    <t>C:\Users\ssaha\OneDrive - Community Federal Savings Bank\Desktop\137323\137323_ALERT2364360_James Carlin Jenet_Alert Write-Up.docx</t>
  </si>
  <si>
    <t>Full text archived in 'Narrative' tab of 137323_Audit_Log.xlsx</t>
  </si>
  <si>
    <t>ALERT2367604</t>
  </si>
  <si>
    <t>Herbert Alfred Batiste</t>
  </si>
  <si>
    <t>C:\Users\ssaha\OneDrive - Community Federal Savings Bank\Desktop\134660</t>
  </si>
  <si>
    <t>C:\Users\ssaha\OneDrive - Community Federal Savings Bank\Desktop\134660\134660_ALERT2367604_Combined_Alerted_Transaction.xlsx</t>
  </si>
  <si>
    <t>Top Notch Tax Solutions; Walmart Super Center; Dillards 768 Mall Of Louisiana</t>
  </si>
  <si>
    <t>C:\Users\ssaha\OneDrive - Community Federal Savings Bank\Desktop\134660\OSDD Searches</t>
  </si>
  <si>
    <t>mode=Fast, entities=4, searches=16, time=4 minute(s) and 27 second(s), captchaFlagged=0</t>
  </si>
  <si>
    <t>Method: Fast | Searches: [Customer (Herbert Alfred Batiste)] Negative News page 1; [Customer (Herbert Alfred Batiste)] Negative News page 2; [Customer (Herbert Alfred Batiste)] Negative News w/o middle, page 1; [Customer (Herbert Alfred Batiste)] Negative News w/o middle, page 2; [CP 1 of 3 (Top Notch Tax Solutions)] Negative News page 1; [CP 1 of 3 (Top Notch Tax Solutions)] Negative News page 2; [CP 2 of 3 (Walmart Super Center)] Negative News page 1; [CP 2 of 3 (Walmart Super Center)] Negative News page 2; [CP 3 of 3 (Dillards 768 Mall Of Louisiana)] Negative News page 1; [CP 3 of 3 (Dillards 768 Mall Of Louisiana)] Negative News page 2; [Customer (Herbert Alfred Batiste)] Name + Address; [Customer (Herbert Alfred Batiste)] Google name; [Customer (Herbert Alfred Batiste)] Address; [CP 1 of 3 (Top Notch Tax Solutions)] Google name; [CP 2 of 3 (Walmart Super Center)] Google name; [CP 3 of 3 (Dillards 768 Mall Of Louisiana)] Google name</t>
  </si>
  <si>
    <t>C:\Users\ssaha\OneDrive - Community Federal Savings Bank\Desktop\134660\134660_ALERT2367604_Herbert Alfred Batiste_Alert Write-Up.docx</t>
  </si>
  <si>
    <t>Full text archived in 'Narrative' tab of 134660_Audit_Log.xlsx</t>
  </si>
  <si>
    <t>C:\Users\ssaha\OneDrive - Community Federal Savings Bank\Desktop\12\12_12_Combined_Alerted_Transaction.xlsx</t>
  </si>
  <si>
    <t>C:\Users\ssaha\OneDrive - Community Federal Savings Bank\Desktop\12\12_12_Lookback Transactions (06.01.2025 to 06.18.2026).xlsx</t>
  </si>
  <si>
    <t>source=Transaction Files, mode=EN Network Lookback</t>
  </si>
  <si>
    <t>source=Transaction Files, mode=EN Network</t>
  </si>
  <si>
    <t>C:\Users\ssaha\OneDrive - Community Federal Savings Bank\Desktop\12</t>
  </si>
  <si>
    <t>Transaction Files and Other Transaction Files folders created</t>
  </si>
  <si>
    <t>C:\Users\ssaha\OneDrive - Community Federal Savings Bank\Desktop\12\12_12_Swapn_Alert Write-Up.docx</t>
  </si>
  <si>
    <t>Full text archived in 'Narrative' tab of 12_Audit_Log.xlsx</t>
  </si>
  <si>
    <t xml:space="preserve">			Financial Crimes Compliance Unit
			AML / TM Department
To: [Program Contact from list]
Cc: AMLRequests@cfsb.com
Subject: CFSB Request for Information - [Subject Name] (ALERT#[Alert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</si>
  <si>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 xml:space="preserve">			Financial Crimes Compliance Unit
			AML / TM Department
To: external.rfi@airwallex.com
Cc: AMLRequests@cfsb.com; RFI@CFSB.com
Subject: CFSB Request for Information - [Subject Name] (ALERT#[Alert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</si>
  <si>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rfi@wise.com
Cc: AMLRequests@cfsb.com; RFI@CFSB.com
Subject: CFSB Request for Information - [Subject Name] (ALERT#[Alert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</si>
  <si>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C:\Users\ssaha\OneDrive - Community Federal Savings Bank\Desktop\12\12_12_Swapn_Escalation Narrative.docx</t>
  </si>
  <si>
    <t>ALERT2370501</t>
  </si>
  <si>
    <t>C:\Users\ssaha\OneDrive - Community Federal Savings Bank\Desktop\134644\134644_ALERT2370501_Lookback Transactions (06.01.2025 to 06.24.2026).xlsx</t>
  </si>
  <si>
    <t>C:\Users\ssaha\OneDrive - Community Federal Savings Bank\Desktop\134644\134644_ALERT2370501_Combined_Alerted_Transaction.xlsx</t>
  </si>
  <si>
    <t>C:\Users\ssaha\OneDrive - Community Federal Savings Bank\Desktop\134644</t>
  </si>
  <si>
    <t>Transaction Files and Pivot folders created</t>
  </si>
  <si>
    <t>4 minute(s) and 53 second(s)</t>
  </si>
  <si>
    <t>5 minute(s) and 2 second(s)</t>
  </si>
  <si>
    <t>7 minute(s) and 7 second(s)</t>
  </si>
  <si>
    <t>Transaction ID</t>
  </si>
  <si>
    <t>Is Alerted Transaction?</t>
  </si>
  <si>
    <t>Velocity Alert ID</t>
  </si>
  <si>
    <t>Alert Information</t>
  </si>
  <si>
    <t>Alert Type</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</si>
  <si>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</si>
  <si>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</si>
  <si>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</si>
  <si>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</si>
  <si>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</si>
  <si>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</si>
  <si>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</si>
  <si>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</si>
  <si>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</si>
  <si>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</si>
  <si>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</si>
  <si>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</si>
  <si>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</si>
  <si>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</si>
  <si>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</si>
  <si>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</si>
  <si>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</si>
  <si>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</si>
  <si>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</si>
  <si>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</si>
  <si>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</si>
  <si>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</si>
  <si>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</si>
  <si>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</si>
  <si>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</si>
  <si>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USD</t>
  </si>
  <si>
    <t>CreditParty</t>
  </si>
  <si>
    <t>Yes</t>
  </si>
  <si>
    <t>Counterparty</t>
  </si>
  <si>
    <t>Link</t>
  </si>
  <si>
    <t>ms-powerautomate:/console/flow/run?environmentid=Default-9e17c3e3-ba51-4656-9767-5ba4c8c34f4b&amp;workflowid=f6eccbfd-02ab-4ac1-a749-9cb8dd3b8201&amp;source=Other</t>
  </si>
  <si>
    <t>Incoming Activity From High Risk Jurisdiction</t>
  </si>
  <si>
    <t>5 minute(s) and 33 second(s)</t>
  </si>
  <si>
    <t>8 minute(s) and 35 second(s)</t>
  </si>
  <si>
    <t>6 minute(s) and 0 second(s)</t>
  </si>
  <si>
    <t>5 minute(s) and 18 second(s)</t>
  </si>
  <si>
    <t>Party Type1</t>
  </si>
  <si>
    <t>Party Name1</t>
  </si>
  <si>
    <t>Party Address1</t>
  </si>
  <si>
    <t>Party Type2</t>
  </si>
  <si>
    <t>Party Name2</t>
  </si>
  <si>
    <t>Party Address2</t>
  </si>
  <si>
    <t>Fed_C_CTRC</t>
  </si>
  <si>
    <t>Customer Transfer</t>
  </si>
  <si>
    <t>InstdAgt</t>
  </si>
  <si>
    <t xml:space="preserve">  </t>
  </si>
  <si>
    <t xml:space="preserve">                    </t>
  </si>
  <si>
    <t>InstgAgt</t>
  </si>
  <si>
    <t>RULE79 - Incoming Activity From High Risk Jurisdiction</t>
  </si>
  <si>
    <t>EMBERTECH LTD</t>
  </si>
  <si>
    <t>ALERT2386544</t>
  </si>
  <si>
    <t>MSP8489951319</t>
  </si>
  <si>
    <t>0ea4ff21-32f7-4dc7-b0df-549f660e3c45</t>
  </si>
  <si>
    <t xml:space="preserve">                  CY</t>
  </si>
  <si>
    <t>1,KINYRAS TOWER,KINYRA,NICOSIA,1102 LEFKOSIA,CY                 CY</t>
  </si>
  <si>
    <t>bb4db81b-97c2-4b63-8220-64a2f99253cd</t>
  </si>
  <si>
    <t>NOTPROVIDED                  CY</t>
  </si>
  <si>
    <t xml:space="preserve">         1 KINYRAS NICOSIA  FLAT/OFFICE 301    1102 AGIOS ANDREAS  CY</t>
  </si>
  <si>
    <t>8ec6fc45-fcd7-4a09-9e58-e65180f35916</t>
  </si>
  <si>
    <t xml:space="preserve">         1 KINYRAS NICOSIA  FLAT/OFFICE  301    1102 AGIOS ANDREAS  CY</t>
  </si>
  <si>
    <t>ef988a2e-81e5-4fdd-9b57-884a9ce3e5c6</t>
  </si>
  <si>
    <t>Kinyra, 1 Kinyras Tower, 3Rd Floor, Flat/Office 301, Agios Andreas, 1102, Nicosia, Cyprus</t>
  </si>
  <si>
    <t>This case is being escalated to Community Federal Savings Bank (“CFSB” the “Bank”) to report [Num Trans] transactions totaling $[Total Amount] conducted by subject [Subject Name] through [Program Name] accounts.
1.	Subject: [Subject Name] / [Additional Subjects] or [Unknown]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7.	Payment Reference Number (PRN): [AWX, include 5 then et al.] (if applicable)
8.	Victim Name: [Insert Victim Name Associated with Case] (if applicable)
Address: [Location] (if applicable)
Phone Number: [Victim Phone Number] (if applicable)
Date of Birth: [Victim Date of Birth] (if applicable)
Crypto Account Number: [Victim Crypto Account Number] (if applicable)
Based on CFSB's knowledge, [Subject Name] is an indirect customer of CFSB and is instead a client of [Program Name] program.
[Program Description]
Between [Start Date] and [End Date], [Subject Name] sent [Num Trans] transactions totaling $[Total Amount], which are indicative of a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providers, including [Counterparties]. [Edit as per case-to-case basis]
Open-Source Due Diligence [Edit as per case-to-case basis]
Due Diligence Yielded No Results
Open-source due diligence (“OSDD”) did not yield conclusive information on [Subject Name]. The lack of identifiable information on [Subject Name], while transacting at such high value and volume, further compounds the concern raised by the value, volume, and structure of the transactions observed. Additionally, no derogatory information was identified through negative media or sanctions searches for [Subject Name] and its [Counterparties].
Due Diligence Yielded Results
Open-source due diligence (“OSDD”) identified a website for [Subject Name] at [Website URL] and a business registration record in [Country]. Per open sources, [Subject Name] is a [Entity Type] established in [Country] on [Incorporation Date] and active in [Industry / Business Activity]. Additionally, derogatory information was identified on [Subject Name] and/or its [Counterparties] through negative media or sanctions searches. [Include adverse news and website URL]
Due Diligence with Additional Subjects
Open-source due diligence (“OSDD”) was conducted on [Subject Name]. Due diligence indicated that [Subject Name] operates within [Industry / Business Activity]. However, the due diligence findings neither explain nor mitigate the observed activity and were not a contributing factor, as the value, volume, and structure of the transactions alone are sufficient to warrant concern. Furthermore, no relevant information could be identified on [CP 1], [CP 2], and [CP 3], including a web presence, raising suspicion surrounding the wires being sent to [Subject Name]. Hence, these three counterparties are being included as subjects of this SAR given the nature of their activity.
Request for Information [Edit as per case-to-case basis]
Response Not Received
A request for information (RFI) was submitted to [Program Name] to obtain additional information regarding [Subject Name] and the activity. However, no response was received.
Response Received
A request for information (RFI) was submitted to [Program Name] to obtain additional information regarding [Subject Name] and the activity. A response was received that indicated [Explain relevant information from RFI].
Negative News [Edit as per case-to-case basis]
Identified
Negative media and/or sanctions-related information was identified on [Subject Name] and/or its [Counterparties]. [Include adverse news and website URL] [Edit as per case-to-case basis]
Not Identified
No negative news has been identified on [Subject Name]. [Edit as per case-to-case basis]
CONCLUSION
[Option 1 – Escalation without RFI Submission]
Based on the analysis, the source of funds for [Subject Name] could not be established, and overall, the transaction volume observed during the [duration] review period was inconsistent with [Subject Name] reported financial profile.
The activity is being escalated due to a consistent pattern of high-volume, high-frequency transactions and the rapid movement of funds within a short-period of timeframe through financial institutions and payment intermediaries, which is inconsistent with expected customer activity.
[Option 2 – Escalation with RFI Submission]
Based on the analysis, the source of funds for [Subject Name] could not be established, and overall, the transaction volume observed during the [duration] review period was inconsistent with [Subject Name] expected activity.
The activity is being escalated to request information about the customer’s source of funds and the purpose of the transactions due to a consistent pattern of high-volume, high-frequency transactions and the rapid movement of funds within a short-period of timeframe through financial institutions and payment intermediaries, which is inconsistent with expected customer activity. [Summarize red flags and edit as per case-to-case basis].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</si>
</sst>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41"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sz val="12"/>
      <color theme="1"/>
      <name val="Aptos"/>
      <family val="2"/>
    </font>
    <font>
      <sz val="8.5"/>
      <name val="Calibri"/>
      <family val="2"/>
      <scheme val="minor"/>
    </font>
    <font>
      <b/>
      <i/>
      <u/>
      <sz val="9"/>
      <color rgb="FF666699"/>
      <name val="Segoe UI"/>
      <family val="2"/>
    </font>
    <font>
      <sz val="11"/>
      <color theme="0"/>
      <name val="Calibri"/>
      <family val="2"/>
      <scheme val="minor"/>
    </font>
    <font>
      <b/>
      <sz val="11"/>
      <name val="Calibri"/>
      <family val="2"/>
      <scheme val="minor"/>
    </font>
    <font>
      <b/>
      <sz val="11"/>
      <color rgb="FFFFFFFF"/>
      <name val="Calibri"/>
      <family val="2"/>
      <scheme val="minor"/>
    </font>
    <font>
      <sz val="11"/>
      <color theme="1"/>
      <name val="Calibri"/>
      <family val="2"/>
      <charset val="1"/>
    </font>
    <font>
      <sz val="11"/>
      <color theme="1"/>
      <name val="Calibri"/>
      <family val="2"/>
      <scheme val="minor"/>
    </font>
    <font>
      <b/>
      <sz val="8.5"/>
      <color rgb="FF002060"/>
      <name val="Calibri"/>
      <family val="2"/>
      <scheme val="minor"/>
    </font>
    <font>
      <sz val="11"/>
      <color rgb="FF000000"/>
      <name val="Calibri"/>
      <family val="2"/>
      <scheme val="minor"/>
    </font>
    <font>
      <b/>
      <i/>
      <u/>
      <sz val="9"/>
      <color rgb="FF000000"/>
      <name val="Segoe UI"/>
      <family val="2"/>
    </font>
    <font>
      <b/>
      <i/>
      <sz val="10"/>
      <color rgb="FFFFFFFF"/>
      <name val="Segoe UI"/>
      <family val="2"/>
    </font>
    <font>
      <i/>
      <sz val="10"/>
      <color rgb="FF000000"/>
      <name val="Segoe UI"/>
      <family val="2"/>
    </font>
    <font>
      <b/>
      <i/>
      <sz val="10"/>
      <color rgb="FF252525"/>
      <name val="Segoe UI"/>
      <family val="2"/>
    </font>
    <font>
      <b/>
      <i/>
      <sz val="8.5"/>
      <color rgb="FF252525"/>
      <name val="Segoe UI"/>
      <family val="2"/>
    </font>
    <font>
      <sz val="8"/>
      <color rgb="FF252525"/>
      <name val="Segoe UI"/>
      <family val="2"/>
    </font>
    <font>
      <b/>
      <sz val="9"/>
      <color rgb="FF252525"/>
      <name val="Segoe UI"/>
      <family val="2"/>
    </font>
    <font>
      <b/>
      <sz val="8.5"/>
      <color rgb="FF252525"/>
      <name val="Segoe UI"/>
      <family val="2"/>
    </font>
    <font>
      <sz val="8.5"/>
      <color rgb="FF000000"/>
      <name val="Calibri"/>
      <family val="2"/>
      <scheme val="minor"/>
    </font>
    <font>
      <sz val="11"/>
      <color rgb="FF252525"/>
      <name val="Segoe UI"/>
      <family val="2"/>
    </font>
    <font>
      <sz val="9"/>
      <color rgb="FF252525"/>
      <name val="Segoe UI"/>
      <family val="2"/>
    </font>
    <font>
      <b/>
      <sz val="10.5"/>
      <color rgb="FFD9A441"/>
      <name val="Segoe UI"/>
      <family val="2"/>
    </font>
    <font>
      <b/>
      <sz val="9"/>
      <color rgb="FF1C3056"/>
      <name val="Segoe UI"/>
      <family val="2"/>
    </font>
    <font>
      <i/>
      <sz val="9"/>
      <color rgb="FF6B6B6B"/>
      <name val="Segoe UI"/>
      <family val="2"/>
    </font>
    <font>
      <sz val="8"/>
      <color rgb="FF6B6B6B"/>
      <name val="Segoe UI"/>
      <family val="2"/>
    </font>
    <font>
      <sz val="10"/>
      <color rgb="FF252525"/>
      <name val="Segoe UI"/>
      <family val="2"/>
    </font>
    <font>
      <b/>
      <sz val="11"/>
      <color rgb="FFD9A441"/>
      <name val="Segoe UI"/>
      <family val="2"/>
    </font>
    <font>
      <b/>
      <sz val="10"/>
      <color rgb="FF1C3056"/>
      <name val="Segoe UI"/>
      <family val="2"/>
    </font>
    <font>
      <u/>
      <sz val="9"/>
      <color rgb="FF223456"/>
      <name val="Segoe UI"/>
      <family val="2"/>
    </font>
    <font>
      <b/>
      <sz val="9"/>
      <color rgb="FF000000"/>
      <name val="Segoe UI"/>
      <family val="2"/>
    </font>
    <font>
      <sz val="8"/>
      <color rgb="FF000000"/>
      <name val="Segoe UI"/>
      <family val="2"/>
    </font>
    <font>
      <sz val="11"/>
      <name val="Calibri"/>
      <family val="2"/>
    </font>
  </fonts>
  <fills count="18">
    <fill>
      <patternFill patternType="none"/>
    </fill>
    <fill>
      <patternFill patternType="gray125"/>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solid">
        <fgColor rgb="FFFFFFFF"/>
        <bgColor indexed="64"/>
      </patternFill>
    </fill>
    <fill>
      <patternFill patternType="solid">
        <fgColor rgb="FFF3F1EC"/>
        <bgColor indexed="64"/>
      </patternFill>
    </fill>
    <fill>
      <patternFill patternType="solid">
        <fgColor rgb="FF18243E"/>
        <bgColor indexed="64"/>
      </patternFill>
    </fill>
    <fill>
      <patternFill patternType="lightTrellis">
        <bgColor theme="0" tint="-0.14999847407452621"/>
      </patternFill>
    </fill>
    <fill>
      <patternFill patternType="solid">
        <fgColor rgb="FF223456"/>
        <bgColor rgb="FF002060"/>
      </patternFill>
    </fill>
    <fill>
      <patternFill patternType="solid">
        <fgColor rgb="FFFFFDF8"/>
        <bgColor rgb="FFDAE3F3"/>
      </patternFill>
    </fill>
    <fill>
      <patternFill patternType="solid">
        <fgColor rgb="FFFFFDF8"/>
        <bgColor indexed="64"/>
      </patternFill>
    </fill>
    <fill>
      <patternFill patternType="solid">
        <fgColor rgb="FFF3F1EC"/>
        <bgColor rgb="FFDAE3F3"/>
      </patternFill>
    </fill>
    <fill>
      <patternFill patternType="solid">
        <fgColor rgb="FF223456"/>
        <bgColor indexed="64"/>
      </patternFill>
    </fill>
    <fill>
      <patternFill patternType="solid">
        <fgColor rgb="FFD3D3D3"/>
        <bgColor rgb="FFD3D3D3"/>
      </patternFill>
    </fill>
  </fills>
  <borders count="49">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2" tint="-9.9978637043366805E-2"/>
      </left>
      <right/>
      <top/>
      <bottom/>
      <diagonal/>
    </border>
    <border>
      <left style="thin">
        <color rgb="FFE1DED6"/>
      </left>
      <right/>
      <top/>
      <bottom/>
      <diagonal/>
    </border>
    <border>
      <left/>
      <right style="thin">
        <color rgb="FFE1DED6"/>
      </right>
      <top/>
      <bottom/>
      <diagonal/>
    </border>
    <border>
      <left/>
      <right/>
      <top style="thin">
        <color rgb="FFE1DED6"/>
      </top>
      <bottom style="thin">
        <color rgb="FFE1DED6"/>
      </bottom>
      <diagonal/>
    </border>
    <border>
      <left style="thin">
        <color rgb="FFE1DED6"/>
      </left>
      <right/>
      <top style="thin">
        <color rgb="FFE1DED6"/>
      </top>
      <bottom style="thin">
        <color rgb="FFE1DED6"/>
      </bottom>
      <diagonal/>
    </border>
    <border>
      <left/>
      <right style="thin">
        <color rgb="FFE1DED6"/>
      </right>
      <top style="thin">
        <color rgb="FFE1DED6"/>
      </top>
      <bottom style="thin">
        <color rgb="FFE1DED6"/>
      </bottom>
      <diagonal/>
    </border>
    <border>
      <left style="thin">
        <color rgb="FFE1DED6"/>
      </left>
      <right/>
      <top style="thin">
        <color rgb="FFE1DED6"/>
      </top>
      <bottom/>
      <diagonal/>
    </border>
    <border>
      <left/>
      <right/>
      <top style="thin">
        <color rgb="FFE1DED6"/>
      </top>
      <bottom/>
      <diagonal/>
    </border>
    <border>
      <left/>
      <right style="thin">
        <color rgb="FFE1DED6"/>
      </right>
      <top style="thin">
        <color rgb="FFE1DED6"/>
      </top>
      <bottom/>
      <diagonal/>
    </border>
    <border>
      <left style="thin">
        <color theme="2" tint="-9.9978637043366805E-2"/>
      </left>
      <right style="thin">
        <color rgb="FFE1DED6"/>
      </right>
      <top/>
      <bottom/>
      <diagonal/>
    </border>
    <border>
      <left/>
      <right/>
      <top style="medium">
        <color rgb="FFD9A441"/>
      </top>
      <bottom/>
      <diagonal/>
    </border>
    <border>
      <left/>
      <right/>
      <top style="thin">
        <color rgb="FFD9D4C8"/>
      </top>
      <bottom/>
      <diagonal/>
    </border>
    <border>
      <left/>
      <right/>
      <top style="thin">
        <color rgb="FFE5C27A"/>
      </top>
      <bottom/>
      <diagonal/>
    </border>
    <border>
      <left style="thin">
        <color rgb="FFD9A441"/>
      </left>
      <right/>
      <top style="medium">
        <color rgb="FFD9A441"/>
      </top>
      <bottom/>
      <diagonal/>
    </border>
    <border>
      <left style="thin">
        <color rgb="FFD9A441"/>
      </left>
      <right/>
      <top style="thin">
        <color rgb="FFD9D4C8"/>
      </top>
      <bottom/>
      <diagonal/>
    </border>
    <border>
      <left style="thin">
        <color rgb="FFD9A441"/>
      </left>
      <right/>
      <top style="thin">
        <color rgb="FFE5C27A"/>
      </top>
      <bottom/>
      <diagonal/>
    </border>
    <border>
      <left/>
      <right style="thin">
        <color rgb="FFD9A441"/>
      </right>
      <top style="medium">
        <color rgb="FFD9A441"/>
      </top>
      <bottom/>
      <diagonal/>
    </border>
    <border>
      <left/>
      <right style="thin">
        <color rgb="FFD9A441"/>
      </right>
      <top style="thin">
        <color rgb="FFD9D4C8"/>
      </top>
      <bottom/>
      <diagonal/>
    </border>
    <border>
      <left/>
      <right style="thin">
        <color rgb="FFD9A441"/>
      </right>
      <top style="thin">
        <color rgb="FFE5C27A"/>
      </top>
      <bottom/>
      <diagonal/>
    </border>
    <border>
      <left style="thin">
        <color rgb="FFD9A441"/>
      </left>
      <right/>
      <top style="thin">
        <color rgb="FFD9D4C8"/>
      </top>
      <bottom style="medium">
        <color rgb="FFD9A441"/>
      </bottom>
      <diagonal/>
    </border>
    <border>
      <left/>
      <right/>
      <top style="thin">
        <color rgb="FFD9D4C8"/>
      </top>
      <bottom style="medium">
        <color rgb="FFD9A441"/>
      </bottom>
      <diagonal/>
    </border>
    <border>
      <left/>
      <right style="thin">
        <color rgb="FFD9A441"/>
      </right>
      <top style="thin">
        <color rgb="FFD9D4C8"/>
      </top>
      <bottom style="medium">
        <color rgb="FFD9A441"/>
      </bottom>
      <diagonal/>
    </border>
    <border>
      <left/>
      <right style="thin">
        <color rgb="FFD9A441"/>
      </right>
      <top/>
      <bottom/>
      <diagonal/>
    </border>
    <border>
      <left/>
      <right style="thin">
        <color rgb="FFD9A441"/>
      </right>
      <top/>
      <bottom style="medium">
        <color rgb="FFD9A441"/>
      </bottom>
      <diagonal/>
    </border>
    <border>
      <left style="thin">
        <color rgb="FFD9A441"/>
      </left>
      <right/>
      <top/>
      <bottom style="medium">
        <color rgb="FFD9A441"/>
      </bottom>
      <diagonal/>
    </border>
    <border>
      <left style="thin">
        <color rgb="FFD9A441"/>
      </left>
      <right/>
      <top/>
      <bottom/>
      <diagonal/>
    </border>
    <border>
      <left style="thin">
        <color rgb="FFD9A441"/>
      </left>
      <right/>
      <top style="medium">
        <color rgb="FFD9A441"/>
      </top>
      <bottom style="medium">
        <color rgb="FFD9A441"/>
      </bottom>
      <diagonal/>
    </border>
    <border>
      <left/>
      <right style="thin">
        <color rgb="FFD9A441"/>
      </right>
      <top style="medium">
        <color rgb="FFD9A441"/>
      </top>
      <bottom style="medium">
        <color rgb="FFD9A441"/>
      </bottom>
      <diagonal/>
    </border>
    <border>
      <left style="thin">
        <color rgb="FFD3D3D3"/>
      </left>
      <right style="thin">
        <color rgb="FFD3D3D3"/>
      </right>
      <top style="thin">
        <color rgb="FFD3D3D3"/>
      </top>
      <bottom style="thin">
        <color rgb="FFD3D3D3"/>
      </bottom>
      <diagonal/>
    </border>
  </borders>
  <cellStyleXfs count="5">
    <xf numFmtId="0" fontId="0" fillId="0" borderId="0"/>
    <xf numFmtId="0" fontId="2" fillId="0" borderId="0"/>
    <xf numFmtId="0" fontId="12" fillId="6" borderId="0"/>
    <xf numFmtId="0" fontId="15" fillId="0" borderId="0"/>
    <xf numFmtId="9" fontId="16" fillId="0" borderId="0" applyFont="0" applyFill="0" applyBorder="0" applyAlignment="0" applyProtection="0"/>
  </cellStyleXfs>
  <cellXfs count="188">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1" xfId="0" applyFont="1" applyBorder="1" applyAlignment="1">
      <alignment vertical="center"/>
    </xf>
    <xf numFmtId="0" fontId="6" fillId="0" borderId="10" xfId="0" applyFont="1" applyBorder="1" applyAlignment="1">
      <alignment vertical="center"/>
    </xf>
    <xf numFmtId="0" fontId="7" fillId="0" borderId="12" xfId="0" applyFont="1" applyBorder="1" applyAlignment="1">
      <alignment vertical="center"/>
    </xf>
    <xf numFmtId="0" fontId="6" fillId="0" borderId="9" xfId="0" applyFont="1" applyBorder="1" applyAlignment="1">
      <alignment vertical="center"/>
    </xf>
    <xf numFmtId="0" fontId="4" fillId="0" borderId="12"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2" xfId="0" applyFont="1" applyBorder="1" applyAlignment="1">
      <alignment vertical="center"/>
    </xf>
    <xf numFmtId="0" fontId="4" fillId="0" borderId="13"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2" borderId="14" xfId="0" applyFill="1" applyBorder="1" applyAlignment="1">
      <alignment horizontal="center" vertical="center" wrapText="1"/>
    </xf>
    <xf numFmtId="0" fontId="3" fillId="2" borderId="15" xfId="0" applyFont="1" applyFill="1" applyBorder="1" applyAlignment="1">
      <alignment horizontal="center" vertical="center" wrapText="1"/>
    </xf>
    <xf numFmtId="0" fontId="0" fillId="3" borderId="3" xfId="0" applyFill="1" applyBorder="1" applyAlignment="1">
      <alignment horizontal="center" vertical="center" wrapText="1"/>
    </xf>
    <xf numFmtId="0" fontId="3" fillId="3" borderId="5" xfId="0" applyFont="1" applyFill="1" applyBorder="1" applyAlignment="1">
      <alignment horizontal="center" vertical="center" wrapText="1"/>
    </xf>
    <xf numFmtId="0" fontId="0" fillId="3" borderId="6" xfId="0" applyFill="1" applyBorder="1" applyAlignment="1">
      <alignment horizontal="center" vertical="center" wrapText="1"/>
    </xf>
    <xf numFmtId="0" fontId="3" fillId="3" borderId="7" xfId="0" applyFont="1" applyFill="1" applyBorder="1" applyAlignment="1">
      <alignment horizontal="center" vertical="center" wrapText="1"/>
    </xf>
    <xf numFmtId="0" fontId="0" fillId="3" borderId="16" xfId="0" applyFill="1" applyBorder="1" applyAlignment="1">
      <alignment horizontal="center" vertical="center" wrapText="1"/>
    </xf>
    <xf numFmtId="0" fontId="3" fillId="3" borderId="17"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2" xfId="0" applyFill="1" applyBorder="1" applyAlignment="1">
      <alignment horizontal="center" vertical="center" wrapText="1"/>
    </xf>
    <xf numFmtId="0" fontId="3" fillId="4" borderId="1" xfId="0" applyFont="1" applyFill="1" applyBorder="1" applyAlignment="1">
      <alignment horizontal="center" vertical="center" wrapText="1"/>
    </xf>
    <xf numFmtId="0" fontId="9" fillId="0" borderId="0" xfId="0" applyFont="1" applyAlignment="1">
      <alignment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lignment horizontal="left"/>
    </xf>
    <xf numFmtId="0" fontId="0" fillId="5" borderId="3" xfId="0" applyFill="1" applyBorder="1"/>
    <xf numFmtId="0" fontId="0" fillId="5" borderId="4" xfId="0" applyFill="1" applyBorder="1"/>
    <xf numFmtId="0" fontId="0" fillId="5" borderId="5" xfId="0" applyFill="1" applyBorder="1"/>
    <xf numFmtId="0" fontId="0" fillId="0" borderId="6" xfId="0" applyBorder="1"/>
    <xf numFmtId="0" fontId="0" fillId="0" borderId="18" xfId="0" applyBorder="1"/>
    <xf numFmtId="0" fontId="0" fillId="0" borderId="7" xfId="0" applyBorder="1"/>
    <xf numFmtId="0" fontId="0" fillId="0" borderId="19" xfId="0" applyBorder="1"/>
    <xf numFmtId="0" fontId="3" fillId="0" borderId="0" xfId="0" applyFont="1"/>
    <xf numFmtId="22" fontId="0" fillId="0" borderId="0" xfId="0" applyNumberFormat="1"/>
    <xf numFmtId="0" fontId="14" fillId="7" borderId="0" xfId="0" applyFont="1" applyFill="1"/>
    <xf numFmtId="0" fontId="15" fillId="0" borderId="0" xfId="3"/>
    <xf numFmtId="0" fontId="15" fillId="0" borderId="0" xfId="3" applyAlignment="1">
      <alignment horizontal="center" vertical="center"/>
    </xf>
    <xf numFmtId="0" fontId="3" fillId="0" borderId="0" xfId="0" applyFont="1" applyAlignment="1">
      <alignment vertical="center"/>
    </xf>
    <xf numFmtId="9" fontId="3" fillId="0" borderId="0" xfId="4" applyFont="1" applyFill="1" applyAlignment="1">
      <alignment vertical="center"/>
    </xf>
    <xf numFmtId="0" fontId="3" fillId="0" borderId="0" xfId="0" applyFont="1" applyProtection="1">
      <protection locked="0"/>
    </xf>
    <xf numFmtId="0" fontId="10" fillId="0" borderId="0" xfId="0" applyFont="1"/>
    <xf numFmtId="0" fontId="13" fillId="0" borderId="18" xfId="2" applyFont="1" applyFill="1" applyBorder="1" applyAlignment="1">
      <alignment horizontal="center" vertical="center"/>
    </xf>
    <xf numFmtId="0" fontId="0" fillId="0" borderId="18" xfId="0" applyBorder="1" applyAlignment="1">
      <alignment horizontal="center" vertical="center"/>
    </xf>
    <xf numFmtId="0" fontId="3" fillId="0" borderId="0" xfId="0" applyFont="1" applyAlignment="1">
      <alignment horizontal="center"/>
    </xf>
    <xf numFmtId="9" fontId="3" fillId="0" borderId="0" xfId="4" applyFont="1" applyFill="1"/>
    <xf numFmtId="0" fontId="3" fillId="0" borderId="0" xfId="0" applyFont="1" applyAlignment="1">
      <alignment horizontal="center" wrapText="1"/>
    </xf>
    <xf numFmtId="9" fontId="3" fillId="0" borderId="0" xfId="4" applyFont="1" applyFill="1" applyProtection="1">
      <protection locked="0"/>
    </xf>
    <xf numFmtId="9" fontId="17" fillId="9" borderId="0" xfId="4" applyFont="1" applyFill="1" applyBorder="1" applyAlignment="1" applyProtection="1">
      <alignment horizontal="center" vertical="center"/>
      <protection hidden="1"/>
    </xf>
    <xf numFmtId="9" fontId="24" fillId="9" borderId="0" xfId="4" applyFont="1" applyFill="1" applyBorder="1" applyAlignment="1" applyProtection="1">
      <alignment horizontal="center" wrapText="1"/>
      <protection locked="0"/>
    </xf>
    <xf numFmtId="9" fontId="18" fillId="9" borderId="0" xfId="4" applyFont="1" applyFill="1" applyBorder="1" applyAlignment="1" applyProtection="1">
      <alignment vertical="center"/>
      <protection locked="0"/>
    </xf>
    <xf numFmtId="9" fontId="18" fillId="9" borderId="0" xfId="4" applyFont="1" applyFill="1" applyBorder="1" applyAlignment="1">
      <alignment vertical="center"/>
    </xf>
    <xf numFmtId="9" fontId="24" fillId="9" borderId="0" xfId="4" applyFont="1" applyFill="1" applyBorder="1" applyAlignment="1">
      <alignment horizontal="center" vertical="center" wrapText="1"/>
    </xf>
    <xf numFmtId="9" fontId="28" fillId="9" borderId="0" xfId="4" applyFont="1" applyFill="1" applyBorder="1" applyAlignment="1">
      <alignment vertical="center"/>
    </xf>
    <xf numFmtId="9" fontId="25" fillId="8" borderId="29" xfId="4" applyFont="1" applyFill="1" applyBorder="1" applyAlignment="1">
      <alignment horizontal="center" vertical="center"/>
    </xf>
    <xf numFmtId="9" fontId="24" fillId="8" borderId="25" xfId="4" applyFont="1" applyFill="1" applyBorder="1" applyAlignment="1" applyProtection="1">
      <alignment horizontal="center" wrapText="1"/>
      <protection locked="0"/>
    </xf>
    <xf numFmtId="9" fontId="24" fillId="8" borderId="28" xfId="4" applyFont="1" applyFill="1" applyBorder="1" applyAlignment="1" applyProtection="1">
      <alignment horizontal="center" wrapText="1"/>
      <protection locked="0"/>
    </xf>
    <xf numFmtId="9" fontId="26" fillId="8" borderId="22" xfId="4" applyFont="1" applyFill="1" applyBorder="1" applyAlignment="1">
      <alignment horizontal="center" vertical="center"/>
    </xf>
    <xf numFmtId="0" fontId="26" fillId="8" borderId="23" xfId="0" applyFont="1" applyFill="1" applyBorder="1" applyAlignment="1" applyProtection="1">
      <alignment horizontal="center" vertical="center"/>
      <protection locked="0" hidden="1"/>
    </xf>
    <xf numFmtId="9" fontId="26" fillId="8" borderId="25" xfId="4" applyFont="1" applyFill="1" applyBorder="1" applyAlignment="1" applyProtection="1">
      <alignment horizontal="center" vertical="center"/>
      <protection hidden="1"/>
    </xf>
    <xf numFmtId="0" fontId="18" fillId="10" borderId="0" xfId="0" applyFont="1" applyFill="1"/>
    <xf numFmtId="0" fontId="11" fillId="10" borderId="0" xfId="0" applyFont="1" applyFill="1" applyAlignment="1">
      <alignment horizontal="center"/>
    </xf>
    <xf numFmtId="0" fontId="18" fillId="10" borderId="0" xfId="0" applyFont="1" applyFill="1" applyAlignment="1">
      <alignment horizontal="center" vertical="center"/>
    </xf>
    <xf numFmtId="0" fontId="18" fillId="10" borderId="0" xfId="0" applyFont="1" applyFill="1" applyAlignment="1" applyProtection="1">
      <alignment vertical="center"/>
      <protection locked="0"/>
    </xf>
    <xf numFmtId="0" fontId="26" fillId="8" borderId="0" xfId="2" applyFont="1" applyFill="1" applyAlignment="1">
      <alignment horizontal="center" vertical="center"/>
    </xf>
    <xf numFmtId="0" fontId="18" fillId="9" borderId="0" xfId="0" applyFont="1" applyFill="1"/>
    <xf numFmtId="0" fontId="19" fillId="9" borderId="0" xfId="0" applyFont="1" applyFill="1" applyAlignment="1">
      <alignment horizontal="center"/>
    </xf>
    <xf numFmtId="0" fontId="23" fillId="9" borderId="0" xfId="0" applyFont="1" applyFill="1" applyAlignment="1">
      <alignment horizontal="center" wrapText="1"/>
    </xf>
    <xf numFmtId="0" fontId="24" fillId="9" borderId="0" xfId="0" applyFont="1" applyFill="1" applyAlignment="1">
      <alignment horizontal="center" vertical="center" wrapText="1"/>
    </xf>
    <xf numFmtId="0" fontId="24" fillId="9" borderId="0" xfId="0" applyFont="1" applyFill="1" applyAlignment="1">
      <alignment horizontal="center" wrapText="1"/>
    </xf>
    <xf numFmtId="0" fontId="24" fillId="9" borderId="0" xfId="0" applyFont="1" applyFill="1" applyAlignment="1" applyProtection="1">
      <alignment horizontal="center"/>
      <protection locked="0"/>
    </xf>
    <xf numFmtId="0" fontId="28" fillId="9" borderId="0" xfId="0" applyFont="1" applyFill="1" applyAlignment="1">
      <alignment vertical="center"/>
    </xf>
    <xf numFmtId="0" fontId="21" fillId="9" borderId="0" xfId="2" applyFont="1" applyFill="1" applyAlignment="1">
      <alignment vertical="center"/>
    </xf>
    <xf numFmtId="0" fontId="17" fillId="9" borderId="0" xfId="0" applyFont="1" applyFill="1" applyAlignment="1" applyProtection="1">
      <alignment horizontal="center" vertical="center"/>
      <protection locked="0"/>
    </xf>
    <xf numFmtId="0" fontId="17" fillId="9" borderId="0" xfId="0" applyFont="1" applyFill="1" applyAlignment="1" applyProtection="1">
      <alignment horizontal="center" vertical="center"/>
      <protection locked="0" hidden="1"/>
    </xf>
    <xf numFmtId="0" fontId="17" fillId="9" borderId="0" xfId="0" applyFont="1" applyFill="1" applyAlignment="1" applyProtection="1">
      <alignment horizontal="center" vertical="center"/>
      <protection hidden="1"/>
    </xf>
    <xf numFmtId="0" fontId="18" fillId="9" borderId="0" xfId="0" applyFont="1" applyFill="1" applyProtection="1">
      <protection locked="0"/>
    </xf>
    <xf numFmtId="0" fontId="18" fillId="9" borderId="0" xfId="0" applyFont="1" applyFill="1" applyAlignment="1">
      <alignment vertical="center"/>
    </xf>
    <xf numFmtId="0" fontId="33" fillId="13" borderId="30" xfId="3" applyFont="1" applyFill="1" applyBorder="1" applyAlignment="1">
      <alignment horizontal="center" vertical="center"/>
    </xf>
    <xf numFmtId="0" fontId="29" fillId="13" borderId="30" xfId="3" applyFont="1" applyFill="1" applyBorder="1" applyAlignment="1">
      <alignment horizontal="left" vertical="center"/>
    </xf>
    <xf numFmtId="0" fontId="33" fillId="14" borderId="31" xfId="3" applyFont="1" applyFill="1" applyBorder="1" applyAlignment="1">
      <alignment horizontal="center" vertical="center"/>
    </xf>
    <xf numFmtId="0" fontId="29" fillId="14" borderId="31" xfId="3" applyFont="1" applyFill="1" applyBorder="1" applyAlignment="1">
      <alignment horizontal="left" vertical="center"/>
    </xf>
    <xf numFmtId="0" fontId="33" fillId="13" borderId="31" xfId="3" applyFont="1" applyFill="1" applyBorder="1" applyAlignment="1">
      <alignment horizontal="center" vertical="center"/>
    </xf>
    <xf numFmtId="0" fontId="29" fillId="13" borderId="31" xfId="3" applyFont="1" applyFill="1" applyBorder="1" applyAlignment="1">
      <alignment horizontal="left" vertical="center"/>
    </xf>
    <xf numFmtId="0" fontId="33" fillId="9" borderId="32" xfId="3" applyFont="1" applyFill="1" applyBorder="1" applyAlignment="1">
      <alignment horizontal="center" vertical="center"/>
    </xf>
    <xf numFmtId="0" fontId="29" fillId="9" borderId="32" xfId="3" applyFont="1" applyFill="1" applyBorder="1" applyAlignment="1">
      <alignment horizontal="left" vertical="center"/>
    </xf>
    <xf numFmtId="0" fontId="33" fillId="15" borderId="31" xfId="3" applyFont="1" applyFill="1" applyBorder="1" applyAlignment="1">
      <alignment horizontal="center" vertical="center"/>
    </xf>
    <xf numFmtId="0" fontId="29" fillId="15" borderId="31" xfId="3" applyFont="1" applyFill="1" applyBorder="1" applyAlignment="1">
      <alignment horizontal="left" vertical="center"/>
    </xf>
    <xf numFmtId="0" fontId="33" fillId="9" borderId="31" xfId="3" applyFont="1" applyFill="1" applyBorder="1" applyAlignment="1">
      <alignment horizontal="center" vertical="center"/>
    </xf>
    <xf numFmtId="0" fontId="29" fillId="9" borderId="31" xfId="3" applyFont="1" applyFill="1" applyBorder="1" applyAlignment="1">
      <alignment horizontal="left" vertical="center"/>
    </xf>
    <xf numFmtId="0" fontId="33" fillId="13" borderId="32" xfId="3" applyFont="1" applyFill="1" applyBorder="1" applyAlignment="1">
      <alignment horizontal="center" vertical="center"/>
    </xf>
    <xf numFmtId="0" fontId="29" fillId="13" borderId="32" xfId="3" applyFont="1" applyFill="1" applyBorder="1" applyAlignment="1">
      <alignment horizontal="left" vertical="center"/>
    </xf>
    <xf numFmtId="0" fontId="31" fillId="13" borderId="33" xfId="3" applyFont="1" applyFill="1" applyBorder="1" applyAlignment="1">
      <alignment horizontal="left" vertical="center" indent="1"/>
    </xf>
    <xf numFmtId="0" fontId="31" fillId="14" borderId="34" xfId="3" applyFont="1" applyFill="1" applyBorder="1" applyAlignment="1">
      <alignment horizontal="left" vertical="center" indent="1"/>
    </xf>
    <xf numFmtId="0" fontId="31" fillId="13" borderId="34" xfId="3" applyFont="1" applyFill="1" applyBorder="1" applyAlignment="1">
      <alignment horizontal="left" vertical="center" indent="1"/>
    </xf>
    <xf numFmtId="0" fontId="31" fillId="9" borderId="35" xfId="3" applyFont="1" applyFill="1" applyBorder="1" applyAlignment="1">
      <alignment horizontal="left" vertical="center" indent="1"/>
    </xf>
    <xf numFmtId="0" fontId="31" fillId="15" borderId="34" xfId="3" applyFont="1" applyFill="1" applyBorder="1" applyAlignment="1">
      <alignment horizontal="left" vertical="center" indent="1"/>
    </xf>
    <xf numFmtId="0" fontId="31" fillId="9" borderId="34" xfId="3" applyFont="1" applyFill="1" applyBorder="1" applyAlignment="1">
      <alignment horizontal="left" vertical="center" indent="1"/>
    </xf>
    <xf numFmtId="0" fontId="31" fillId="13" borderId="35" xfId="3" applyFont="1" applyFill="1" applyBorder="1" applyAlignment="1">
      <alignment horizontal="left" vertical="center" indent="1"/>
    </xf>
    <xf numFmtId="0" fontId="29" fillId="15" borderId="37" xfId="3" applyFont="1" applyFill="1" applyBorder="1" applyAlignment="1">
      <alignment horizontal="center" vertical="center"/>
    </xf>
    <xf numFmtId="0" fontId="29" fillId="9" borderId="37" xfId="3" applyFont="1" applyFill="1" applyBorder="1" applyAlignment="1">
      <alignment horizontal="center" vertical="center"/>
    </xf>
    <xf numFmtId="0" fontId="29" fillId="14" borderId="37" xfId="3" applyFont="1" applyFill="1" applyBorder="1" applyAlignment="1">
      <alignment horizontal="center" vertical="center"/>
    </xf>
    <xf numFmtId="0" fontId="29" fillId="13" borderId="37" xfId="3" applyFont="1" applyFill="1" applyBorder="1" applyAlignment="1">
      <alignment horizontal="center" vertical="center"/>
    </xf>
    <xf numFmtId="0" fontId="30" fillId="12" borderId="33" xfId="3" applyFont="1" applyFill="1" applyBorder="1" applyAlignment="1">
      <alignment horizontal="center" vertical="center"/>
    </xf>
    <xf numFmtId="0" fontId="30" fillId="12" borderId="30" xfId="3" applyFont="1" applyFill="1" applyBorder="1" applyAlignment="1">
      <alignment horizontal="center" vertical="center"/>
    </xf>
    <xf numFmtId="0" fontId="30" fillId="12" borderId="36" xfId="3" applyFont="1" applyFill="1" applyBorder="1" applyAlignment="1">
      <alignment horizontal="center" vertical="center"/>
    </xf>
    <xf numFmtId="0" fontId="31" fillId="13" borderId="39" xfId="3" applyFont="1" applyFill="1" applyBorder="1" applyAlignment="1">
      <alignment horizontal="left" vertical="center" indent="1"/>
    </xf>
    <xf numFmtId="0" fontId="33" fillId="13" borderId="40" xfId="3" applyFont="1" applyFill="1" applyBorder="1" applyAlignment="1">
      <alignment horizontal="center" vertical="center"/>
    </xf>
    <xf numFmtId="0" fontId="29" fillId="13" borderId="40" xfId="3" applyFont="1" applyFill="1" applyBorder="1" applyAlignment="1">
      <alignment horizontal="left" vertical="center"/>
    </xf>
    <xf numFmtId="0" fontId="32" fillId="13" borderId="30" xfId="3" applyFont="1" applyFill="1" applyBorder="1" applyAlignment="1">
      <alignment horizontal="left" vertical="center"/>
    </xf>
    <xf numFmtId="0" fontId="32" fillId="14" borderId="31" xfId="3" applyFont="1" applyFill="1" applyBorder="1" applyAlignment="1">
      <alignment horizontal="left" vertical="center"/>
    </xf>
    <xf numFmtId="0" fontId="32" fillId="13" borderId="31" xfId="3" applyFont="1" applyFill="1" applyBorder="1" applyAlignment="1">
      <alignment horizontal="left" vertical="center"/>
    </xf>
    <xf numFmtId="0" fontId="32" fillId="9" borderId="32" xfId="3" applyFont="1" applyFill="1" applyBorder="1" applyAlignment="1">
      <alignment horizontal="left" vertical="center"/>
    </xf>
    <xf numFmtId="0" fontId="32" fillId="15" borderId="31" xfId="3" applyFont="1" applyFill="1" applyBorder="1" applyAlignment="1">
      <alignment horizontal="left" vertical="center"/>
    </xf>
    <xf numFmtId="0" fontId="32" fillId="9" borderId="31" xfId="3" applyFont="1" applyFill="1" applyBorder="1" applyAlignment="1">
      <alignment horizontal="left" vertical="center"/>
    </xf>
    <xf numFmtId="0" fontId="32" fillId="13" borderId="32" xfId="3" applyFont="1" applyFill="1" applyBorder="1" applyAlignment="1">
      <alignment horizontal="left" vertical="center"/>
    </xf>
    <xf numFmtId="0" fontId="32" fillId="13" borderId="40" xfId="3" applyFont="1" applyFill="1" applyBorder="1" applyAlignment="1">
      <alignment horizontal="left" vertical="center"/>
    </xf>
    <xf numFmtId="0" fontId="29" fillId="9" borderId="38" xfId="1" applyFont="1" applyFill="1" applyBorder="1" applyAlignment="1">
      <alignment horizontal="center" vertical="center"/>
    </xf>
    <xf numFmtId="0" fontId="29" fillId="9" borderId="37" xfId="1" applyFont="1" applyFill="1" applyBorder="1" applyAlignment="1">
      <alignment horizontal="center" vertical="center"/>
    </xf>
    <xf numFmtId="0" fontId="29" fillId="14" borderId="38" xfId="1" applyFont="1" applyFill="1" applyBorder="1" applyAlignment="1">
      <alignment horizontal="center" vertical="center"/>
    </xf>
    <xf numFmtId="0" fontId="29" fillId="14" borderId="37" xfId="1" applyFont="1" applyFill="1" applyBorder="1" applyAlignment="1">
      <alignment horizontal="center" vertical="center"/>
    </xf>
    <xf numFmtId="0" fontId="29" fillId="14" borderId="41" xfId="1" applyFont="1" applyFill="1" applyBorder="1" applyAlignment="1">
      <alignment horizontal="center" vertical="center"/>
    </xf>
    <xf numFmtId="0" fontId="29" fillId="9" borderId="31" xfId="1" applyFont="1" applyFill="1" applyBorder="1"/>
    <xf numFmtId="0" fontId="0" fillId="0" borderId="0" xfId="0" applyAlignment="1">
      <alignment wrapText="1"/>
    </xf>
    <xf numFmtId="0" fontId="34" fillId="14" borderId="45" xfId="0" applyFont="1" applyFill="1" applyBorder="1" applyAlignment="1" applyProtection="1">
      <alignment horizontal="center" vertical="center"/>
      <protection locked="0"/>
    </xf>
    <xf numFmtId="0" fontId="34" fillId="14" borderId="42" xfId="0" applyFont="1" applyFill="1" applyBorder="1" applyAlignment="1" applyProtection="1">
      <alignment horizontal="center" vertical="center"/>
      <protection locked="0"/>
    </xf>
    <xf numFmtId="0" fontId="36" fillId="9" borderId="44" xfId="0" applyFont="1" applyFill="1" applyBorder="1" applyAlignment="1">
      <alignment horizontal="center" vertical="center"/>
    </xf>
    <xf numFmtId="0" fontId="34" fillId="14" borderId="43" xfId="0" applyFont="1" applyFill="1" applyBorder="1" applyAlignment="1" applyProtection="1">
      <alignment horizontal="center" vertical="center"/>
      <protection locked="0"/>
    </xf>
    <xf numFmtId="0" fontId="29" fillId="14" borderId="31" xfId="1" applyFont="1" applyFill="1" applyBorder="1"/>
    <xf numFmtId="0" fontId="29" fillId="9" borderId="32" xfId="1" applyFont="1" applyFill="1" applyBorder="1"/>
    <xf numFmtId="0" fontId="29" fillId="14" borderId="32" xfId="1" applyFont="1" applyFill="1" applyBorder="1"/>
    <xf numFmtId="0" fontId="37" fillId="14" borderId="31" xfId="1" applyFont="1" applyFill="1" applyBorder="1"/>
    <xf numFmtId="0" fontId="19" fillId="10" borderId="0" xfId="0" applyFont="1" applyFill="1" applyAlignment="1">
      <alignment horizontal="center"/>
    </xf>
    <xf numFmtId="0" fontId="23" fillId="8" borderId="26" xfId="0" applyFont="1" applyFill="1" applyBorder="1" applyAlignment="1">
      <alignment horizontal="center" vertical="center" wrapText="1"/>
    </xf>
    <xf numFmtId="0" fontId="23" fillId="8" borderId="27" xfId="0" applyFont="1" applyFill="1" applyBorder="1" applyAlignment="1">
      <alignment horizontal="center" vertical="center" wrapText="1"/>
    </xf>
    <xf numFmtId="0" fontId="26" fillId="8" borderId="23" xfId="0" applyFont="1" applyFill="1" applyBorder="1" applyAlignment="1" applyProtection="1">
      <alignment horizontal="center" vertical="center"/>
      <protection hidden="1"/>
    </xf>
    <xf numFmtId="0" fontId="26" fillId="8" borderId="24" xfId="0" applyFont="1" applyFill="1" applyBorder="1" applyAlignment="1" applyProtection="1">
      <alignment horizontal="center" vertical="center"/>
      <protection locked="0"/>
    </xf>
    <xf numFmtId="0" fontId="26" fillId="8" borderId="23" xfId="0" applyFont="1" applyFill="1" applyBorder="1" applyAlignment="1" applyProtection="1">
      <alignment horizontal="center" vertical="center"/>
      <protection locked="0"/>
    </xf>
    <xf numFmtId="0" fontId="25" fillId="8" borderId="21" xfId="0" applyFont="1" applyFill="1" applyBorder="1" applyAlignment="1">
      <alignment horizontal="center" vertical="center" wrapText="1"/>
    </xf>
    <xf numFmtId="0" fontId="25" fillId="8" borderId="0" xfId="0" applyFont="1" applyFill="1" applyAlignment="1">
      <alignment horizontal="center" vertical="center" wrapText="1"/>
    </xf>
    <xf numFmtId="0" fontId="24" fillId="8" borderId="0" xfId="0" applyFont="1" applyFill="1" applyAlignment="1" applyProtection="1">
      <alignment horizontal="center" vertical="center" wrapText="1"/>
      <protection locked="0"/>
    </xf>
    <xf numFmtId="0" fontId="24" fillId="8" borderId="22" xfId="0" applyFont="1" applyFill="1" applyBorder="1" applyAlignment="1" applyProtection="1">
      <alignment horizontal="center" vertical="center" wrapText="1"/>
      <protection locked="0"/>
    </xf>
    <xf numFmtId="0" fontId="18" fillId="9" borderId="0" xfId="0" applyFont="1" applyFill="1" applyAlignment="1" applyProtection="1">
      <alignment horizontal="center"/>
      <protection locked="0"/>
    </xf>
    <xf numFmtId="0" fontId="23" fillId="8" borderId="21" xfId="0" applyFont="1" applyFill="1" applyBorder="1" applyAlignment="1">
      <alignment horizontal="center" vertical="center" wrapText="1"/>
    </xf>
    <xf numFmtId="0" fontId="23" fillId="8" borderId="0" xfId="0" applyFont="1" applyFill="1" applyAlignment="1">
      <alignment horizontal="center" vertical="center" wrapText="1"/>
    </xf>
    <xf numFmtId="0" fontId="22" fillId="9" borderId="0" xfId="0" applyFont="1" applyFill="1" applyAlignment="1">
      <alignment horizontal="center" vertical="center"/>
    </xf>
    <xf numFmtId="0" fontId="20" fillId="10" borderId="0" xfId="0" applyFont="1" applyFill="1" applyAlignment="1">
      <alignment horizontal="center" vertical="center"/>
    </xf>
    <xf numFmtId="0" fontId="24" fillId="8" borderId="27" xfId="0" applyFont="1" applyFill="1" applyBorder="1" applyAlignment="1" applyProtection="1">
      <alignment horizontal="center" wrapText="1"/>
      <protection locked="0"/>
    </xf>
    <xf numFmtId="0" fontId="26" fillId="8" borderId="0" xfId="2" applyFont="1" applyFill="1" applyAlignment="1">
      <alignment horizontal="center" vertical="center"/>
    </xf>
    <xf numFmtId="0" fontId="24" fillId="8" borderId="27" xfId="0" applyFont="1" applyFill="1" applyBorder="1" applyAlignment="1" applyProtection="1">
      <alignment horizontal="center" vertical="center" wrapText="1"/>
      <protection locked="0"/>
    </xf>
    <xf numFmtId="0" fontId="24" fillId="8" borderId="28" xfId="0" applyFont="1" applyFill="1" applyBorder="1" applyAlignment="1" applyProtection="1">
      <alignment horizontal="center" vertical="center" wrapText="1"/>
      <protection locked="0"/>
    </xf>
    <xf numFmtId="0" fontId="24" fillId="8" borderId="23" xfId="0" applyFont="1" applyFill="1" applyBorder="1" applyAlignment="1" applyProtection="1">
      <alignment horizontal="center" vertical="center" wrapText="1"/>
      <protection locked="0"/>
    </xf>
    <xf numFmtId="0" fontId="24" fillId="8" borderId="25" xfId="0" applyFont="1" applyFill="1" applyBorder="1" applyAlignment="1" applyProtection="1">
      <alignment horizontal="center" vertical="center" wrapText="1"/>
      <protection locked="0"/>
    </xf>
    <xf numFmtId="0" fontId="26" fillId="8" borderId="23" xfId="0" applyFont="1" applyFill="1" applyBorder="1" applyAlignment="1" applyProtection="1">
      <alignment horizontal="center" vertical="center"/>
      <protection locked="0" hidden="1"/>
    </xf>
    <xf numFmtId="0" fontId="26" fillId="8" borderId="0" xfId="0" applyFont="1" applyFill="1" applyAlignment="1">
      <alignment horizontal="center" vertical="center"/>
    </xf>
    <xf numFmtId="0" fontId="24" fillId="8" borderId="23" xfId="0" applyFont="1" applyFill="1" applyBorder="1" applyAlignment="1" applyProtection="1">
      <alignment horizontal="center"/>
      <protection locked="0"/>
    </xf>
    <xf numFmtId="0" fontId="23" fillId="8" borderId="24" xfId="0" applyFont="1" applyFill="1" applyBorder="1" applyAlignment="1">
      <alignment horizontal="center" vertical="center" wrapText="1"/>
    </xf>
    <xf numFmtId="0" fontId="23" fillId="8" borderId="23" xfId="0" applyFont="1" applyFill="1" applyBorder="1" applyAlignment="1">
      <alignment horizontal="center" vertical="center" wrapText="1"/>
    </xf>
    <xf numFmtId="0" fontId="26" fillId="8" borderId="21" xfId="2" applyFont="1" applyFill="1" applyBorder="1" applyAlignment="1">
      <alignment horizontal="center" vertical="center"/>
    </xf>
    <xf numFmtId="0" fontId="3" fillId="0" borderId="0" xfId="0" applyFont="1" applyAlignment="1">
      <alignment horizontal="center" wrapText="1"/>
    </xf>
    <xf numFmtId="0" fontId="25" fillId="8" borderId="20" xfId="0" applyFont="1" applyFill="1" applyBorder="1" applyAlignment="1">
      <alignment horizontal="center" vertical="center" wrapText="1"/>
    </xf>
    <xf numFmtId="0" fontId="24" fillId="8" borderId="27" xfId="0" applyFont="1" applyFill="1" applyBorder="1" applyAlignment="1" applyProtection="1">
      <alignment horizontal="center"/>
      <protection locked="0"/>
    </xf>
    <xf numFmtId="0" fontId="3" fillId="0" borderId="0" xfId="0" applyFont="1"/>
    <xf numFmtId="0" fontId="10" fillId="0" borderId="0" xfId="0" applyFont="1"/>
    <xf numFmtId="0" fontId="3" fillId="0" borderId="0" xfId="0" applyFont="1" applyAlignment="1">
      <alignment vertical="center"/>
    </xf>
    <xf numFmtId="0" fontId="3" fillId="0" borderId="0" xfId="0" applyFont="1" applyAlignment="1">
      <alignment horizontal="center"/>
    </xf>
    <xf numFmtId="0" fontId="18" fillId="9" borderId="0" xfId="0" applyFont="1" applyFill="1" applyAlignment="1">
      <alignment horizontal="center"/>
    </xf>
    <xf numFmtId="0" fontId="27" fillId="9" borderId="0" xfId="0" applyFont="1" applyFill="1"/>
    <xf numFmtId="0" fontId="18" fillId="9" borderId="0" xfId="0" applyFont="1" applyFill="1"/>
    <xf numFmtId="0" fontId="34" fillId="14" borderId="45" xfId="0" applyFont="1" applyFill="1" applyBorder="1" applyAlignment="1">
      <alignment horizontal="center" vertical="center"/>
    </xf>
    <xf numFmtId="0" fontId="34" fillId="14" borderId="42" xfId="0" applyFont="1" applyFill="1" applyBorder="1" applyAlignment="1" applyProtection="1">
      <alignment vertical="center"/>
      <protection locked="0"/>
    </xf>
    <xf numFmtId="0" fontId="35" fillId="16" borderId="46" xfId="0" quotePrefix="1" applyFont="1" applyFill="1" applyBorder="1" applyAlignment="1">
      <alignment horizontal="center" vertical="center"/>
    </xf>
    <xf numFmtId="0" fontId="35" fillId="16" borderId="47" xfId="0" applyFont="1" applyFill="1" applyBorder="1" applyAlignment="1" applyProtection="1">
      <alignment horizontal="center" vertical="center"/>
      <protection locked="0"/>
    </xf>
    <xf numFmtId="0" fontId="37" fillId="14" borderId="0" xfId="1" applyFont="1" applyFill="1" applyBorder="1"/>
    <xf numFmtId="0" fontId="24" fillId="11" borderId="27" xfId="0" applyFont="1" applyFill="1" applyBorder="1" applyAlignment="1" applyProtection="1">
      <alignment horizontal="center" vertical="center" wrapText="1"/>
    </xf>
    <xf numFmtId="0" fontId="24" fillId="11" borderId="28" xfId="0" applyFont="1" applyFill="1" applyBorder="1" applyAlignment="1" applyProtection="1">
      <alignment horizontal="center" vertical="center" wrapText="1"/>
    </xf>
    <xf numFmtId="0" fontId="38" fillId="17" borderId="48" xfId="0" applyFont="1" applyFill="1" applyBorder="1" applyAlignment="1">
      <alignment vertical="top" wrapText="1" readingOrder="1"/>
    </xf>
    <xf numFmtId="0" fontId="38" fillId="17" borderId="0" xfId="0" applyFont="1" applyFill="1" applyAlignment="1">
      <alignment vertical="top" wrapText="1" readingOrder="1"/>
    </xf>
    <xf numFmtId="0" fontId="39" fillId="0" borderId="48" xfId="0" applyFont="1" applyBorder="1" applyAlignment="1">
      <alignment vertical="top" wrapText="1" readingOrder="1"/>
    </xf>
    <xf numFmtId="14" fontId="39" fillId="0" borderId="48" xfId="0" applyNumberFormat="1" applyFont="1" applyBorder="1" applyAlignment="1">
      <alignment vertical="top" wrapText="1" readingOrder="1"/>
    </xf>
    <xf numFmtId="164" fontId="39" fillId="0" borderId="48" xfId="0" applyNumberFormat="1" applyFont="1" applyBorder="1" applyAlignment="1">
      <alignment vertical="top" wrapText="1" readingOrder="1"/>
    </xf>
    <xf numFmtId="0" fontId="40" fillId="0" borderId="0" xfId="0" applyFont="1" applyAlignment="1">
      <alignment vertical="top" wrapText="1"/>
    </xf>
    <xf numFmtId="0" fontId="0" fillId="0" borderId="0" xfId="0" applyAlignment="1">
      <alignment vertical="top" wrapText="1"/>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D9A441"/>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127000</xdr:colOff>
      <xdr:row>17</xdr:row>
      <xdr:rowOff>143435</xdr:rowOff>
    </xdr:from>
    <xdr:to>
      <xdr:col>4</xdr:col>
      <xdr:colOff>400050</xdr:colOff>
      <xdr:row>27</xdr:row>
      <xdr:rowOff>17929</xdr:rowOff>
    </xdr:to>
    <xdr:sp macro="" textlink="">
      <xdr:nvSpPr>
        <xdr:cNvPr id="38" name="NGADD_PANELCARD_UTL">
          <a:extLst>
            <a:ext uri="{FF2B5EF4-FFF2-40B4-BE49-F238E27FC236}">
              <a16:creationId xmlns:a16="http://schemas.microsoft.com/office/drawing/2014/main" id="{8073C734-BE9A-8420-0E76-5D09FB2EEDB3}"/>
            </a:ext>
          </a:extLst>
        </xdr:cNvPr>
        <xdr:cNvSpPr/>
      </xdr:nvSpPr>
      <xdr:spPr>
        <a:xfrm>
          <a:off x="127000" y="4527176"/>
          <a:ext cx="2299074" cy="2447365"/>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5</xdr:row>
      <xdr:rowOff>179659</xdr:rowOff>
    </xdr:from>
    <xdr:to>
      <xdr:col>4</xdr:col>
      <xdr:colOff>400050</xdr:colOff>
      <xdr:row>15</xdr:row>
      <xdr:rowOff>44827</xdr:rowOff>
    </xdr:to>
    <xdr:sp macro="" textlink="">
      <xdr:nvSpPr>
        <xdr:cNvPr id="37" name="NGADD_PANELCARD_ACT">
          <a:extLst>
            <a:ext uri="{FF2B5EF4-FFF2-40B4-BE49-F238E27FC236}">
              <a16:creationId xmlns:a16="http://schemas.microsoft.com/office/drawing/2014/main" id="{E1F51EED-F8BE-D213-B61F-A4705A767866}"/>
            </a:ext>
          </a:extLst>
        </xdr:cNvPr>
        <xdr:cNvSpPr/>
      </xdr:nvSpPr>
      <xdr:spPr>
        <a:xfrm>
          <a:off x="127000" y="1398859"/>
          <a:ext cx="2299074" cy="2411144"/>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1493</xdr:colOff>
      <xdr:row>11</xdr:row>
      <xdr:rowOff>29582</xdr:rowOff>
    </xdr:from>
    <xdr:to>
      <xdr:col>20</xdr:col>
      <xdr:colOff>39892</xdr:colOff>
      <xdr:row>11</xdr:row>
      <xdr:rowOff>343347</xdr:rowOff>
    </xdr:to>
    <xdr:sp macro="" textlink="">
      <xdr:nvSpPr>
        <xdr:cNvPr id="11" name="Rectangle: Rounded Corners 10" descr="NGORIG|5|-1|16777215|500|-1|15457490|75|-1|Calibri|115|-1|0|0">
          <a:extLst>
            <a:ext uri="{FF2B5EF4-FFF2-40B4-BE49-F238E27FC236}">
              <a16:creationId xmlns:a16="http://schemas.microsoft.com/office/drawing/2014/main" id="{6ACE78C1-C438-455E-A6B2-D6BF95671B7E}"/>
            </a:ext>
          </a:extLst>
        </xdr:cNvPr>
        <xdr:cNvSpPr/>
      </xdr:nvSpPr>
      <xdr:spPr>
        <a:xfrm>
          <a:off x="2913422" y="2270225"/>
          <a:ext cx="9762970"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Customer</a:t>
          </a:r>
          <a:r>
            <a:rPr lang="en-US" sz="1050" b="1" i="0" baseline="0">
              <a:solidFill>
                <a:srgbClr val="FFFFFF"/>
              </a:solidFill>
              <a:latin typeface="Segoe UI" panose="020B0502040204020203" pitchFamily="34" charset="0"/>
            </a:rPr>
            <a:t> Information</a:t>
          </a:r>
          <a:endParaRPr lang="en-US" sz="1050" b="1" i="0">
            <a:solidFill>
              <a:srgbClr val="FFFFFF"/>
            </a:solidFill>
            <a:latin typeface="Segoe UI" panose="020B0502040204020203" pitchFamily="34" charset="0"/>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Rounded Corners 12" descr="NGORIG|5|-1|16777215|500|-1|15457490|75|-1|Calibri|115|-1|0|0">
          <a:extLst>
            <a:ext uri="{FF2B5EF4-FFF2-40B4-BE49-F238E27FC236}">
              <a16:creationId xmlns:a16="http://schemas.microsoft.com/office/drawing/2014/main" id="{BACEB14D-549C-4C20-9768-2242149249A7}"/>
            </a:ext>
          </a:extLst>
        </xdr:cNvPr>
        <xdr:cNvSpPr/>
      </xdr:nvSpPr>
      <xdr:spPr>
        <a:xfrm>
          <a:off x="2985248" y="3836895"/>
          <a:ext cx="8148917"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Rounded Corners 13" descr="NGORIG|5|-1|16777215|500|-1|15457490|75|-1|Calibri|115|-1|0|0">
          <a:extLst>
            <a:ext uri="{FF2B5EF4-FFF2-40B4-BE49-F238E27FC236}">
              <a16:creationId xmlns:a16="http://schemas.microsoft.com/office/drawing/2014/main" id="{36D156AD-2FE2-4384-A3C6-3B9BB06EFA66}"/>
            </a:ext>
          </a:extLst>
        </xdr:cNvPr>
        <xdr:cNvSpPr/>
      </xdr:nvSpPr>
      <xdr:spPr>
        <a:xfrm>
          <a:off x="2993571" y="6030686"/>
          <a:ext cx="9336101"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Country Risk Rating</a:t>
          </a:r>
        </a:p>
      </xdr:txBody>
    </xdr:sp>
    <xdr:clientData/>
  </xdr:twoCellAnchor>
  <xdr:twoCellAnchor>
    <xdr:from>
      <xdr:col>6</xdr:col>
      <xdr:colOff>26893</xdr:colOff>
      <xdr:row>2</xdr:row>
      <xdr:rowOff>160979</xdr:rowOff>
    </xdr:from>
    <xdr:to>
      <xdr:col>20</xdr:col>
      <xdr:colOff>12036</xdr:colOff>
      <xdr:row>3</xdr:row>
      <xdr:rowOff>241662</xdr:rowOff>
    </xdr:to>
    <xdr:sp macro="" textlink="">
      <xdr:nvSpPr>
        <xdr:cNvPr id="15" name="Rectangle: Rounded Corners 14" descr="NGORIG|5|-1|16777215|500|-1|15457490|75|-1|Calibri|115|-1|0|0">
          <a:extLst>
            <a:ext uri="{FF2B5EF4-FFF2-40B4-BE49-F238E27FC236}">
              <a16:creationId xmlns:a16="http://schemas.microsoft.com/office/drawing/2014/main" id="{E3D30C5C-01BD-4658-B762-30C6DDCC7868}"/>
            </a:ext>
          </a:extLst>
        </xdr:cNvPr>
        <xdr:cNvSpPr/>
      </xdr:nvSpPr>
      <xdr:spPr>
        <a:xfrm>
          <a:off x="2886634" y="241661"/>
          <a:ext cx="9559449" cy="313766"/>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Alert Related Information</a:t>
          </a:r>
        </a:p>
      </xdr:txBody>
    </xdr:sp>
    <xdr:clientData/>
  </xdr:twoCellAnchor>
  <xdr:twoCellAnchor>
    <xdr:from>
      <xdr:col>0</xdr:col>
      <xdr:colOff>138953</xdr:colOff>
      <xdr:row>3</xdr:row>
      <xdr:rowOff>322347</xdr:rowOff>
    </xdr:from>
    <xdr:to>
      <xdr:col>4</xdr:col>
      <xdr:colOff>408073</xdr:colOff>
      <xdr:row>5</xdr:row>
      <xdr:rowOff>80300</xdr:rowOff>
    </xdr:to>
    <xdr:sp macro="" textlink="">
      <xdr:nvSpPr>
        <xdr:cNvPr id="18" name="Rectangle: Rounded Corners 17" descr="NGORIG|5|-1|16777215|500|-1|15457490|75|-1|Calibri|115|-1|0|0">
          <a:extLst>
            <a:ext uri="{FF2B5EF4-FFF2-40B4-BE49-F238E27FC236}">
              <a16:creationId xmlns:a16="http://schemas.microsoft.com/office/drawing/2014/main" id="{4016A711-4E3B-496F-9AD8-CD2092CAA497}"/>
            </a:ext>
          </a:extLst>
        </xdr:cNvPr>
        <xdr:cNvSpPr/>
      </xdr:nvSpPr>
      <xdr:spPr>
        <a:xfrm>
          <a:off x="138953" y="985735"/>
          <a:ext cx="2295144" cy="313765"/>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ACTION PANEL</a:t>
          </a:r>
        </a:p>
      </xdr:txBody>
    </xdr:sp>
    <xdr:clientData/>
  </xdr:twoCellAnchor>
  <xdr:twoCellAnchor>
    <xdr:from>
      <xdr:col>0</xdr:col>
      <xdr:colOff>323867</xdr:colOff>
      <xdr:row>6</xdr:row>
      <xdr:rowOff>137975</xdr:rowOff>
    </xdr:from>
    <xdr:to>
      <xdr:col>4</xdr:col>
      <xdr:colOff>203183</xdr:colOff>
      <xdr:row>7</xdr:row>
      <xdr:rowOff>244056</xdr:rowOff>
    </xdr:to>
    <xdr:sp macro="[0]!Start_Button_Create_Folders" textlink="">
      <xdr:nvSpPr>
        <xdr:cNvPr id="20" name="Rectangle: Rounded Corners 19" descr="NGORIG|5|-1|16777215|180|-1|15127752|100|-1|Calibri|110|-1|0|6299648">
          <a:extLst>
            <a:ext uri="{FF2B5EF4-FFF2-40B4-BE49-F238E27FC236}">
              <a16:creationId xmlns:a16="http://schemas.microsoft.com/office/drawing/2014/main" id="{4C205278-5C20-4A0D-A76A-A9AF4CA1BFB2}"/>
            </a:ext>
          </a:extLst>
        </xdr:cNvPr>
        <xdr:cNvSpPr/>
      </xdr:nvSpPr>
      <xdr:spPr>
        <a:xfrm>
          <a:off x="323867" y="1590257"/>
          <a:ext cx="1905340" cy="339164"/>
        </a:xfrm>
        <a:prstGeom prst="roundRect">
          <a:avLst>
            <a:gd name="adj" fmla="val 28000"/>
          </a:avLst>
        </a:prstGeom>
        <a:solidFill>
          <a:srgbClr val="D9A441">
            <a:alpha val="82000"/>
          </a:srgbClr>
        </a:solidFill>
        <a:ln w="15875" cap="flat" cmpd="sng" algn="ctr">
          <a:solidFill>
            <a:srgbClr val="E5C27A"/>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18243E"/>
              </a:solidFill>
              <a:latin typeface="Segoe UI" panose="020B0502040204020203" pitchFamily="34" charset="0"/>
            </a:rPr>
            <a:t>Start</a:t>
          </a:r>
        </a:p>
      </xdr:txBody>
    </xdr:sp>
    <xdr:clientData/>
  </xdr:twoCellAnchor>
  <xdr:twoCellAnchor>
    <xdr:from>
      <xdr:col>0</xdr:col>
      <xdr:colOff>132772</xdr:colOff>
      <xdr:row>15</xdr:row>
      <xdr:rowOff>367558</xdr:rowOff>
    </xdr:from>
    <xdr:to>
      <xdr:col>4</xdr:col>
      <xdr:colOff>412209</xdr:colOff>
      <xdr:row>17</xdr:row>
      <xdr:rowOff>62758</xdr:rowOff>
    </xdr:to>
    <xdr:sp macro="" textlink="">
      <xdr:nvSpPr>
        <xdr:cNvPr id="22" name="Rectangle: Rounded Corners 21" descr="NGORIG|5|-1|16777215|500|-1|15457490|75|-1|Calibri|115|-1|0|0">
          <a:extLst>
            <a:ext uri="{FF2B5EF4-FFF2-40B4-BE49-F238E27FC236}">
              <a16:creationId xmlns:a16="http://schemas.microsoft.com/office/drawing/2014/main" id="{AB7B1A9E-F5D5-423F-AD1B-C2DFAA0612AA}"/>
            </a:ext>
          </a:extLst>
        </xdr:cNvPr>
        <xdr:cNvSpPr/>
      </xdr:nvSpPr>
      <xdr:spPr>
        <a:xfrm>
          <a:off x="132772" y="4132734"/>
          <a:ext cx="2305461" cy="313765"/>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UTILITY PANEL</a:t>
          </a:r>
        </a:p>
      </xdr:txBody>
    </xdr:sp>
    <xdr:clientData/>
  </xdr:twoCellAnchor>
  <xdr:twoCellAnchor>
    <xdr:from>
      <xdr:col>0</xdr:col>
      <xdr:colOff>323867</xdr:colOff>
      <xdr:row>8</xdr:row>
      <xdr:rowOff>192660</xdr:rowOff>
    </xdr:from>
    <xdr:to>
      <xdr:col>4</xdr:col>
      <xdr:colOff>203183</xdr:colOff>
      <xdr:row>10</xdr:row>
      <xdr:rowOff>58936</xdr:rowOff>
    </xdr:to>
    <xdr:sp macro="[0]!Consolidated_AML_Workflow" textlink="">
      <xdr:nvSpPr>
        <xdr:cNvPr id="25" name="Rectangle: Rounded Corners 24" descr="NGORIG|5|-1|16777215|180|-1|15127752|100|-1|Calibri|110|-1|0|6299648">
          <a:extLst>
            <a:ext uri="{FF2B5EF4-FFF2-40B4-BE49-F238E27FC236}">
              <a16:creationId xmlns:a16="http://schemas.microsoft.com/office/drawing/2014/main" id="{6F269840-D253-4F96-94A4-6145EC1ADBF2}"/>
            </a:ext>
          </a:extLst>
        </xdr:cNvPr>
        <xdr:cNvSpPr/>
      </xdr:nvSpPr>
      <xdr:spPr>
        <a:xfrm>
          <a:off x="323867" y="2146966"/>
          <a:ext cx="1905340" cy="332441"/>
        </a:xfrm>
        <a:prstGeom prst="roundRect">
          <a:avLst>
            <a:gd name="adj" fmla="val 28000"/>
          </a:avLst>
        </a:prstGeom>
        <a:solidFill>
          <a:srgbClr val="223456">
            <a:alpha val="82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Export Trx File</a:t>
          </a:r>
        </a:p>
      </xdr:txBody>
    </xdr:sp>
    <xdr:clientData/>
  </xdr:twoCellAnchor>
  <xdr:twoCellAnchor>
    <xdr:from>
      <xdr:col>0</xdr:col>
      <xdr:colOff>323867</xdr:colOff>
      <xdr:row>11</xdr:row>
      <xdr:rowOff>43399</xdr:rowOff>
    </xdr:from>
    <xdr:to>
      <xdr:col>4</xdr:col>
      <xdr:colOff>203183</xdr:colOff>
      <xdr:row>11</xdr:row>
      <xdr:rowOff>382564</xdr:rowOff>
    </xdr:to>
    <xdr:sp macro="[0]!SearchAndSavePDF_Direct" textlink="">
      <xdr:nvSpPr>
        <xdr:cNvPr id="26" name="Rectangle: Rounded Corners 25" descr="NGORIG|1|-1|16777215|300|-1|16777215|100|-1|Segoe UI|110|-1|0|5125672">
          <a:extLst>
            <a:ext uri="{FF2B5EF4-FFF2-40B4-BE49-F238E27FC236}">
              <a16:creationId xmlns:a16="http://schemas.microsoft.com/office/drawing/2014/main" id="{875465EF-B18A-4979-8820-88D9ECE858C9}"/>
            </a:ext>
          </a:extLst>
        </xdr:cNvPr>
        <xdr:cNvSpPr/>
      </xdr:nvSpPr>
      <xdr:spPr>
        <a:xfrm>
          <a:off x="323867" y="2696952"/>
          <a:ext cx="1905340" cy="339165"/>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OSDD Search</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323867</xdr:colOff>
      <xdr:row>12</xdr:row>
      <xdr:rowOff>210145</xdr:rowOff>
    </xdr:from>
    <xdr:to>
      <xdr:col>4</xdr:col>
      <xdr:colOff>203183</xdr:colOff>
      <xdr:row>14</xdr:row>
      <xdr:rowOff>73806</xdr:rowOff>
    </xdr:to>
    <xdr:sp macro="[0]!ExportToWord" textlink="">
      <xdr:nvSpPr>
        <xdr:cNvPr id="27" name="Rectangle: Rounded Corners 26" descr="NGORIG|1|-1|16777215|300|-1|16777215|100|-1|Segoe UI|110|-1|0|5125672">
          <a:extLst>
            <a:ext uri="{FF2B5EF4-FFF2-40B4-BE49-F238E27FC236}">
              <a16:creationId xmlns:a16="http://schemas.microsoft.com/office/drawing/2014/main" id="{978ACF2F-AD23-49E0-A512-CD5A8DFABE14}"/>
            </a:ext>
          </a:extLst>
        </xdr:cNvPr>
        <xdr:cNvSpPr/>
      </xdr:nvSpPr>
      <xdr:spPr>
        <a:xfrm>
          <a:off x="323867" y="3276074"/>
          <a:ext cx="1905340" cy="329826"/>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Generate Narrative</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323867</xdr:colOff>
      <xdr:row>18</xdr:row>
      <xdr:rowOff>109524</xdr:rowOff>
    </xdr:from>
    <xdr:to>
      <xdr:col>4</xdr:col>
      <xdr:colOff>203183</xdr:colOff>
      <xdr:row>19</xdr:row>
      <xdr:rowOff>208510</xdr:rowOff>
    </xdr:to>
    <xdr:sp macro="[0]!Run_Mass_Rename_v4" textlink="">
      <xdr:nvSpPr>
        <xdr:cNvPr id="28" name="Rectangle: Rounded Corners 27" descr="NGORIG|1|-1|16777215|300|-1|16777215|100|-1|Segoe UI|110|-1|0|5125672">
          <a:extLst>
            <a:ext uri="{FF2B5EF4-FFF2-40B4-BE49-F238E27FC236}">
              <a16:creationId xmlns:a16="http://schemas.microsoft.com/office/drawing/2014/main" id="{714C8204-1104-4EA3-8A47-DB86311CAE92}"/>
            </a:ext>
          </a:extLst>
        </xdr:cNvPr>
        <xdr:cNvSpPr/>
      </xdr:nvSpPr>
      <xdr:spPr>
        <a:xfrm>
          <a:off x="323867" y="4717383"/>
          <a:ext cx="1905340" cy="332068"/>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Rename</a:t>
          </a:r>
          <a:endParaRPr lang="en-US" sz="950" b="1" i="0" baseline="0">
            <a:solidFill>
              <a:srgbClr val="FBEDEA"/>
            </a:solidFill>
            <a:latin typeface="Segoe UI" panose="020B0502040204020203" pitchFamily="34" charset="0"/>
          </a:endParaRPr>
        </a:p>
      </xdr:txBody>
    </xdr:sp>
    <xdr:clientData/>
  </xdr:twoCellAnchor>
  <xdr:twoCellAnchor>
    <xdr:from>
      <xdr:col>0</xdr:col>
      <xdr:colOff>323867</xdr:colOff>
      <xdr:row>20</xdr:row>
      <xdr:rowOff>216053</xdr:rowOff>
    </xdr:from>
    <xdr:to>
      <xdr:col>4</xdr:col>
      <xdr:colOff>203183</xdr:colOff>
      <xdr:row>22</xdr:row>
      <xdr:rowOff>84571</xdr:rowOff>
    </xdr:to>
    <xdr:sp macro="[0]!Trigger_PAD_Merge_Flow" textlink="">
      <xdr:nvSpPr>
        <xdr:cNvPr id="29" name="Rectangle: Rounded Corners 28" descr="NGORIG|1|-1|16777215|300|-1|16777215|100|-1|Segoe UI|110|-1|0|5125672">
          <a:extLst>
            <a:ext uri="{FF2B5EF4-FFF2-40B4-BE49-F238E27FC236}">
              <a16:creationId xmlns:a16="http://schemas.microsoft.com/office/drawing/2014/main" id="{D2D7AD51-C028-4101-A134-26E053E08BCB}"/>
            </a:ext>
          </a:extLst>
        </xdr:cNvPr>
        <xdr:cNvSpPr/>
      </xdr:nvSpPr>
      <xdr:spPr>
        <a:xfrm>
          <a:off x="323867" y="5290077"/>
          <a:ext cx="1905340" cy="334682"/>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PDF Merge</a:t>
          </a:r>
        </a:p>
      </xdr:txBody>
    </xdr:sp>
    <xdr:clientData/>
  </xdr:twoCellAnchor>
  <xdr:twoCellAnchor>
    <xdr:from>
      <xdr:col>0</xdr:col>
      <xdr:colOff>323867</xdr:colOff>
      <xdr:row>24</xdr:row>
      <xdr:rowOff>452270</xdr:rowOff>
    </xdr:from>
    <xdr:to>
      <xdr:col>4</xdr:col>
      <xdr:colOff>203183</xdr:colOff>
      <xdr:row>26</xdr:row>
      <xdr:rowOff>73138</xdr:rowOff>
    </xdr:to>
    <xdr:sp macro="[0]!ClearForm" textlink="">
      <xdr:nvSpPr>
        <xdr:cNvPr id="30" name="Rectangle: Rounded Corners 29" descr="NGORIG|1|-1|16777215|300|-1|16777215|100|-1|Segoe UI|110|-1|0|2763440">
          <a:extLst>
            <a:ext uri="{FF2B5EF4-FFF2-40B4-BE49-F238E27FC236}">
              <a16:creationId xmlns:a16="http://schemas.microsoft.com/office/drawing/2014/main" id="{054896DD-56D2-4AE5-B7A7-94D4FAD813F1}"/>
            </a:ext>
          </a:extLst>
        </xdr:cNvPr>
        <xdr:cNvSpPr/>
      </xdr:nvSpPr>
      <xdr:spPr>
        <a:xfrm>
          <a:off x="323867" y="6458623"/>
          <a:ext cx="1905340" cy="338044"/>
        </a:xfrm>
        <a:prstGeom prst="roundRect">
          <a:avLst>
            <a:gd name="adj" fmla="val 28000"/>
          </a:avLst>
        </a:prstGeom>
        <a:solidFill>
          <a:srgbClr val="9E453C">
            <a:alpha val="70000"/>
          </a:srgbClr>
        </a:solidFill>
        <a:ln w="12700" cap="flat" cmpd="sng" algn="ctr">
          <a:solidFill>
            <a:srgbClr val="C46A60">
              <a:alpha val="8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Reset</a:t>
          </a:r>
        </a:p>
      </xdr:txBody>
    </xdr:sp>
    <xdr:clientData/>
  </xdr:twoCellAnchor>
  <xdr:twoCellAnchor>
    <xdr:from>
      <xdr:col>0</xdr:col>
      <xdr:colOff>323867</xdr:colOff>
      <xdr:row>23</xdr:row>
      <xdr:rowOff>114526</xdr:rowOff>
    </xdr:from>
    <xdr:to>
      <xdr:col>4</xdr:col>
      <xdr:colOff>203183</xdr:colOff>
      <xdr:row>24</xdr:row>
      <xdr:rowOff>220609</xdr:rowOff>
    </xdr:to>
    <xdr:sp macro="WarmUpWorkerProfiles" textlink="">
      <xdr:nvSpPr>
        <xdr:cNvPr id="31" name="btnWarmUp" descr="NGORIG|1|-1|16777215|300|-1|16777215|100|-1|Segoe UI|110|-1|0|5125672">
          <a:extLst>
            <a:ext uri="{FF2B5EF4-FFF2-40B4-BE49-F238E27FC236}">
              <a16:creationId xmlns:a16="http://schemas.microsoft.com/office/drawing/2014/main" id="{837A27E3-F8BE-4346-BF32-7E167DFF7F61}"/>
            </a:ext>
          </a:extLst>
        </xdr:cNvPr>
        <xdr:cNvSpPr/>
      </xdr:nvSpPr>
      <xdr:spPr>
        <a:xfrm>
          <a:off x="323867" y="5887797"/>
          <a:ext cx="1905340" cy="339165"/>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Profile Warm-Up</a:t>
          </a:r>
        </a:p>
      </xdr:txBody>
    </xdr:sp>
    <xdr:clientData/>
  </xdr:twoCellAnchor>
  <xdr:twoCellAnchor>
    <xdr:from>
      <xdr:col>2</xdr:col>
      <xdr:colOff>239059</xdr:colOff>
      <xdr:row>2</xdr:row>
      <xdr:rowOff>61258</xdr:rowOff>
    </xdr:from>
    <xdr:to>
      <xdr:col>4</xdr:col>
      <xdr:colOff>35858</xdr:colOff>
      <xdr:row>3</xdr:row>
      <xdr:rowOff>161738</xdr:rowOff>
    </xdr:to>
    <xdr:sp macro="" textlink="">
      <xdr:nvSpPr>
        <xdr:cNvPr id="36" name="NGADD_TITLE_TXT">
          <a:extLst>
            <a:ext uri="{FF2B5EF4-FFF2-40B4-BE49-F238E27FC236}">
              <a16:creationId xmlns:a16="http://schemas.microsoft.com/office/drawing/2014/main" id="{A9022800-C7FC-F8AB-7892-0BD5E8BAC9F9}"/>
            </a:ext>
          </a:extLst>
        </xdr:cNvPr>
        <xdr:cNvSpPr txBox="1"/>
      </xdr:nvSpPr>
      <xdr:spPr>
        <a:xfrm>
          <a:off x="929341" y="141940"/>
          <a:ext cx="1132541" cy="3335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1700" b="1">
              <a:solidFill>
                <a:srgbClr val="D9A441"/>
              </a:solidFill>
              <a:latin typeface="Segoe UI" panose="020B0502040204020203" pitchFamily="34" charset="0"/>
            </a:rPr>
            <a:t>Beta 3.6</a:t>
          </a:r>
        </a:p>
      </xdr:txBody>
    </xdr:sp>
    <xdr:clientData/>
  </xdr:twoCellAnchor>
  <xdr:twoCellAnchor>
    <xdr:from>
      <xdr:col>19</xdr:col>
      <xdr:colOff>3659392</xdr:colOff>
      <xdr:row>11</xdr:row>
      <xdr:rowOff>29582</xdr:rowOff>
    </xdr:from>
    <xdr:to>
      <xdr:col>20</xdr:col>
      <xdr:colOff>39892</xdr:colOff>
      <xdr:row>11</xdr:row>
      <xdr:rowOff>334382</xdr:rowOff>
    </xdr:to>
    <xdr:sp macro="" textlink="">
      <xdr:nvSpPr>
        <xdr:cNvPr id="39" name="NGADD_FOLD_1">
          <a:extLst>
            <a:ext uri="{FF2B5EF4-FFF2-40B4-BE49-F238E27FC236}">
              <a16:creationId xmlns:a16="http://schemas.microsoft.com/office/drawing/2014/main" id="{4BA0DD28-BC2E-C67C-24AE-2ADC11FA2F2B}"/>
            </a:ext>
          </a:extLst>
        </xdr:cNvPr>
        <xdr:cNvSpPr/>
      </xdr:nvSpPr>
      <xdr:spPr>
        <a:xfrm rot="5400000">
          <a:off x="12238242" y="2645782"/>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3637430</xdr:colOff>
      <xdr:row>15</xdr:row>
      <xdr:rowOff>17930</xdr:rowOff>
    </xdr:from>
    <xdr:to>
      <xdr:col>20</xdr:col>
      <xdr:colOff>17930</xdr:colOff>
      <xdr:row>15</xdr:row>
      <xdr:rowOff>322730</xdr:rowOff>
    </xdr:to>
    <xdr:sp macro="" textlink="">
      <xdr:nvSpPr>
        <xdr:cNvPr id="40" name="NGADD_FOLD_2">
          <a:extLst>
            <a:ext uri="{FF2B5EF4-FFF2-40B4-BE49-F238E27FC236}">
              <a16:creationId xmlns:a16="http://schemas.microsoft.com/office/drawing/2014/main" id="{8160B92C-D198-207F-5E90-42EED4E49C8A}"/>
            </a:ext>
          </a:extLst>
        </xdr:cNvPr>
        <xdr:cNvSpPr/>
      </xdr:nvSpPr>
      <xdr:spPr>
        <a:xfrm rot="5400000">
          <a:off x="12216280" y="3732680"/>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3637429</xdr:colOff>
      <xdr:row>24</xdr:row>
      <xdr:rowOff>43543</xdr:rowOff>
    </xdr:from>
    <xdr:to>
      <xdr:col>20</xdr:col>
      <xdr:colOff>17929</xdr:colOff>
      <xdr:row>24</xdr:row>
      <xdr:rowOff>348343</xdr:rowOff>
    </xdr:to>
    <xdr:sp macro="" textlink="">
      <xdr:nvSpPr>
        <xdr:cNvPr id="41" name="NGADD_FOLD_3">
          <a:extLst>
            <a:ext uri="{FF2B5EF4-FFF2-40B4-BE49-F238E27FC236}">
              <a16:creationId xmlns:a16="http://schemas.microsoft.com/office/drawing/2014/main" id="{8D939221-5B64-F4E7-A2AD-300421C3A1DA}"/>
            </a:ext>
          </a:extLst>
        </xdr:cNvPr>
        <xdr:cNvSpPr/>
      </xdr:nvSpPr>
      <xdr:spPr>
        <a:xfrm rot="5400000">
          <a:off x="12216279" y="5968093"/>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3631537</xdr:colOff>
      <xdr:row>2</xdr:row>
      <xdr:rowOff>160979</xdr:rowOff>
    </xdr:from>
    <xdr:to>
      <xdr:col>20</xdr:col>
      <xdr:colOff>12037</xdr:colOff>
      <xdr:row>3</xdr:row>
      <xdr:rowOff>237179</xdr:rowOff>
    </xdr:to>
    <xdr:sp macro="" textlink="">
      <xdr:nvSpPr>
        <xdr:cNvPr id="42" name="NGADD_FOLD_4">
          <a:extLst>
            <a:ext uri="{FF2B5EF4-FFF2-40B4-BE49-F238E27FC236}">
              <a16:creationId xmlns:a16="http://schemas.microsoft.com/office/drawing/2014/main" id="{40087811-A4D4-FD9B-348C-0DD950CD022E}"/>
            </a:ext>
          </a:extLst>
        </xdr:cNvPr>
        <xdr:cNvSpPr/>
      </xdr:nvSpPr>
      <xdr:spPr>
        <a:xfrm rot="5400000">
          <a:off x="12210387" y="592779"/>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179294</xdr:colOff>
      <xdr:row>2</xdr:row>
      <xdr:rowOff>35859</xdr:rowOff>
    </xdr:from>
    <xdr:to>
      <xdr:col>2</xdr:col>
      <xdr:colOff>231290</xdr:colOff>
      <xdr:row>3</xdr:row>
      <xdr:rowOff>168536</xdr:rowOff>
    </xdr:to>
    <xdr:pic>
      <xdr:nvPicPr>
        <xdr:cNvPr id="3" name="Graphic 2" descr="Shield Tick outline">
          <a:extLst>
            <a:ext uri="{FF2B5EF4-FFF2-40B4-BE49-F238E27FC236}">
              <a16:creationId xmlns:a16="http://schemas.microsoft.com/office/drawing/2014/main" id="{CB77F812-2725-037C-8537-70A48F636B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55812" y="116541"/>
          <a:ext cx="365760" cy="365760"/>
        </a:xfrm>
        <a:prstGeom prst="rect">
          <a:avLst/>
        </a:prstGeom>
      </xdr:spPr>
    </xdr:pic>
    <xdr:clientData/>
  </xdr:twoCellAnchor>
  <xdr:twoCellAnchor>
    <xdr:from>
      <xdr:col>4</xdr:col>
      <xdr:colOff>3637430</xdr:colOff>
      <xdr:row>15</xdr:row>
      <xdr:rowOff>17930</xdr:rowOff>
    </xdr:from>
    <xdr:to>
      <xdr:col>5</xdr:col>
      <xdr:colOff>17930</xdr:colOff>
      <xdr:row>15</xdr:row>
      <xdr:rowOff>322730</xdr:rowOff>
    </xdr:to>
    <xdr:sp macro="" textlink="">
      <xdr:nvSpPr>
        <xdr:cNvPr id="2" name="NGADD_FOLD_2">
          <a:extLst>
            <a:ext uri="{FF2B5EF4-FFF2-40B4-BE49-F238E27FC236}">
              <a16:creationId xmlns:a16="http://schemas.microsoft.com/office/drawing/2014/main" id="{38347E34-497E-4836-9557-DA02B7831B2C}"/>
            </a:ext>
          </a:extLst>
        </xdr:cNvPr>
        <xdr:cNvSpPr/>
      </xdr:nvSpPr>
      <xdr:spPr>
        <a:xfrm rot="5400000">
          <a:off x="12347816" y="3354401"/>
          <a:ext cx="304800" cy="308429"/>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google.com/search?q=Embertech+LTD+Kinyra,+1+Kinyras+Tower,+3Rd+Floor,+Flat/Office+301,+Agios+Andreas,+1102,+Nicosia,+Cyprus&amp;num=100&amp;hl=en" TargetMode="External"/><Relationship Id="rId2" Type="http://schemas.openxmlformats.org/officeDocument/2006/relationships/hyperlink" Target="https://www.google.com/search?q=Kinyra,+1+Kinyras+Tower,+3Rd+Floor,+Flat/Office+301,+Agios+Andreas,+1102,+Nicosia,+Cyprus&amp;num=100&amp;hl=en" TargetMode="External"/><Relationship Id="rId1" Type="http://schemas.openxmlformats.org/officeDocument/2006/relationships/hyperlink" Target="https://www.google.com/search?q=Embertech+LTD&amp;num=100&amp;hl=en" TargetMode="External"/><Relationship Id="rId6" Type="http://schemas.openxmlformats.org/officeDocument/2006/relationships/printerSettings" Target="../printerSettings/printerSettings2.bin"/><Relationship Id="rId5" Type="http://schemas.openxmlformats.org/officeDocument/2006/relationships/hyperlink" Target="https://www.google.com/search?q=%22Embertech+LTD%22+AND+%28arrest+OR+corruption+OR+sentencing+OR+money+laundering+OR+AML+OR+launder+OR+embezzle+OR+evas+OR+evad+OR+crime+OR+corrupt+OR+bribe+OR+theft+OR+extort+OR+drug+OR+traffic+OR+trafficking+OR+felony+OR+sanction+OR+counterfeit+OR+terror%29&amp;num=100&amp;hl=en&amp;start=100" TargetMode="External"/><Relationship Id="rId4" Type="http://schemas.openxmlformats.org/officeDocument/2006/relationships/hyperlink" Target="https://www.google.com/search?q=%22Embertech+LTD%22+AND+%28arrest+OR+corruption+OR+sentencing+OR+money+laundering+OR+AML+OR+launder+OR+embezzle+OR+evas+OR+evad+OR+crime+OR+corrupt+OR+bribe+OR+theft+OR+extort+OR+drug+OR+traffic+OR+trafficking+OR+felony+OR+sanction+OR+counterfeit+OR+terror%29&amp;num=100&amp;hl=en"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1D3-325A-4069-81FC-EA8FCC9AA5CE}">
  <sheetPr codeName="Sheet12"/>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1073-6FE8-425D-95B0-5F875E1008E1}">
  <sheetPr codeName="Sheet13"/>
  <dimension ref="A1:K870"/>
  <sheetViews>
    <sheetView workbookViewId="0"/>
  </sheetViews>
  <sheetFormatPr defaultRowHeight="14.5" x14ac:dyDescent="0.35"/>
  <sheetData>
    <row r="1" spans="1:11" x14ac:dyDescent="0.35">
      <c r="A1" t="s">
        <v>1884</v>
      </c>
      <c r="B1">
        <v>-4142</v>
      </c>
      <c r="C1">
        <v>16777215</v>
      </c>
      <c r="D1">
        <v>0</v>
      </c>
      <c r="G1" t="s">
        <v>2754</v>
      </c>
      <c r="H1">
        <v>23.65716552734375</v>
      </c>
      <c r="I1">
        <v>535.65234375</v>
      </c>
      <c r="J1">
        <v>29.117244720458984</v>
      </c>
      <c r="K1">
        <v>28.347637176513672</v>
      </c>
    </row>
    <row r="2" spans="1:11" x14ac:dyDescent="0.35">
      <c r="A2" t="s">
        <v>1885</v>
      </c>
      <c r="B2">
        <v>-4142</v>
      </c>
      <c r="C2">
        <v>16777215</v>
      </c>
      <c r="D2">
        <v>0</v>
      </c>
      <c r="G2" t="s">
        <v>2754</v>
      </c>
      <c r="H2">
        <v>23.65716552734375</v>
      </c>
      <c r="I2">
        <v>535.65234375</v>
      </c>
      <c r="J2">
        <v>29.117244720458984</v>
      </c>
      <c r="K2">
        <v>28.347637176513672</v>
      </c>
    </row>
    <row r="3" spans="1:11" x14ac:dyDescent="0.35">
      <c r="A3" t="s">
        <v>1886</v>
      </c>
      <c r="B3">
        <v>-4142</v>
      </c>
      <c r="C3">
        <v>16777215</v>
      </c>
      <c r="D3">
        <v>0</v>
      </c>
      <c r="G3" t="s">
        <v>2754</v>
      </c>
      <c r="H3">
        <v>23.65716552734375</v>
      </c>
      <c r="I3">
        <v>535.65234375</v>
      </c>
      <c r="J3">
        <v>29.117244720458984</v>
      </c>
      <c r="K3">
        <v>28.347637176513672</v>
      </c>
    </row>
    <row r="4" spans="1:11" x14ac:dyDescent="0.35">
      <c r="A4" t="s">
        <v>1887</v>
      </c>
      <c r="B4">
        <v>-4142</v>
      </c>
      <c r="C4">
        <v>16777215</v>
      </c>
      <c r="D4">
        <v>0</v>
      </c>
      <c r="G4" t="s">
        <v>2754</v>
      </c>
      <c r="H4">
        <v>23.65716552734375</v>
      </c>
      <c r="I4">
        <v>535.65234375</v>
      </c>
      <c r="J4">
        <v>29.117244720458984</v>
      </c>
      <c r="K4">
        <v>28.347637176513672</v>
      </c>
    </row>
    <row r="5" spans="1:11" x14ac:dyDescent="0.35">
      <c r="A5" t="s">
        <v>1888</v>
      </c>
      <c r="B5">
        <v>-4142</v>
      </c>
      <c r="C5">
        <v>16777215</v>
      </c>
      <c r="D5">
        <v>0</v>
      </c>
      <c r="G5" t="s">
        <v>2754</v>
      </c>
      <c r="H5">
        <v>23.65716552734375</v>
      </c>
      <c r="I5">
        <v>535.65234375</v>
      </c>
      <c r="J5">
        <v>29.117244720458984</v>
      </c>
      <c r="K5">
        <v>28.347637176513672</v>
      </c>
    </row>
    <row r="6" spans="1:11" x14ac:dyDescent="0.35">
      <c r="A6" t="s">
        <v>1889</v>
      </c>
      <c r="B6">
        <v>-4142</v>
      </c>
      <c r="C6">
        <v>16777215</v>
      </c>
      <c r="D6">
        <v>0</v>
      </c>
      <c r="G6" t="s">
        <v>2755</v>
      </c>
      <c r="H6">
        <v>18.85700798034668</v>
      </c>
      <c r="I6">
        <v>3.4287402629852295</v>
      </c>
      <c r="J6">
        <v>958.80682373046875</v>
      </c>
      <c r="K6">
        <v>30.119291305541992</v>
      </c>
    </row>
    <row r="7" spans="1:11" x14ac:dyDescent="0.35">
      <c r="A7" t="s">
        <v>1890</v>
      </c>
      <c r="B7">
        <v>-4142</v>
      </c>
      <c r="C7">
        <v>16777215</v>
      </c>
      <c r="D7">
        <v>0</v>
      </c>
      <c r="G7" t="s">
        <v>2756</v>
      </c>
      <c r="H7">
        <v>18.857166290283203</v>
      </c>
      <c r="I7">
        <v>47.714332580566406</v>
      </c>
      <c r="J7">
        <v>161.64283752441406</v>
      </c>
      <c r="K7">
        <v>24.857086181640625</v>
      </c>
    </row>
    <row r="8" spans="1:11" x14ac:dyDescent="0.35">
      <c r="A8" t="s">
        <v>1891</v>
      </c>
      <c r="B8">
        <v>-4142</v>
      </c>
      <c r="C8">
        <v>16777215</v>
      </c>
      <c r="D8">
        <v>0</v>
      </c>
      <c r="G8" t="s">
        <v>2757</v>
      </c>
      <c r="H8">
        <v>33.917636871337891</v>
      </c>
      <c r="I8">
        <v>97.282676696777344</v>
      </c>
      <c r="J8">
        <v>135.5</v>
      </c>
      <c r="K8">
        <v>28.799999237060547</v>
      </c>
    </row>
    <row r="9" spans="1:11" x14ac:dyDescent="0.35">
      <c r="A9" t="s">
        <v>1892</v>
      </c>
      <c r="B9">
        <v>-4142</v>
      </c>
      <c r="C9">
        <v>16777215</v>
      </c>
      <c r="D9">
        <v>0</v>
      </c>
      <c r="G9" t="s">
        <v>2758</v>
      </c>
      <c r="H9">
        <v>33.771415710449219</v>
      </c>
      <c r="I9">
        <v>140.85110473632813</v>
      </c>
      <c r="J9">
        <v>135.5</v>
      </c>
      <c r="K9">
        <v>28.799999237060547</v>
      </c>
    </row>
    <row r="10" spans="1:11" x14ac:dyDescent="0.35">
      <c r="A10" t="s">
        <v>1893</v>
      </c>
      <c r="B10">
        <v>-4142</v>
      </c>
      <c r="C10">
        <v>16777215</v>
      </c>
      <c r="D10">
        <v>0</v>
      </c>
      <c r="G10" t="s">
        <v>2759</v>
      </c>
      <c r="H10">
        <v>32.571418762207031</v>
      </c>
      <c r="I10">
        <v>186.53652954101563</v>
      </c>
      <c r="J10">
        <v>135.5</v>
      </c>
      <c r="K10">
        <v>28.799999237060547</v>
      </c>
    </row>
    <row r="11" spans="1:11" x14ac:dyDescent="0.35">
      <c r="A11" t="s">
        <v>1894</v>
      </c>
      <c r="B11">
        <v>-4142</v>
      </c>
      <c r="C11">
        <v>16777215</v>
      </c>
      <c r="D11">
        <v>0</v>
      </c>
      <c r="G11" t="s">
        <v>2760</v>
      </c>
      <c r="H11">
        <v>32.400077819824219</v>
      </c>
      <c r="I11">
        <v>230.42228698730469</v>
      </c>
      <c r="J11">
        <v>135.5</v>
      </c>
      <c r="K11">
        <v>28.899999618530273</v>
      </c>
    </row>
    <row r="12" spans="1:11" x14ac:dyDescent="0.35">
      <c r="A12" t="s">
        <v>1895</v>
      </c>
      <c r="B12">
        <v>-4142</v>
      </c>
      <c r="C12">
        <v>16777215</v>
      </c>
      <c r="D12">
        <v>0</v>
      </c>
      <c r="G12" t="s">
        <v>2761</v>
      </c>
      <c r="H12">
        <v>18.311574935913086</v>
      </c>
      <c r="I12">
        <v>305.5909423828125</v>
      </c>
      <c r="J12">
        <v>161.64283752441406</v>
      </c>
      <c r="K12">
        <v>25.357086181640625</v>
      </c>
    </row>
    <row r="13" spans="1:11" x14ac:dyDescent="0.35">
      <c r="A13" t="s">
        <v>1896</v>
      </c>
      <c r="B13">
        <v>-4142</v>
      </c>
      <c r="C13">
        <v>16777215</v>
      </c>
      <c r="D13">
        <v>0</v>
      </c>
      <c r="G13" t="s">
        <v>2762</v>
      </c>
      <c r="H13">
        <v>32.025905609130859</v>
      </c>
      <c r="I13">
        <v>356.02615356445313</v>
      </c>
      <c r="J13">
        <v>135.41424560546875</v>
      </c>
      <c r="K13">
        <v>29.15716552734375</v>
      </c>
    </row>
    <row r="14" spans="1:11" x14ac:dyDescent="0.35">
      <c r="A14" t="s">
        <v>1897</v>
      </c>
      <c r="B14">
        <v>-4142</v>
      </c>
      <c r="C14">
        <v>16777215</v>
      </c>
      <c r="D14">
        <v>0</v>
      </c>
      <c r="G14" t="s">
        <v>2763</v>
      </c>
      <c r="H14">
        <v>32.025905609130859</v>
      </c>
      <c r="I14">
        <v>401.21188354492188</v>
      </c>
      <c r="J14">
        <v>135.41424560546875</v>
      </c>
      <c r="K14">
        <v>28.799999237060547</v>
      </c>
    </row>
    <row r="15" spans="1:11" x14ac:dyDescent="0.35">
      <c r="A15" t="s">
        <v>1898</v>
      </c>
      <c r="B15">
        <v>-4142</v>
      </c>
      <c r="C15">
        <v>16777215</v>
      </c>
      <c r="D15">
        <v>0</v>
      </c>
      <c r="G15" t="s">
        <v>2764</v>
      </c>
      <c r="H15">
        <v>32.025905609130859</v>
      </c>
      <c r="I15">
        <v>445.44046020507813</v>
      </c>
      <c r="J15">
        <v>135.41424560546875</v>
      </c>
      <c r="K15">
        <v>28.799999237060547</v>
      </c>
    </row>
    <row r="16" spans="1:11" x14ac:dyDescent="0.35">
      <c r="A16" t="s">
        <v>1899</v>
      </c>
      <c r="B16">
        <v>-4142</v>
      </c>
      <c r="C16">
        <v>16777215</v>
      </c>
      <c r="D16">
        <v>0</v>
      </c>
      <c r="G16" t="s">
        <v>2765</v>
      </c>
      <c r="H16">
        <v>32.711654663085938</v>
      </c>
      <c r="I16">
        <v>488.38330078125</v>
      </c>
      <c r="J16">
        <v>135.41424560546875</v>
      </c>
      <c r="K16">
        <v>28.585748672485352</v>
      </c>
    </row>
    <row r="17" spans="1:11" x14ac:dyDescent="0.35">
      <c r="A17" t="s">
        <v>1900</v>
      </c>
      <c r="B17">
        <v>-4142</v>
      </c>
      <c r="C17">
        <v>16777215</v>
      </c>
      <c r="D17">
        <v>0</v>
      </c>
      <c r="G17" t="s">
        <v>2766</v>
      </c>
      <c r="H17">
        <v>50.833305358886719</v>
      </c>
      <c r="I17">
        <v>0</v>
      </c>
      <c r="J17">
        <v>29.166614532470703</v>
      </c>
      <c r="K17">
        <v>29.499921798706055</v>
      </c>
    </row>
    <row r="18" spans="1:11" x14ac:dyDescent="0.35">
      <c r="A18" t="s">
        <v>1901</v>
      </c>
      <c r="B18">
        <v>-4142</v>
      </c>
      <c r="C18">
        <v>16777215</v>
      </c>
      <c r="D18">
        <v>0</v>
      </c>
      <c r="G18" t="s">
        <v>2767</v>
      </c>
      <c r="H18">
        <v>980.16668701171875</v>
      </c>
      <c r="I18">
        <v>91.166610717773438</v>
      </c>
      <c r="J18">
        <v>71.833305358886719</v>
      </c>
      <c r="K18">
        <v>71.166694641113281</v>
      </c>
    </row>
    <row r="19" spans="1:11" x14ac:dyDescent="0.35">
      <c r="A19" t="s">
        <v>1902</v>
      </c>
      <c r="B19">
        <v>-4142</v>
      </c>
      <c r="C19">
        <v>16777215</v>
      </c>
      <c r="D19">
        <v>0</v>
      </c>
    </row>
    <row r="20" spans="1:11" x14ac:dyDescent="0.35">
      <c r="A20" t="s">
        <v>1903</v>
      </c>
      <c r="B20">
        <v>-4142</v>
      </c>
      <c r="C20">
        <v>16777215</v>
      </c>
      <c r="D20">
        <v>0</v>
      </c>
    </row>
    <row r="21" spans="1:11" x14ac:dyDescent="0.35">
      <c r="A21" t="s">
        <v>1904</v>
      </c>
      <c r="B21">
        <v>-4142</v>
      </c>
      <c r="C21">
        <v>16777215</v>
      </c>
      <c r="D21">
        <v>0</v>
      </c>
    </row>
    <row r="22" spans="1:11" x14ac:dyDescent="0.35">
      <c r="A22" t="s">
        <v>2493</v>
      </c>
      <c r="B22">
        <v>-4142</v>
      </c>
      <c r="C22">
        <v>16777215</v>
      </c>
      <c r="D22">
        <v>0</v>
      </c>
    </row>
    <row r="23" spans="1:11" x14ac:dyDescent="0.35">
      <c r="A23" t="s">
        <v>2494</v>
      </c>
      <c r="B23">
        <v>-4142</v>
      </c>
      <c r="C23">
        <v>16777215</v>
      </c>
      <c r="D23">
        <v>0</v>
      </c>
    </row>
    <row r="24" spans="1:11" x14ac:dyDescent="0.35">
      <c r="A24" t="s">
        <v>2495</v>
      </c>
      <c r="B24">
        <v>-4142</v>
      </c>
      <c r="C24">
        <v>16777215</v>
      </c>
      <c r="D24">
        <v>0</v>
      </c>
    </row>
    <row r="25" spans="1:11" x14ac:dyDescent="0.35">
      <c r="A25" t="s">
        <v>2496</v>
      </c>
      <c r="B25">
        <v>-4142</v>
      </c>
      <c r="C25">
        <v>16777215</v>
      </c>
      <c r="D25">
        <v>0</v>
      </c>
    </row>
    <row r="26" spans="1:11" x14ac:dyDescent="0.35">
      <c r="A26" t="s">
        <v>2497</v>
      </c>
      <c r="B26">
        <v>-4142</v>
      </c>
      <c r="C26">
        <v>16777215</v>
      </c>
      <c r="D26">
        <v>0</v>
      </c>
    </row>
    <row r="27" spans="1:11" x14ac:dyDescent="0.35">
      <c r="A27" t="s">
        <v>2498</v>
      </c>
      <c r="B27">
        <v>-4142</v>
      </c>
      <c r="C27">
        <v>16777215</v>
      </c>
      <c r="D27">
        <v>0</v>
      </c>
    </row>
    <row r="28" spans="1:11" x14ac:dyDescent="0.35">
      <c r="A28" t="s">
        <v>2499</v>
      </c>
      <c r="B28">
        <v>-4142</v>
      </c>
      <c r="C28">
        <v>16777215</v>
      </c>
      <c r="D28">
        <v>0</v>
      </c>
    </row>
    <row r="29" spans="1:11" x14ac:dyDescent="0.35">
      <c r="A29" t="s">
        <v>2500</v>
      </c>
      <c r="B29">
        <v>-4142</v>
      </c>
      <c r="C29">
        <v>16777215</v>
      </c>
      <c r="D29">
        <v>0</v>
      </c>
    </row>
    <row r="30" spans="1:11" x14ac:dyDescent="0.35">
      <c r="A30" t="s">
        <v>1905</v>
      </c>
      <c r="B30">
        <v>-4142</v>
      </c>
      <c r="C30">
        <v>16777215</v>
      </c>
      <c r="D30">
        <v>0</v>
      </c>
    </row>
    <row r="31" spans="1:11" x14ac:dyDescent="0.35">
      <c r="A31" t="s">
        <v>1906</v>
      </c>
      <c r="B31">
        <v>-4142</v>
      </c>
      <c r="C31">
        <v>16777215</v>
      </c>
      <c r="D31">
        <v>0</v>
      </c>
    </row>
    <row r="32" spans="1:11" x14ac:dyDescent="0.35">
      <c r="A32" t="s">
        <v>1907</v>
      </c>
      <c r="B32">
        <v>-4142</v>
      </c>
      <c r="C32">
        <v>16777215</v>
      </c>
      <c r="D32">
        <v>0</v>
      </c>
    </row>
    <row r="33" spans="1:4" x14ac:dyDescent="0.35">
      <c r="A33" t="s">
        <v>1908</v>
      </c>
      <c r="B33">
        <v>-4142</v>
      </c>
      <c r="C33">
        <v>16777215</v>
      </c>
      <c r="D33">
        <v>0</v>
      </c>
    </row>
    <row r="34" spans="1:4" x14ac:dyDescent="0.35">
      <c r="A34" t="s">
        <v>1909</v>
      </c>
      <c r="B34">
        <v>-4142</v>
      </c>
      <c r="C34">
        <v>16777215</v>
      </c>
      <c r="D34">
        <v>0</v>
      </c>
    </row>
    <row r="35" spans="1:4" x14ac:dyDescent="0.35">
      <c r="A35" t="s">
        <v>1910</v>
      </c>
      <c r="B35">
        <v>-4142</v>
      </c>
      <c r="C35">
        <v>16777215</v>
      </c>
      <c r="D35">
        <v>0</v>
      </c>
    </row>
    <row r="36" spans="1:4" x14ac:dyDescent="0.35">
      <c r="A36" t="s">
        <v>1911</v>
      </c>
      <c r="B36">
        <v>-4142</v>
      </c>
      <c r="C36">
        <v>16777215</v>
      </c>
      <c r="D36">
        <v>0</v>
      </c>
    </row>
    <row r="37" spans="1:4" x14ac:dyDescent="0.35">
      <c r="A37" t="s">
        <v>1912</v>
      </c>
      <c r="B37">
        <v>-4142</v>
      </c>
      <c r="C37">
        <v>16777215</v>
      </c>
      <c r="D37">
        <v>0</v>
      </c>
    </row>
    <row r="38" spans="1:4" x14ac:dyDescent="0.35">
      <c r="A38" t="s">
        <v>1913</v>
      </c>
      <c r="B38">
        <v>-4142</v>
      </c>
      <c r="C38">
        <v>16777215</v>
      </c>
      <c r="D38">
        <v>0</v>
      </c>
    </row>
    <row r="39" spans="1:4" x14ac:dyDescent="0.35">
      <c r="A39" t="s">
        <v>1914</v>
      </c>
      <c r="B39">
        <v>-4142</v>
      </c>
      <c r="C39">
        <v>16777215</v>
      </c>
      <c r="D39">
        <v>0</v>
      </c>
    </row>
    <row r="40" spans="1:4" x14ac:dyDescent="0.35">
      <c r="A40" t="s">
        <v>1915</v>
      </c>
      <c r="B40">
        <v>-4142</v>
      </c>
      <c r="C40">
        <v>16777215</v>
      </c>
      <c r="D40">
        <v>0</v>
      </c>
    </row>
    <row r="41" spans="1:4" x14ac:dyDescent="0.35">
      <c r="A41" t="s">
        <v>1916</v>
      </c>
      <c r="B41">
        <v>-4142</v>
      </c>
      <c r="C41">
        <v>16777215</v>
      </c>
      <c r="D41">
        <v>0</v>
      </c>
    </row>
    <row r="42" spans="1:4" x14ac:dyDescent="0.35">
      <c r="A42" t="s">
        <v>1917</v>
      </c>
      <c r="B42">
        <v>-4142</v>
      </c>
      <c r="C42">
        <v>16777215</v>
      </c>
      <c r="D42">
        <v>0</v>
      </c>
    </row>
    <row r="43" spans="1:4" x14ac:dyDescent="0.35">
      <c r="A43" t="s">
        <v>1918</v>
      </c>
      <c r="B43">
        <v>-4142</v>
      </c>
      <c r="C43">
        <v>16777215</v>
      </c>
      <c r="D43">
        <v>0</v>
      </c>
    </row>
    <row r="44" spans="1:4" x14ac:dyDescent="0.35">
      <c r="A44" t="s">
        <v>1919</v>
      </c>
      <c r="B44">
        <v>-4142</v>
      </c>
      <c r="C44">
        <v>16777215</v>
      </c>
      <c r="D44">
        <v>0</v>
      </c>
    </row>
    <row r="45" spans="1:4" x14ac:dyDescent="0.35">
      <c r="A45" t="s">
        <v>1920</v>
      </c>
      <c r="B45">
        <v>-4142</v>
      </c>
      <c r="C45">
        <v>16777215</v>
      </c>
      <c r="D45">
        <v>0</v>
      </c>
    </row>
    <row r="46" spans="1:4" x14ac:dyDescent="0.35">
      <c r="A46" t="s">
        <v>1921</v>
      </c>
      <c r="B46">
        <v>-4142</v>
      </c>
      <c r="C46">
        <v>16777215</v>
      </c>
      <c r="D46">
        <v>0</v>
      </c>
    </row>
    <row r="47" spans="1:4" x14ac:dyDescent="0.35">
      <c r="A47" t="s">
        <v>1922</v>
      </c>
      <c r="B47">
        <v>-4142</v>
      </c>
      <c r="C47">
        <v>16777215</v>
      </c>
      <c r="D47">
        <v>0</v>
      </c>
    </row>
    <row r="48" spans="1:4" x14ac:dyDescent="0.35">
      <c r="A48" t="s">
        <v>1923</v>
      </c>
      <c r="B48">
        <v>-4142</v>
      </c>
      <c r="C48">
        <v>16777215</v>
      </c>
      <c r="D48">
        <v>0</v>
      </c>
    </row>
    <row r="49" spans="1:4" x14ac:dyDescent="0.35">
      <c r="A49" t="s">
        <v>1924</v>
      </c>
      <c r="B49">
        <v>-4142</v>
      </c>
      <c r="C49">
        <v>16777215</v>
      </c>
      <c r="D49">
        <v>0</v>
      </c>
    </row>
    <row r="50" spans="1:4" x14ac:dyDescent="0.35">
      <c r="A50" t="s">
        <v>1925</v>
      </c>
      <c r="B50">
        <v>-4142</v>
      </c>
      <c r="C50">
        <v>16777215</v>
      </c>
      <c r="D50">
        <v>0</v>
      </c>
    </row>
    <row r="51" spans="1:4" x14ac:dyDescent="0.35">
      <c r="A51" t="s">
        <v>2501</v>
      </c>
      <c r="B51">
        <v>-4142</v>
      </c>
      <c r="C51">
        <v>16777215</v>
      </c>
      <c r="D51">
        <v>0</v>
      </c>
    </row>
    <row r="52" spans="1:4" x14ac:dyDescent="0.35">
      <c r="A52" t="s">
        <v>2502</v>
      </c>
      <c r="B52">
        <v>-4142</v>
      </c>
      <c r="C52">
        <v>16777215</v>
      </c>
      <c r="D52">
        <v>0</v>
      </c>
    </row>
    <row r="53" spans="1:4" x14ac:dyDescent="0.35">
      <c r="A53" t="s">
        <v>2503</v>
      </c>
      <c r="B53">
        <v>-4142</v>
      </c>
      <c r="C53">
        <v>16777215</v>
      </c>
      <c r="D53">
        <v>0</v>
      </c>
    </row>
    <row r="54" spans="1:4" x14ac:dyDescent="0.35">
      <c r="A54" t="s">
        <v>2504</v>
      </c>
      <c r="B54">
        <v>-4142</v>
      </c>
      <c r="C54">
        <v>16777215</v>
      </c>
      <c r="D54">
        <v>0</v>
      </c>
    </row>
    <row r="55" spans="1:4" x14ac:dyDescent="0.35">
      <c r="A55" t="s">
        <v>2505</v>
      </c>
      <c r="B55">
        <v>-4142</v>
      </c>
      <c r="C55">
        <v>16777215</v>
      </c>
      <c r="D55">
        <v>0</v>
      </c>
    </row>
    <row r="56" spans="1:4" x14ac:dyDescent="0.35">
      <c r="A56" t="s">
        <v>2506</v>
      </c>
      <c r="B56">
        <v>-4142</v>
      </c>
      <c r="C56">
        <v>16777215</v>
      </c>
      <c r="D56">
        <v>0</v>
      </c>
    </row>
    <row r="57" spans="1:4" x14ac:dyDescent="0.35">
      <c r="A57" t="s">
        <v>2507</v>
      </c>
      <c r="B57">
        <v>-4142</v>
      </c>
      <c r="C57">
        <v>16777215</v>
      </c>
      <c r="D57">
        <v>0</v>
      </c>
    </row>
    <row r="58" spans="1:4" x14ac:dyDescent="0.35">
      <c r="A58" t="s">
        <v>2508</v>
      </c>
      <c r="B58">
        <v>-4142</v>
      </c>
      <c r="C58">
        <v>16777215</v>
      </c>
      <c r="D58">
        <v>0</v>
      </c>
    </row>
    <row r="59" spans="1:4" x14ac:dyDescent="0.35">
      <c r="A59" t="s">
        <v>1926</v>
      </c>
      <c r="B59">
        <v>-4142</v>
      </c>
      <c r="C59">
        <v>16777215</v>
      </c>
      <c r="D59">
        <v>0</v>
      </c>
    </row>
    <row r="60" spans="1:4" x14ac:dyDescent="0.35">
      <c r="A60" t="s">
        <v>1927</v>
      </c>
      <c r="B60">
        <v>-4142</v>
      </c>
      <c r="C60">
        <v>16777215</v>
      </c>
      <c r="D60">
        <v>0</v>
      </c>
    </row>
    <row r="61" spans="1:4" x14ac:dyDescent="0.35">
      <c r="A61" t="s">
        <v>1928</v>
      </c>
      <c r="B61">
        <v>-4142</v>
      </c>
      <c r="C61">
        <v>16777215</v>
      </c>
      <c r="D61">
        <v>0</v>
      </c>
    </row>
    <row r="62" spans="1:4" x14ac:dyDescent="0.35">
      <c r="A62" t="s">
        <v>1929</v>
      </c>
      <c r="B62">
        <v>-4142</v>
      </c>
      <c r="C62">
        <v>16777215</v>
      </c>
      <c r="D62">
        <v>0</v>
      </c>
    </row>
    <row r="63" spans="1:4" x14ac:dyDescent="0.35">
      <c r="A63" t="s">
        <v>1930</v>
      </c>
      <c r="B63">
        <v>-4142</v>
      </c>
      <c r="C63">
        <v>16777215</v>
      </c>
      <c r="D63">
        <v>0</v>
      </c>
    </row>
    <row r="64" spans="1:4" x14ac:dyDescent="0.35">
      <c r="A64" t="s">
        <v>1931</v>
      </c>
      <c r="B64">
        <v>-4142</v>
      </c>
      <c r="C64">
        <v>16777215</v>
      </c>
      <c r="D64">
        <v>0</v>
      </c>
    </row>
    <row r="65" spans="1:4" x14ac:dyDescent="0.35">
      <c r="A65" t="s">
        <v>1932</v>
      </c>
      <c r="B65">
        <v>-4142</v>
      </c>
      <c r="C65">
        <v>16777215</v>
      </c>
      <c r="D65">
        <v>0</v>
      </c>
    </row>
    <row r="66" spans="1:4" x14ac:dyDescent="0.35">
      <c r="A66" t="s">
        <v>1933</v>
      </c>
      <c r="B66">
        <v>-4142</v>
      </c>
      <c r="C66">
        <v>16777215</v>
      </c>
      <c r="D66">
        <v>0</v>
      </c>
    </row>
    <row r="67" spans="1:4" x14ac:dyDescent="0.35">
      <c r="A67" t="s">
        <v>1934</v>
      </c>
      <c r="B67">
        <v>-4142</v>
      </c>
      <c r="C67">
        <v>16777215</v>
      </c>
      <c r="D67">
        <v>0</v>
      </c>
    </row>
    <row r="68" spans="1:4" x14ac:dyDescent="0.35">
      <c r="A68" t="s">
        <v>1935</v>
      </c>
      <c r="B68">
        <v>-4142</v>
      </c>
      <c r="C68">
        <v>16777215</v>
      </c>
      <c r="D68">
        <v>0</v>
      </c>
    </row>
    <row r="69" spans="1:4" x14ac:dyDescent="0.35">
      <c r="A69" t="s">
        <v>1936</v>
      </c>
      <c r="B69">
        <v>-4142</v>
      </c>
      <c r="C69">
        <v>16777215</v>
      </c>
      <c r="D69">
        <v>0</v>
      </c>
    </row>
    <row r="70" spans="1:4" x14ac:dyDescent="0.35">
      <c r="A70" t="s">
        <v>1937</v>
      </c>
      <c r="B70">
        <v>-4142</v>
      </c>
      <c r="C70">
        <v>16777215</v>
      </c>
      <c r="D70">
        <v>0</v>
      </c>
    </row>
    <row r="71" spans="1:4" x14ac:dyDescent="0.35">
      <c r="A71" t="s">
        <v>1938</v>
      </c>
      <c r="B71">
        <v>-4142</v>
      </c>
      <c r="C71">
        <v>16777215</v>
      </c>
      <c r="D71">
        <v>0</v>
      </c>
    </row>
    <row r="72" spans="1:4" x14ac:dyDescent="0.35">
      <c r="A72" t="s">
        <v>1939</v>
      </c>
      <c r="B72">
        <v>-4142</v>
      </c>
      <c r="C72">
        <v>16777215</v>
      </c>
      <c r="D72">
        <v>0</v>
      </c>
    </row>
    <row r="73" spans="1:4" x14ac:dyDescent="0.35">
      <c r="A73" t="s">
        <v>1940</v>
      </c>
      <c r="B73">
        <v>-4142</v>
      </c>
      <c r="C73">
        <v>16777215</v>
      </c>
      <c r="D73">
        <v>0</v>
      </c>
    </row>
    <row r="74" spans="1:4" x14ac:dyDescent="0.35">
      <c r="A74" t="s">
        <v>1941</v>
      </c>
      <c r="B74">
        <v>-4142</v>
      </c>
      <c r="C74">
        <v>16777215</v>
      </c>
      <c r="D74">
        <v>0</v>
      </c>
    </row>
    <row r="75" spans="1:4" x14ac:dyDescent="0.35">
      <c r="A75" t="s">
        <v>1942</v>
      </c>
      <c r="B75">
        <v>-4142</v>
      </c>
      <c r="C75">
        <v>16777215</v>
      </c>
      <c r="D75">
        <v>0</v>
      </c>
    </row>
    <row r="76" spans="1:4" x14ac:dyDescent="0.35">
      <c r="A76" t="s">
        <v>1943</v>
      </c>
      <c r="B76">
        <v>-4142</v>
      </c>
      <c r="C76">
        <v>16777215</v>
      </c>
      <c r="D76">
        <v>0</v>
      </c>
    </row>
    <row r="77" spans="1:4" x14ac:dyDescent="0.35">
      <c r="A77" t="s">
        <v>1944</v>
      </c>
      <c r="B77">
        <v>-4142</v>
      </c>
      <c r="C77">
        <v>16777215</v>
      </c>
      <c r="D77">
        <v>0</v>
      </c>
    </row>
    <row r="78" spans="1:4" x14ac:dyDescent="0.35">
      <c r="A78" t="s">
        <v>1945</v>
      </c>
      <c r="B78">
        <v>-4142</v>
      </c>
      <c r="C78">
        <v>16777215</v>
      </c>
      <c r="D78">
        <v>0</v>
      </c>
    </row>
    <row r="79" spans="1:4" x14ac:dyDescent="0.35">
      <c r="A79" t="s">
        <v>1946</v>
      </c>
      <c r="B79">
        <v>-4142</v>
      </c>
      <c r="C79">
        <v>16777215</v>
      </c>
      <c r="D79">
        <v>0</v>
      </c>
    </row>
    <row r="80" spans="1:4" x14ac:dyDescent="0.35">
      <c r="A80" t="s">
        <v>2509</v>
      </c>
      <c r="B80">
        <v>-4142</v>
      </c>
      <c r="C80">
        <v>16777215</v>
      </c>
      <c r="D80">
        <v>0</v>
      </c>
    </row>
    <row r="81" spans="1:4" x14ac:dyDescent="0.35">
      <c r="A81" t="s">
        <v>2510</v>
      </c>
      <c r="B81">
        <v>-4142</v>
      </c>
      <c r="C81">
        <v>16777215</v>
      </c>
      <c r="D81">
        <v>0</v>
      </c>
    </row>
    <row r="82" spans="1:4" x14ac:dyDescent="0.35">
      <c r="A82" t="s">
        <v>2511</v>
      </c>
      <c r="B82">
        <v>-4142</v>
      </c>
      <c r="C82">
        <v>16777215</v>
      </c>
      <c r="D82">
        <v>0</v>
      </c>
    </row>
    <row r="83" spans="1:4" x14ac:dyDescent="0.35">
      <c r="A83" t="s">
        <v>2512</v>
      </c>
      <c r="B83">
        <v>-4142</v>
      </c>
      <c r="C83">
        <v>16777215</v>
      </c>
      <c r="D83">
        <v>0</v>
      </c>
    </row>
    <row r="84" spans="1:4" x14ac:dyDescent="0.35">
      <c r="A84" t="s">
        <v>2513</v>
      </c>
      <c r="B84">
        <v>-4142</v>
      </c>
      <c r="C84">
        <v>16777215</v>
      </c>
      <c r="D84">
        <v>0</v>
      </c>
    </row>
    <row r="85" spans="1:4" x14ac:dyDescent="0.35">
      <c r="A85" t="s">
        <v>2514</v>
      </c>
      <c r="B85">
        <v>-4142</v>
      </c>
      <c r="C85">
        <v>16777215</v>
      </c>
      <c r="D85">
        <v>0</v>
      </c>
    </row>
    <row r="86" spans="1:4" x14ac:dyDescent="0.35">
      <c r="A86" t="s">
        <v>2515</v>
      </c>
      <c r="B86">
        <v>-4142</v>
      </c>
      <c r="C86">
        <v>16777215</v>
      </c>
      <c r="D86">
        <v>0</v>
      </c>
    </row>
    <row r="87" spans="1:4" x14ac:dyDescent="0.35">
      <c r="A87" t="s">
        <v>2516</v>
      </c>
      <c r="B87">
        <v>-4142</v>
      </c>
      <c r="C87">
        <v>16777215</v>
      </c>
      <c r="D87">
        <v>0</v>
      </c>
    </row>
    <row r="88" spans="1:4" x14ac:dyDescent="0.35">
      <c r="A88" t="s">
        <v>1947</v>
      </c>
      <c r="B88">
        <v>-4142</v>
      </c>
      <c r="C88">
        <v>16777215</v>
      </c>
      <c r="D88">
        <v>0</v>
      </c>
    </row>
    <row r="89" spans="1:4" x14ac:dyDescent="0.35">
      <c r="A89" t="s">
        <v>1948</v>
      </c>
      <c r="B89">
        <v>-4142</v>
      </c>
      <c r="C89">
        <v>16777215</v>
      </c>
      <c r="D89">
        <v>16777215</v>
      </c>
    </row>
    <row r="90" spans="1:4" x14ac:dyDescent="0.35">
      <c r="A90" t="s">
        <v>1949</v>
      </c>
      <c r="B90">
        <v>-4142</v>
      </c>
      <c r="C90">
        <v>16777215</v>
      </c>
      <c r="D90">
        <v>16777215</v>
      </c>
    </row>
    <row r="91" spans="1:4" x14ac:dyDescent="0.35">
      <c r="A91" t="s">
        <v>1950</v>
      </c>
      <c r="B91">
        <v>-4142</v>
      </c>
      <c r="C91">
        <v>16777215</v>
      </c>
      <c r="D91">
        <v>16777215</v>
      </c>
    </row>
    <row r="92" spans="1:4" x14ac:dyDescent="0.35">
      <c r="A92" t="s">
        <v>1951</v>
      </c>
      <c r="B92">
        <v>-4142</v>
      </c>
      <c r="C92">
        <v>16777215</v>
      </c>
      <c r="D92">
        <v>16777215</v>
      </c>
    </row>
    <row r="93" spans="1:4" x14ac:dyDescent="0.35">
      <c r="A93" t="s">
        <v>1952</v>
      </c>
      <c r="B93">
        <v>-4142</v>
      </c>
      <c r="C93">
        <v>16777215</v>
      </c>
      <c r="D93">
        <v>0</v>
      </c>
    </row>
    <row r="94" spans="1:4" x14ac:dyDescent="0.35">
      <c r="A94" t="s">
        <v>1953</v>
      </c>
      <c r="B94">
        <v>-4142</v>
      </c>
      <c r="C94">
        <v>16777215</v>
      </c>
      <c r="D94">
        <v>16777215</v>
      </c>
    </row>
    <row r="95" spans="1:4" x14ac:dyDescent="0.35">
      <c r="A95" t="s">
        <v>1954</v>
      </c>
      <c r="B95">
        <v>-4142</v>
      </c>
      <c r="C95">
        <v>16777215</v>
      </c>
      <c r="D95">
        <v>16777215</v>
      </c>
    </row>
    <row r="96" spans="1:4" x14ac:dyDescent="0.35">
      <c r="A96" t="s">
        <v>1955</v>
      </c>
      <c r="B96">
        <v>-4142</v>
      </c>
      <c r="C96">
        <v>16777215</v>
      </c>
      <c r="D96">
        <v>16777215</v>
      </c>
    </row>
    <row r="97" spans="1:4" x14ac:dyDescent="0.35">
      <c r="A97" t="s">
        <v>1956</v>
      </c>
      <c r="B97">
        <v>-4142</v>
      </c>
      <c r="C97">
        <v>16777215</v>
      </c>
      <c r="D97">
        <v>16777215</v>
      </c>
    </row>
    <row r="98" spans="1:4" x14ac:dyDescent="0.35">
      <c r="A98" t="s">
        <v>1957</v>
      </c>
      <c r="B98">
        <v>-4142</v>
      </c>
      <c r="C98">
        <v>16777215</v>
      </c>
      <c r="D98">
        <v>16777215</v>
      </c>
    </row>
    <row r="99" spans="1:4" x14ac:dyDescent="0.35">
      <c r="A99" t="s">
        <v>1958</v>
      </c>
      <c r="B99">
        <v>-4142</v>
      </c>
      <c r="C99">
        <v>16777215</v>
      </c>
      <c r="D99">
        <v>16777215</v>
      </c>
    </row>
    <row r="100" spans="1:4" x14ac:dyDescent="0.35">
      <c r="A100" t="s">
        <v>1959</v>
      </c>
      <c r="B100">
        <v>-4142</v>
      </c>
      <c r="C100">
        <v>16777215</v>
      </c>
      <c r="D100">
        <v>16777215</v>
      </c>
    </row>
    <row r="101" spans="1:4" x14ac:dyDescent="0.35">
      <c r="A101" t="s">
        <v>1960</v>
      </c>
      <c r="B101">
        <v>-4142</v>
      </c>
      <c r="C101">
        <v>16777215</v>
      </c>
      <c r="D101">
        <v>16777215</v>
      </c>
    </row>
    <row r="102" spans="1:4" x14ac:dyDescent="0.35">
      <c r="A102" t="s">
        <v>1961</v>
      </c>
      <c r="B102">
        <v>-4142</v>
      </c>
      <c r="C102">
        <v>16777215</v>
      </c>
      <c r="D102">
        <v>16777215</v>
      </c>
    </row>
    <row r="103" spans="1:4" x14ac:dyDescent="0.35">
      <c r="A103" t="s">
        <v>1962</v>
      </c>
      <c r="B103">
        <v>-4142</v>
      </c>
      <c r="C103">
        <v>16777215</v>
      </c>
      <c r="D103">
        <v>16777215</v>
      </c>
    </row>
    <row r="104" spans="1:4" x14ac:dyDescent="0.35">
      <c r="A104" t="s">
        <v>1963</v>
      </c>
      <c r="B104">
        <v>-4142</v>
      </c>
      <c r="C104">
        <v>16777215</v>
      </c>
      <c r="D104">
        <v>16777215</v>
      </c>
    </row>
    <row r="105" spans="1:4" x14ac:dyDescent="0.35">
      <c r="A105" t="s">
        <v>1964</v>
      </c>
      <c r="B105">
        <v>-4142</v>
      </c>
      <c r="C105">
        <v>16777215</v>
      </c>
      <c r="D105">
        <v>16777215</v>
      </c>
    </row>
    <row r="106" spans="1:4" x14ac:dyDescent="0.35">
      <c r="A106" t="s">
        <v>1965</v>
      </c>
      <c r="B106">
        <v>-4142</v>
      </c>
      <c r="C106">
        <v>16777215</v>
      </c>
      <c r="D106">
        <v>16777215</v>
      </c>
    </row>
    <row r="107" spans="1:4" x14ac:dyDescent="0.35">
      <c r="A107" t="s">
        <v>1966</v>
      </c>
      <c r="B107">
        <v>-4142</v>
      </c>
      <c r="C107">
        <v>16777215</v>
      </c>
      <c r="D107">
        <v>16777215</v>
      </c>
    </row>
    <row r="108" spans="1:4" x14ac:dyDescent="0.35">
      <c r="A108" t="s">
        <v>1967</v>
      </c>
      <c r="B108">
        <v>-4142</v>
      </c>
      <c r="C108">
        <v>16777215</v>
      </c>
      <c r="D108">
        <v>0</v>
      </c>
    </row>
    <row r="109" spans="1:4" x14ac:dyDescent="0.35">
      <c r="A109" t="s">
        <v>2517</v>
      </c>
      <c r="B109">
        <v>-4142</v>
      </c>
      <c r="C109">
        <v>16777215</v>
      </c>
      <c r="D109">
        <v>0</v>
      </c>
    </row>
    <row r="110" spans="1:4" x14ac:dyDescent="0.35">
      <c r="A110" t="s">
        <v>2518</v>
      </c>
      <c r="B110">
        <v>-4142</v>
      </c>
      <c r="C110">
        <v>16777215</v>
      </c>
      <c r="D110">
        <v>0</v>
      </c>
    </row>
    <row r="111" spans="1:4" x14ac:dyDescent="0.35">
      <c r="A111" t="s">
        <v>2519</v>
      </c>
      <c r="B111">
        <v>-4142</v>
      </c>
      <c r="C111">
        <v>16777215</v>
      </c>
      <c r="D111">
        <v>0</v>
      </c>
    </row>
    <row r="112" spans="1:4" x14ac:dyDescent="0.35">
      <c r="A112" t="s">
        <v>2520</v>
      </c>
      <c r="B112">
        <v>-4142</v>
      </c>
      <c r="C112">
        <v>16777215</v>
      </c>
      <c r="D112">
        <v>0</v>
      </c>
    </row>
    <row r="113" spans="1:4" x14ac:dyDescent="0.35">
      <c r="A113" t="s">
        <v>2521</v>
      </c>
      <c r="B113">
        <v>-4142</v>
      </c>
      <c r="C113">
        <v>16777215</v>
      </c>
      <c r="D113">
        <v>0</v>
      </c>
    </row>
    <row r="114" spans="1:4" x14ac:dyDescent="0.35">
      <c r="A114" t="s">
        <v>2522</v>
      </c>
      <c r="B114">
        <v>-4142</v>
      </c>
      <c r="C114">
        <v>16777215</v>
      </c>
      <c r="D114">
        <v>0</v>
      </c>
    </row>
    <row r="115" spans="1:4" x14ac:dyDescent="0.35">
      <c r="A115" t="s">
        <v>2523</v>
      </c>
      <c r="B115">
        <v>-4142</v>
      </c>
      <c r="C115">
        <v>16777215</v>
      </c>
      <c r="D115">
        <v>0</v>
      </c>
    </row>
    <row r="116" spans="1:4" x14ac:dyDescent="0.35">
      <c r="A116" t="s">
        <v>2524</v>
      </c>
      <c r="B116">
        <v>-4142</v>
      </c>
      <c r="C116">
        <v>16777215</v>
      </c>
      <c r="D116">
        <v>0</v>
      </c>
    </row>
    <row r="117" spans="1:4" x14ac:dyDescent="0.35">
      <c r="A117" t="s">
        <v>1968</v>
      </c>
      <c r="B117">
        <v>-4142</v>
      </c>
      <c r="C117">
        <v>16777215</v>
      </c>
      <c r="D117">
        <v>0</v>
      </c>
    </row>
    <row r="118" spans="1:4" x14ac:dyDescent="0.35">
      <c r="A118" t="s">
        <v>1969</v>
      </c>
      <c r="B118">
        <v>-4142</v>
      </c>
      <c r="C118">
        <v>16777215</v>
      </c>
      <c r="D118">
        <v>10053222</v>
      </c>
    </row>
    <row r="119" spans="1:4" x14ac:dyDescent="0.35">
      <c r="A119" t="s">
        <v>1970</v>
      </c>
      <c r="B119">
        <v>-4142</v>
      </c>
      <c r="C119">
        <v>16777215</v>
      </c>
      <c r="D119">
        <v>10053222</v>
      </c>
    </row>
    <row r="120" spans="1:4" x14ac:dyDescent="0.35">
      <c r="A120" t="s">
        <v>1971</v>
      </c>
      <c r="B120">
        <v>-4142</v>
      </c>
      <c r="C120">
        <v>16777215</v>
      </c>
      <c r="D120">
        <v>10053222</v>
      </c>
    </row>
    <row r="121" spans="1:4" x14ac:dyDescent="0.35">
      <c r="A121" t="s">
        <v>1972</v>
      </c>
      <c r="B121">
        <v>-4142</v>
      </c>
      <c r="C121">
        <v>16777215</v>
      </c>
      <c r="D121">
        <v>10053222</v>
      </c>
    </row>
    <row r="122" spans="1:4" x14ac:dyDescent="0.35">
      <c r="A122" t="s">
        <v>1973</v>
      </c>
      <c r="B122">
        <v>-4142</v>
      </c>
      <c r="C122">
        <v>16777215</v>
      </c>
      <c r="D122">
        <v>0</v>
      </c>
    </row>
    <row r="123" spans="1:4" x14ac:dyDescent="0.35">
      <c r="A123" t="s">
        <v>1974</v>
      </c>
      <c r="B123">
        <v>-4142</v>
      </c>
      <c r="C123">
        <v>16777215</v>
      </c>
      <c r="D123">
        <v>6299648</v>
      </c>
    </row>
    <row r="124" spans="1:4" x14ac:dyDescent="0.35">
      <c r="A124" t="s">
        <v>1975</v>
      </c>
      <c r="B124">
        <v>-4142</v>
      </c>
      <c r="C124">
        <v>16777215</v>
      </c>
      <c r="D124">
        <v>6299648</v>
      </c>
    </row>
    <row r="125" spans="1:4" x14ac:dyDescent="0.35">
      <c r="A125" t="s">
        <v>1976</v>
      </c>
      <c r="B125">
        <v>-4142</v>
      </c>
      <c r="C125">
        <v>16777215</v>
      </c>
      <c r="D125">
        <v>6299648</v>
      </c>
    </row>
    <row r="126" spans="1:4" x14ac:dyDescent="0.35">
      <c r="A126" t="s">
        <v>1977</v>
      </c>
      <c r="B126">
        <v>-4142</v>
      </c>
      <c r="C126">
        <v>16777215</v>
      </c>
      <c r="D126">
        <v>0</v>
      </c>
    </row>
    <row r="127" spans="1:4" x14ac:dyDescent="0.35">
      <c r="A127" t="s">
        <v>1978</v>
      </c>
      <c r="B127">
        <v>-4142</v>
      </c>
      <c r="C127">
        <v>16777215</v>
      </c>
      <c r="D127">
        <v>0</v>
      </c>
    </row>
    <row r="128" spans="1:4" x14ac:dyDescent="0.35">
      <c r="A128" t="s">
        <v>1979</v>
      </c>
      <c r="B128">
        <v>-4142</v>
      </c>
      <c r="C128">
        <v>16777215</v>
      </c>
      <c r="D128">
        <v>0</v>
      </c>
    </row>
    <row r="129" spans="1:4" x14ac:dyDescent="0.35">
      <c r="A129" t="s">
        <v>1980</v>
      </c>
      <c r="B129">
        <v>-4142</v>
      </c>
      <c r="C129">
        <v>16777215</v>
      </c>
      <c r="D129">
        <v>0</v>
      </c>
    </row>
    <row r="130" spans="1:4" x14ac:dyDescent="0.35">
      <c r="A130" t="s">
        <v>1981</v>
      </c>
      <c r="B130">
        <v>-4142</v>
      </c>
      <c r="C130">
        <v>16777215</v>
      </c>
      <c r="D130">
        <v>0</v>
      </c>
    </row>
    <row r="131" spans="1:4" x14ac:dyDescent="0.35">
      <c r="A131" t="s">
        <v>1982</v>
      </c>
      <c r="B131">
        <v>-4142</v>
      </c>
      <c r="C131">
        <v>16777215</v>
      </c>
      <c r="D131">
        <v>0</v>
      </c>
    </row>
    <row r="132" spans="1:4" x14ac:dyDescent="0.35">
      <c r="A132" t="s">
        <v>1983</v>
      </c>
      <c r="B132">
        <v>-4142</v>
      </c>
      <c r="C132">
        <v>16777215</v>
      </c>
      <c r="D132">
        <v>0</v>
      </c>
    </row>
    <row r="133" spans="1:4" x14ac:dyDescent="0.35">
      <c r="A133" t="s">
        <v>1984</v>
      </c>
      <c r="B133">
        <v>-4142</v>
      </c>
      <c r="C133">
        <v>16777215</v>
      </c>
      <c r="D133">
        <v>0</v>
      </c>
    </row>
    <row r="134" spans="1:4" x14ac:dyDescent="0.35">
      <c r="A134" t="s">
        <v>1985</v>
      </c>
      <c r="B134">
        <v>-4142</v>
      </c>
      <c r="C134">
        <v>16777215</v>
      </c>
      <c r="D134">
        <v>0</v>
      </c>
    </row>
    <row r="135" spans="1:4" x14ac:dyDescent="0.35">
      <c r="A135" t="s">
        <v>1986</v>
      </c>
      <c r="B135">
        <v>-4142</v>
      </c>
      <c r="C135">
        <v>16777215</v>
      </c>
      <c r="D135">
        <v>0</v>
      </c>
    </row>
    <row r="136" spans="1:4" x14ac:dyDescent="0.35">
      <c r="A136" t="s">
        <v>1987</v>
      </c>
      <c r="B136">
        <v>-4142</v>
      </c>
      <c r="C136">
        <v>16777215</v>
      </c>
      <c r="D136">
        <v>0</v>
      </c>
    </row>
    <row r="137" spans="1:4" x14ac:dyDescent="0.35">
      <c r="A137" t="s">
        <v>1988</v>
      </c>
      <c r="B137">
        <v>-4142</v>
      </c>
      <c r="C137">
        <v>16777215</v>
      </c>
      <c r="D137">
        <v>0</v>
      </c>
    </row>
    <row r="138" spans="1:4" x14ac:dyDescent="0.35">
      <c r="A138" t="s">
        <v>2525</v>
      </c>
      <c r="B138">
        <v>-4142</v>
      </c>
      <c r="C138">
        <v>16777215</v>
      </c>
      <c r="D138">
        <v>0</v>
      </c>
    </row>
    <row r="139" spans="1:4" x14ac:dyDescent="0.35">
      <c r="A139" t="s">
        <v>2526</v>
      </c>
      <c r="B139">
        <v>-4142</v>
      </c>
      <c r="C139">
        <v>16777215</v>
      </c>
      <c r="D139">
        <v>0</v>
      </c>
    </row>
    <row r="140" spans="1:4" x14ac:dyDescent="0.35">
      <c r="A140" t="s">
        <v>2527</v>
      </c>
      <c r="B140">
        <v>-4142</v>
      </c>
      <c r="C140">
        <v>16777215</v>
      </c>
      <c r="D140">
        <v>0</v>
      </c>
    </row>
    <row r="141" spans="1:4" x14ac:dyDescent="0.35">
      <c r="A141" t="s">
        <v>2528</v>
      </c>
      <c r="B141">
        <v>-4142</v>
      </c>
      <c r="C141">
        <v>16777215</v>
      </c>
      <c r="D141">
        <v>0</v>
      </c>
    </row>
    <row r="142" spans="1:4" x14ac:dyDescent="0.35">
      <c r="A142" t="s">
        <v>2529</v>
      </c>
      <c r="B142">
        <v>-4142</v>
      </c>
      <c r="C142">
        <v>16777215</v>
      </c>
      <c r="D142">
        <v>0</v>
      </c>
    </row>
    <row r="143" spans="1:4" x14ac:dyDescent="0.35">
      <c r="A143" t="s">
        <v>2530</v>
      </c>
      <c r="B143">
        <v>-4142</v>
      </c>
      <c r="C143">
        <v>16777215</v>
      </c>
      <c r="D143">
        <v>0</v>
      </c>
    </row>
    <row r="144" spans="1:4" x14ac:dyDescent="0.35">
      <c r="A144" t="s">
        <v>2531</v>
      </c>
      <c r="B144">
        <v>-4142</v>
      </c>
      <c r="C144">
        <v>16777215</v>
      </c>
      <c r="D144">
        <v>0</v>
      </c>
    </row>
    <row r="145" spans="1:4" x14ac:dyDescent="0.35">
      <c r="A145" t="s">
        <v>2532</v>
      </c>
      <c r="B145">
        <v>-4142</v>
      </c>
      <c r="C145">
        <v>16777215</v>
      </c>
      <c r="D145">
        <v>0</v>
      </c>
    </row>
    <row r="146" spans="1:4" x14ac:dyDescent="0.35">
      <c r="A146" t="s">
        <v>1989</v>
      </c>
      <c r="B146">
        <v>-4142</v>
      </c>
      <c r="C146">
        <v>16777215</v>
      </c>
      <c r="D146">
        <v>0</v>
      </c>
    </row>
    <row r="147" spans="1:4" x14ac:dyDescent="0.35">
      <c r="A147" t="s">
        <v>1990</v>
      </c>
      <c r="B147">
        <v>-4142</v>
      </c>
      <c r="C147">
        <v>16777215</v>
      </c>
      <c r="D147">
        <v>10053222</v>
      </c>
    </row>
    <row r="148" spans="1:4" x14ac:dyDescent="0.35">
      <c r="A148" t="s">
        <v>1991</v>
      </c>
      <c r="B148">
        <v>-4142</v>
      </c>
      <c r="C148">
        <v>16777215</v>
      </c>
      <c r="D148">
        <v>10053222</v>
      </c>
    </row>
    <row r="149" spans="1:4" x14ac:dyDescent="0.35">
      <c r="A149" t="s">
        <v>1992</v>
      </c>
      <c r="B149">
        <v>-4142</v>
      </c>
      <c r="C149">
        <v>16777215</v>
      </c>
      <c r="D149">
        <v>10053222</v>
      </c>
    </row>
    <row r="150" spans="1:4" x14ac:dyDescent="0.35">
      <c r="A150" t="s">
        <v>1993</v>
      </c>
      <c r="B150">
        <v>-4142</v>
      </c>
      <c r="C150">
        <v>16777215</v>
      </c>
      <c r="D150">
        <v>10053222</v>
      </c>
    </row>
    <row r="151" spans="1:4" x14ac:dyDescent="0.35">
      <c r="A151" t="s">
        <v>1994</v>
      </c>
      <c r="B151">
        <v>-4142</v>
      </c>
      <c r="C151">
        <v>16777215</v>
      </c>
      <c r="D151">
        <v>0</v>
      </c>
    </row>
    <row r="152" spans="1:4" x14ac:dyDescent="0.35">
      <c r="A152" t="s">
        <v>1995</v>
      </c>
      <c r="B152">
        <v>-4142</v>
      </c>
      <c r="C152">
        <v>16777215</v>
      </c>
      <c r="D152">
        <v>6299648</v>
      </c>
    </row>
    <row r="153" spans="1:4" x14ac:dyDescent="0.35">
      <c r="A153" t="s">
        <v>1996</v>
      </c>
      <c r="B153">
        <v>-4142</v>
      </c>
      <c r="C153">
        <v>16777215</v>
      </c>
      <c r="D153">
        <v>6299648</v>
      </c>
    </row>
    <row r="154" spans="1:4" x14ac:dyDescent="0.35">
      <c r="A154" t="s">
        <v>1997</v>
      </c>
      <c r="B154">
        <v>2</v>
      </c>
      <c r="C154">
        <v>16777215</v>
      </c>
      <c r="D154">
        <v>6299648</v>
      </c>
    </row>
    <row r="155" spans="1:4" x14ac:dyDescent="0.35">
      <c r="A155" t="s">
        <v>1998</v>
      </c>
      <c r="B155">
        <v>-4142</v>
      </c>
      <c r="C155">
        <v>16777215</v>
      </c>
      <c r="D155">
        <v>0</v>
      </c>
    </row>
    <row r="156" spans="1:4" x14ac:dyDescent="0.35">
      <c r="A156" t="s">
        <v>1999</v>
      </c>
      <c r="B156">
        <v>-4142</v>
      </c>
      <c r="C156">
        <v>16777215</v>
      </c>
      <c r="D156">
        <v>0</v>
      </c>
    </row>
    <row r="157" spans="1:4" x14ac:dyDescent="0.35">
      <c r="A157" t="s">
        <v>2000</v>
      </c>
      <c r="B157">
        <v>-4142</v>
      </c>
      <c r="C157">
        <v>16777215</v>
      </c>
      <c r="D157">
        <v>0</v>
      </c>
    </row>
    <row r="158" spans="1:4" x14ac:dyDescent="0.35">
      <c r="A158" t="s">
        <v>2001</v>
      </c>
      <c r="B158">
        <v>-4142</v>
      </c>
      <c r="C158">
        <v>16777215</v>
      </c>
      <c r="D158">
        <v>0</v>
      </c>
    </row>
    <row r="159" spans="1:4" x14ac:dyDescent="0.35">
      <c r="A159" t="s">
        <v>2002</v>
      </c>
      <c r="B159">
        <v>-4142</v>
      </c>
      <c r="C159">
        <v>16777215</v>
      </c>
      <c r="D159">
        <v>0</v>
      </c>
    </row>
    <row r="160" spans="1:4" x14ac:dyDescent="0.35">
      <c r="A160" t="s">
        <v>2003</v>
      </c>
      <c r="B160">
        <v>-4142</v>
      </c>
      <c r="C160">
        <v>16777215</v>
      </c>
      <c r="D160">
        <v>0</v>
      </c>
    </row>
    <row r="161" spans="1:4" x14ac:dyDescent="0.35">
      <c r="A161" t="s">
        <v>2004</v>
      </c>
      <c r="B161">
        <v>-4142</v>
      </c>
      <c r="C161">
        <v>16777215</v>
      </c>
      <c r="D161">
        <v>0</v>
      </c>
    </row>
    <row r="162" spans="1:4" x14ac:dyDescent="0.35">
      <c r="A162" t="s">
        <v>2005</v>
      </c>
      <c r="B162">
        <v>-4142</v>
      </c>
      <c r="C162">
        <v>16777215</v>
      </c>
      <c r="D162">
        <v>0</v>
      </c>
    </row>
    <row r="163" spans="1:4" x14ac:dyDescent="0.35">
      <c r="A163" t="s">
        <v>2006</v>
      </c>
      <c r="B163">
        <v>-4142</v>
      </c>
      <c r="C163">
        <v>16777215</v>
      </c>
      <c r="D163">
        <v>0</v>
      </c>
    </row>
    <row r="164" spans="1:4" x14ac:dyDescent="0.35">
      <c r="A164" t="s">
        <v>2007</v>
      </c>
      <c r="B164">
        <v>-4142</v>
      </c>
      <c r="C164">
        <v>16777215</v>
      </c>
      <c r="D164">
        <v>0</v>
      </c>
    </row>
    <row r="165" spans="1:4" x14ac:dyDescent="0.35">
      <c r="A165" t="s">
        <v>2008</v>
      </c>
      <c r="B165">
        <v>-4142</v>
      </c>
      <c r="C165">
        <v>16777215</v>
      </c>
      <c r="D165">
        <v>0</v>
      </c>
    </row>
    <row r="166" spans="1:4" x14ac:dyDescent="0.35">
      <c r="A166" t="s">
        <v>2009</v>
      </c>
      <c r="B166">
        <v>-4142</v>
      </c>
      <c r="C166">
        <v>16777215</v>
      </c>
      <c r="D166">
        <v>0</v>
      </c>
    </row>
    <row r="167" spans="1:4" x14ac:dyDescent="0.35">
      <c r="A167" t="s">
        <v>2533</v>
      </c>
      <c r="B167">
        <v>-4142</v>
      </c>
      <c r="C167">
        <v>16777215</v>
      </c>
      <c r="D167">
        <v>0</v>
      </c>
    </row>
    <row r="168" spans="1:4" x14ac:dyDescent="0.35">
      <c r="A168" t="s">
        <v>2534</v>
      </c>
      <c r="B168">
        <v>-4142</v>
      </c>
      <c r="C168">
        <v>16777215</v>
      </c>
      <c r="D168">
        <v>0</v>
      </c>
    </row>
    <row r="169" spans="1:4" x14ac:dyDescent="0.35">
      <c r="A169" t="s">
        <v>2535</v>
      </c>
      <c r="B169">
        <v>-4142</v>
      </c>
      <c r="C169">
        <v>16777215</v>
      </c>
      <c r="D169">
        <v>0</v>
      </c>
    </row>
    <row r="170" spans="1:4" x14ac:dyDescent="0.35">
      <c r="A170" t="s">
        <v>2536</v>
      </c>
      <c r="B170">
        <v>-4142</v>
      </c>
      <c r="C170">
        <v>16777215</v>
      </c>
      <c r="D170">
        <v>0</v>
      </c>
    </row>
    <row r="171" spans="1:4" x14ac:dyDescent="0.35">
      <c r="A171" t="s">
        <v>2537</v>
      </c>
      <c r="B171">
        <v>-4142</v>
      </c>
      <c r="C171">
        <v>16777215</v>
      </c>
      <c r="D171">
        <v>0</v>
      </c>
    </row>
    <row r="172" spans="1:4" x14ac:dyDescent="0.35">
      <c r="A172" t="s">
        <v>2538</v>
      </c>
      <c r="B172">
        <v>-4142</v>
      </c>
      <c r="C172">
        <v>16777215</v>
      </c>
      <c r="D172">
        <v>0</v>
      </c>
    </row>
    <row r="173" spans="1:4" x14ac:dyDescent="0.35">
      <c r="A173" t="s">
        <v>2539</v>
      </c>
      <c r="B173">
        <v>-4142</v>
      </c>
      <c r="C173">
        <v>16777215</v>
      </c>
      <c r="D173">
        <v>0</v>
      </c>
    </row>
    <row r="174" spans="1:4" x14ac:dyDescent="0.35">
      <c r="A174" t="s">
        <v>2540</v>
      </c>
      <c r="B174">
        <v>-4142</v>
      </c>
      <c r="C174">
        <v>16777215</v>
      </c>
      <c r="D174">
        <v>0</v>
      </c>
    </row>
    <row r="175" spans="1:4" x14ac:dyDescent="0.35">
      <c r="A175" t="s">
        <v>2010</v>
      </c>
      <c r="B175">
        <v>-4142</v>
      </c>
      <c r="C175">
        <v>16777215</v>
      </c>
      <c r="D175">
        <v>0</v>
      </c>
    </row>
    <row r="176" spans="1:4" x14ac:dyDescent="0.35">
      <c r="A176" t="s">
        <v>2011</v>
      </c>
      <c r="B176">
        <v>-4142</v>
      </c>
      <c r="C176">
        <v>16777215</v>
      </c>
      <c r="D176">
        <v>10053222</v>
      </c>
    </row>
    <row r="177" spans="1:4" x14ac:dyDescent="0.35">
      <c r="A177" t="s">
        <v>2012</v>
      </c>
      <c r="B177">
        <v>-4142</v>
      </c>
      <c r="C177">
        <v>16777215</v>
      </c>
      <c r="D177">
        <v>10053222</v>
      </c>
    </row>
    <row r="178" spans="1:4" x14ac:dyDescent="0.35">
      <c r="A178" t="s">
        <v>2013</v>
      </c>
      <c r="B178">
        <v>-4142</v>
      </c>
      <c r="C178">
        <v>16777215</v>
      </c>
      <c r="D178">
        <v>10053222</v>
      </c>
    </row>
    <row r="179" spans="1:4" x14ac:dyDescent="0.35">
      <c r="A179" t="s">
        <v>2014</v>
      </c>
      <c r="B179">
        <v>-4142</v>
      </c>
      <c r="C179">
        <v>16777215</v>
      </c>
      <c r="D179">
        <v>10053222</v>
      </c>
    </row>
    <row r="180" spans="1:4" x14ac:dyDescent="0.35">
      <c r="A180" t="s">
        <v>2015</v>
      </c>
      <c r="B180">
        <v>-4142</v>
      </c>
      <c r="C180">
        <v>16777215</v>
      </c>
      <c r="D180">
        <v>0</v>
      </c>
    </row>
    <row r="181" spans="1:4" x14ac:dyDescent="0.35">
      <c r="A181" t="s">
        <v>2016</v>
      </c>
      <c r="B181">
        <v>-4142</v>
      </c>
      <c r="C181">
        <v>16777215</v>
      </c>
      <c r="D181">
        <v>6299648</v>
      </c>
    </row>
    <row r="182" spans="1:4" x14ac:dyDescent="0.35">
      <c r="A182" t="s">
        <v>2017</v>
      </c>
      <c r="B182">
        <v>-4142</v>
      </c>
      <c r="C182">
        <v>16777215</v>
      </c>
      <c r="D182">
        <v>6299648</v>
      </c>
    </row>
    <row r="183" spans="1:4" x14ac:dyDescent="0.35">
      <c r="A183" t="s">
        <v>2018</v>
      </c>
      <c r="B183">
        <v>-4142</v>
      </c>
      <c r="C183">
        <v>16777215</v>
      </c>
      <c r="D183">
        <v>6299648</v>
      </c>
    </row>
    <row r="184" spans="1:4" x14ac:dyDescent="0.35">
      <c r="A184" t="s">
        <v>2019</v>
      </c>
      <c r="B184">
        <v>-4142</v>
      </c>
      <c r="C184">
        <v>16777215</v>
      </c>
      <c r="D184">
        <v>0</v>
      </c>
    </row>
    <row r="185" spans="1:4" x14ac:dyDescent="0.35">
      <c r="A185" t="s">
        <v>2020</v>
      </c>
      <c r="B185">
        <v>-4142</v>
      </c>
      <c r="C185">
        <v>16777215</v>
      </c>
      <c r="D185">
        <v>0</v>
      </c>
    </row>
    <row r="186" spans="1:4" x14ac:dyDescent="0.35">
      <c r="A186" t="s">
        <v>2021</v>
      </c>
      <c r="B186">
        <v>-4142</v>
      </c>
      <c r="C186">
        <v>16777215</v>
      </c>
      <c r="D186">
        <v>0</v>
      </c>
    </row>
    <row r="187" spans="1:4" x14ac:dyDescent="0.35">
      <c r="A187" t="s">
        <v>2022</v>
      </c>
      <c r="B187">
        <v>-4142</v>
      </c>
      <c r="C187">
        <v>16777215</v>
      </c>
      <c r="D187">
        <v>0</v>
      </c>
    </row>
    <row r="188" spans="1:4" x14ac:dyDescent="0.35">
      <c r="A188" t="s">
        <v>2023</v>
      </c>
      <c r="B188">
        <v>-4142</v>
      </c>
      <c r="C188">
        <v>16777215</v>
      </c>
      <c r="D188">
        <v>0</v>
      </c>
    </row>
    <row r="189" spans="1:4" x14ac:dyDescent="0.35">
      <c r="A189" t="s">
        <v>2024</v>
      </c>
      <c r="B189">
        <v>-4142</v>
      </c>
      <c r="C189">
        <v>16777215</v>
      </c>
      <c r="D189">
        <v>0</v>
      </c>
    </row>
    <row r="190" spans="1:4" x14ac:dyDescent="0.35">
      <c r="A190" t="s">
        <v>2025</v>
      </c>
      <c r="B190">
        <v>-4142</v>
      </c>
      <c r="C190">
        <v>16777215</v>
      </c>
      <c r="D190">
        <v>0</v>
      </c>
    </row>
    <row r="191" spans="1:4" x14ac:dyDescent="0.35">
      <c r="A191" t="s">
        <v>2026</v>
      </c>
      <c r="B191">
        <v>-4142</v>
      </c>
      <c r="C191">
        <v>16777215</v>
      </c>
      <c r="D191">
        <v>0</v>
      </c>
    </row>
    <row r="192" spans="1:4" x14ac:dyDescent="0.35">
      <c r="A192" t="s">
        <v>2027</v>
      </c>
      <c r="B192">
        <v>-4142</v>
      </c>
      <c r="C192">
        <v>16777215</v>
      </c>
      <c r="D192">
        <v>0</v>
      </c>
    </row>
    <row r="193" spans="1:4" x14ac:dyDescent="0.35">
      <c r="A193" t="s">
        <v>2028</v>
      </c>
      <c r="B193">
        <v>-4142</v>
      </c>
      <c r="C193">
        <v>16777215</v>
      </c>
      <c r="D193">
        <v>0</v>
      </c>
    </row>
    <row r="194" spans="1:4" x14ac:dyDescent="0.35">
      <c r="A194" t="s">
        <v>2029</v>
      </c>
      <c r="B194">
        <v>-4142</v>
      </c>
      <c r="C194">
        <v>16777215</v>
      </c>
      <c r="D194">
        <v>0</v>
      </c>
    </row>
    <row r="195" spans="1:4" x14ac:dyDescent="0.35">
      <c r="A195" t="s">
        <v>2030</v>
      </c>
      <c r="B195">
        <v>-4142</v>
      </c>
      <c r="C195">
        <v>16777215</v>
      </c>
      <c r="D195">
        <v>0</v>
      </c>
    </row>
    <row r="196" spans="1:4" x14ac:dyDescent="0.35">
      <c r="A196" t="s">
        <v>2541</v>
      </c>
      <c r="B196">
        <v>-4142</v>
      </c>
      <c r="C196">
        <v>16777215</v>
      </c>
      <c r="D196">
        <v>0</v>
      </c>
    </row>
    <row r="197" spans="1:4" x14ac:dyDescent="0.35">
      <c r="A197" t="s">
        <v>2542</v>
      </c>
      <c r="B197">
        <v>-4142</v>
      </c>
      <c r="C197">
        <v>16777215</v>
      </c>
      <c r="D197">
        <v>0</v>
      </c>
    </row>
    <row r="198" spans="1:4" x14ac:dyDescent="0.35">
      <c r="A198" t="s">
        <v>2543</v>
      </c>
      <c r="B198">
        <v>-4142</v>
      </c>
      <c r="C198">
        <v>16777215</v>
      </c>
      <c r="D198">
        <v>0</v>
      </c>
    </row>
    <row r="199" spans="1:4" x14ac:dyDescent="0.35">
      <c r="A199" t="s">
        <v>2544</v>
      </c>
      <c r="B199">
        <v>-4142</v>
      </c>
      <c r="C199">
        <v>16777215</v>
      </c>
      <c r="D199">
        <v>0</v>
      </c>
    </row>
    <row r="200" spans="1:4" x14ac:dyDescent="0.35">
      <c r="A200" t="s">
        <v>2545</v>
      </c>
      <c r="B200">
        <v>-4142</v>
      </c>
      <c r="C200">
        <v>16777215</v>
      </c>
      <c r="D200">
        <v>0</v>
      </c>
    </row>
    <row r="201" spans="1:4" x14ac:dyDescent="0.35">
      <c r="A201" t="s">
        <v>2546</v>
      </c>
      <c r="B201">
        <v>-4142</v>
      </c>
      <c r="C201">
        <v>16777215</v>
      </c>
      <c r="D201">
        <v>0</v>
      </c>
    </row>
    <row r="202" spans="1:4" x14ac:dyDescent="0.35">
      <c r="A202" t="s">
        <v>2547</v>
      </c>
      <c r="B202">
        <v>-4142</v>
      </c>
      <c r="C202">
        <v>16777215</v>
      </c>
      <c r="D202">
        <v>0</v>
      </c>
    </row>
    <row r="203" spans="1:4" x14ac:dyDescent="0.35">
      <c r="A203" t="s">
        <v>2548</v>
      </c>
      <c r="B203">
        <v>-4142</v>
      </c>
      <c r="C203">
        <v>16777215</v>
      </c>
      <c r="D203">
        <v>0</v>
      </c>
    </row>
    <row r="204" spans="1:4" x14ac:dyDescent="0.35">
      <c r="A204" t="s">
        <v>2031</v>
      </c>
      <c r="B204">
        <v>-4142</v>
      </c>
      <c r="C204">
        <v>16777215</v>
      </c>
      <c r="D204">
        <v>0</v>
      </c>
    </row>
    <row r="205" spans="1:4" x14ac:dyDescent="0.35">
      <c r="A205" t="s">
        <v>2032</v>
      </c>
      <c r="B205">
        <v>-4142</v>
      </c>
      <c r="C205">
        <v>16777215</v>
      </c>
      <c r="D205">
        <v>10053222</v>
      </c>
    </row>
    <row r="206" spans="1:4" x14ac:dyDescent="0.35">
      <c r="A206" t="s">
        <v>2033</v>
      </c>
      <c r="B206">
        <v>-4142</v>
      </c>
      <c r="C206">
        <v>16777215</v>
      </c>
      <c r="D206">
        <v>10053222</v>
      </c>
    </row>
    <row r="207" spans="1:4" x14ac:dyDescent="0.35">
      <c r="A207" t="s">
        <v>2034</v>
      </c>
      <c r="B207">
        <v>-4142</v>
      </c>
      <c r="C207">
        <v>16777215</v>
      </c>
      <c r="D207">
        <v>10053222</v>
      </c>
    </row>
    <row r="208" spans="1:4" x14ac:dyDescent="0.35">
      <c r="A208" t="s">
        <v>2035</v>
      </c>
      <c r="B208">
        <v>-4142</v>
      </c>
      <c r="C208">
        <v>16777215</v>
      </c>
      <c r="D208">
        <v>10053222</v>
      </c>
    </row>
    <row r="209" spans="1:4" x14ac:dyDescent="0.35">
      <c r="A209" t="s">
        <v>2036</v>
      </c>
      <c r="B209">
        <v>-4142</v>
      </c>
      <c r="C209">
        <v>16777215</v>
      </c>
      <c r="D209">
        <v>0</v>
      </c>
    </row>
    <row r="210" spans="1:4" x14ac:dyDescent="0.35">
      <c r="A210" t="s">
        <v>2037</v>
      </c>
      <c r="B210">
        <v>-4142</v>
      </c>
      <c r="C210">
        <v>16777215</v>
      </c>
      <c r="D210">
        <v>6299648</v>
      </c>
    </row>
    <row r="211" spans="1:4" x14ac:dyDescent="0.35">
      <c r="A211" t="s">
        <v>2038</v>
      </c>
      <c r="B211">
        <v>-4142</v>
      </c>
      <c r="C211">
        <v>16777215</v>
      </c>
      <c r="D211">
        <v>6299648</v>
      </c>
    </row>
    <row r="212" spans="1:4" x14ac:dyDescent="0.35">
      <c r="A212" t="s">
        <v>2039</v>
      </c>
      <c r="B212">
        <v>-4142</v>
      </c>
      <c r="C212">
        <v>16777215</v>
      </c>
      <c r="D212">
        <v>6299648</v>
      </c>
    </row>
    <row r="213" spans="1:4" x14ac:dyDescent="0.35">
      <c r="A213" t="s">
        <v>2040</v>
      </c>
      <c r="B213">
        <v>-4142</v>
      </c>
      <c r="C213">
        <v>16777215</v>
      </c>
      <c r="D213">
        <v>0</v>
      </c>
    </row>
    <row r="214" spans="1:4" x14ac:dyDescent="0.35">
      <c r="A214" t="s">
        <v>2041</v>
      </c>
      <c r="B214">
        <v>-4142</v>
      </c>
      <c r="C214">
        <v>16777215</v>
      </c>
      <c r="D214">
        <v>0</v>
      </c>
    </row>
    <row r="215" spans="1:4" x14ac:dyDescent="0.35">
      <c r="A215" t="s">
        <v>2042</v>
      </c>
      <c r="B215">
        <v>-4142</v>
      </c>
      <c r="C215">
        <v>16777215</v>
      </c>
      <c r="D215">
        <v>0</v>
      </c>
    </row>
    <row r="216" spans="1:4" x14ac:dyDescent="0.35">
      <c r="A216" t="s">
        <v>2043</v>
      </c>
      <c r="B216">
        <v>-4142</v>
      </c>
      <c r="C216">
        <v>16777215</v>
      </c>
      <c r="D216">
        <v>0</v>
      </c>
    </row>
    <row r="217" spans="1:4" x14ac:dyDescent="0.35">
      <c r="A217" t="s">
        <v>2044</v>
      </c>
      <c r="B217">
        <v>-4142</v>
      </c>
      <c r="C217">
        <v>16777215</v>
      </c>
      <c r="D217">
        <v>0</v>
      </c>
    </row>
    <row r="218" spans="1:4" x14ac:dyDescent="0.35">
      <c r="A218" t="s">
        <v>2045</v>
      </c>
      <c r="B218">
        <v>-4142</v>
      </c>
      <c r="C218">
        <v>16777215</v>
      </c>
      <c r="D218">
        <v>0</v>
      </c>
    </row>
    <row r="219" spans="1:4" x14ac:dyDescent="0.35">
      <c r="A219" t="s">
        <v>2046</v>
      </c>
      <c r="B219">
        <v>-4142</v>
      </c>
      <c r="C219">
        <v>16777215</v>
      </c>
      <c r="D219">
        <v>0</v>
      </c>
    </row>
    <row r="220" spans="1:4" x14ac:dyDescent="0.35">
      <c r="A220" t="s">
        <v>2047</v>
      </c>
      <c r="B220">
        <v>-4142</v>
      </c>
      <c r="C220">
        <v>16777215</v>
      </c>
      <c r="D220">
        <v>0</v>
      </c>
    </row>
    <row r="221" spans="1:4" x14ac:dyDescent="0.35">
      <c r="A221" t="s">
        <v>2048</v>
      </c>
      <c r="B221">
        <v>-4142</v>
      </c>
      <c r="C221">
        <v>16777215</v>
      </c>
      <c r="D221">
        <v>0</v>
      </c>
    </row>
    <row r="222" spans="1:4" x14ac:dyDescent="0.35">
      <c r="A222" t="s">
        <v>2049</v>
      </c>
      <c r="B222">
        <v>-4142</v>
      </c>
      <c r="C222">
        <v>16777215</v>
      </c>
      <c r="D222">
        <v>0</v>
      </c>
    </row>
    <row r="223" spans="1:4" x14ac:dyDescent="0.35">
      <c r="A223" t="s">
        <v>2050</v>
      </c>
      <c r="B223">
        <v>-4142</v>
      </c>
      <c r="C223">
        <v>16777215</v>
      </c>
      <c r="D223">
        <v>0</v>
      </c>
    </row>
    <row r="224" spans="1:4" x14ac:dyDescent="0.35">
      <c r="A224" t="s">
        <v>2051</v>
      </c>
      <c r="B224">
        <v>-4142</v>
      </c>
      <c r="C224">
        <v>16777215</v>
      </c>
      <c r="D224">
        <v>0</v>
      </c>
    </row>
    <row r="225" spans="1:4" x14ac:dyDescent="0.35">
      <c r="A225" t="s">
        <v>2549</v>
      </c>
      <c r="B225">
        <v>-4142</v>
      </c>
      <c r="C225">
        <v>16777215</v>
      </c>
      <c r="D225">
        <v>0</v>
      </c>
    </row>
    <row r="226" spans="1:4" x14ac:dyDescent="0.35">
      <c r="A226" t="s">
        <v>2550</v>
      </c>
      <c r="B226">
        <v>-4142</v>
      </c>
      <c r="C226">
        <v>16777215</v>
      </c>
      <c r="D226">
        <v>0</v>
      </c>
    </row>
    <row r="227" spans="1:4" x14ac:dyDescent="0.35">
      <c r="A227" t="s">
        <v>2551</v>
      </c>
      <c r="B227">
        <v>-4142</v>
      </c>
      <c r="C227">
        <v>16777215</v>
      </c>
      <c r="D227">
        <v>0</v>
      </c>
    </row>
    <row r="228" spans="1:4" x14ac:dyDescent="0.35">
      <c r="A228" t="s">
        <v>2552</v>
      </c>
      <c r="B228">
        <v>-4142</v>
      </c>
      <c r="C228">
        <v>16777215</v>
      </c>
      <c r="D228">
        <v>0</v>
      </c>
    </row>
    <row r="229" spans="1:4" x14ac:dyDescent="0.35">
      <c r="A229" t="s">
        <v>2553</v>
      </c>
      <c r="B229">
        <v>-4142</v>
      </c>
      <c r="C229">
        <v>16777215</v>
      </c>
      <c r="D229">
        <v>0</v>
      </c>
    </row>
    <row r="230" spans="1:4" x14ac:dyDescent="0.35">
      <c r="A230" t="s">
        <v>2554</v>
      </c>
      <c r="B230">
        <v>-4142</v>
      </c>
      <c r="C230">
        <v>16777215</v>
      </c>
      <c r="D230">
        <v>0</v>
      </c>
    </row>
    <row r="231" spans="1:4" x14ac:dyDescent="0.35">
      <c r="A231" t="s">
        <v>2555</v>
      </c>
      <c r="B231">
        <v>-4142</v>
      </c>
      <c r="C231">
        <v>16777215</v>
      </c>
      <c r="D231">
        <v>0</v>
      </c>
    </row>
    <row r="232" spans="1:4" x14ac:dyDescent="0.35">
      <c r="A232" t="s">
        <v>2556</v>
      </c>
      <c r="B232">
        <v>-4142</v>
      </c>
      <c r="C232">
        <v>16777215</v>
      </c>
      <c r="D232">
        <v>0</v>
      </c>
    </row>
    <row r="233" spans="1:4" x14ac:dyDescent="0.35">
      <c r="A233" t="s">
        <v>2052</v>
      </c>
      <c r="B233">
        <v>-4142</v>
      </c>
      <c r="C233">
        <v>16777215</v>
      </c>
      <c r="D233">
        <v>0</v>
      </c>
    </row>
    <row r="234" spans="1:4" x14ac:dyDescent="0.35">
      <c r="A234" t="s">
        <v>2053</v>
      </c>
      <c r="B234">
        <v>-4142</v>
      </c>
      <c r="C234">
        <v>16777215</v>
      </c>
      <c r="D234">
        <v>10053222</v>
      </c>
    </row>
    <row r="235" spans="1:4" x14ac:dyDescent="0.35">
      <c r="A235" t="s">
        <v>2054</v>
      </c>
      <c r="B235">
        <v>-4142</v>
      </c>
      <c r="C235">
        <v>16777215</v>
      </c>
      <c r="D235">
        <v>10053222</v>
      </c>
    </row>
    <row r="236" spans="1:4" x14ac:dyDescent="0.35">
      <c r="A236" t="s">
        <v>2055</v>
      </c>
      <c r="B236">
        <v>-4142</v>
      </c>
      <c r="C236">
        <v>16777215</v>
      </c>
      <c r="D236">
        <v>10053222</v>
      </c>
    </row>
    <row r="237" spans="1:4" x14ac:dyDescent="0.35">
      <c r="A237" t="s">
        <v>2056</v>
      </c>
      <c r="B237">
        <v>-4142</v>
      </c>
      <c r="C237">
        <v>16777215</v>
      </c>
      <c r="D237">
        <v>10053222</v>
      </c>
    </row>
    <row r="238" spans="1:4" x14ac:dyDescent="0.35">
      <c r="A238" t="s">
        <v>2057</v>
      </c>
      <c r="B238">
        <v>-4142</v>
      </c>
      <c r="C238">
        <v>16777215</v>
      </c>
      <c r="D238">
        <v>0</v>
      </c>
    </row>
    <row r="239" spans="1:4" x14ac:dyDescent="0.35">
      <c r="A239" t="s">
        <v>2058</v>
      </c>
      <c r="B239">
        <v>-4142</v>
      </c>
      <c r="C239">
        <v>16777215</v>
      </c>
      <c r="D239">
        <v>6299648</v>
      </c>
    </row>
    <row r="240" spans="1:4" x14ac:dyDescent="0.35">
      <c r="A240" t="s">
        <v>2059</v>
      </c>
      <c r="B240">
        <v>-4142</v>
      </c>
      <c r="C240">
        <v>16777215</v>
      </c>
      <c r="D240">
        <v>6299648</v>
      </c>
    </row>
    <row r="241" spans="1:4" x14ac:dyDescent="0.35">
      <c r="A241" t="s">
        <v>2060</v>
      </c>
      <c r="B241">
        <v>-4142</v>
      </c>
      <c r="C241">
        <v>16777215</v>
      </c>
      <c r="D241">
        <v>6299648</v>
      </c>
    </row>
    <row r="242" spans="1:4" x14ac:dyDescent="0.35">
      <c r="A242" t="s">
        <v>2061</v>
      </c>
      <c r="B242">
        <v>-4142</v>
      </c>
      <c r="C242">
        <v>16777215</v>
      </c>
      <c r="D242">
        <v>0</v>
      </c>
    </row>
    <row r="243" spans="1:4" x14ac:dyDescent="0.35">
      <c r="A243" t="s">
        <v>2062</v>
      </c>
      <c r="B243">
        <v>-4142</v>
      </c>
      <c r="C243">
        <v>16777215</v>
      </c>
      <c r="D243">
        <v>0</v>
      </c>
    </row>
    <row r="244" spans="1:4" x14ac:dyDescent="0.35">
      <c r="A244" t="s">
        <v>2063</v>
      </c>
      <c r="B244">
        <v>-4142</v>
      </c>
      <c r="C244">
        <v>16777215</v>
      </c>
      <c r="D244">
        <v>0</v>
      </c>
    </row>
    <row r="245" spans="1:4" x14ac:dyDescent="0.35">
      <c r="A245" t="s">
        <v>2064</v>
      </c>
      <c r="B245">
        <v>-4142</v>
      </c>
      <c r="C245">
        <v>16777215</v>
      </c>
      <c r="D245">
        <v>0</v>
      </c>
    </row>
    <row r="246" spans="1:4" x14ac:dyDescent="0.35">
      <c r="A246" t="s">
        <v>2065</v>
      </c>
      <c r="B246">
        <v>-4142</v>
      </c>
      <c r="C246">
        <v>16777215</v>
      </c>
      <c r="D246">
        <v>0</v>
      </c>
    </row>
    <row r="247" spans="1:4" x14ac:dyDescent="0.35">
      <c r="A247" t="s">
        <v>2066</v>
      </c>
      <c r="B247">
        <v>-4142</v>
      </c>
      <c r="C247">
        <v>16777215</v>
      </c>
      <c r="D247">
        <v>0</v>
      </c>
    </row>
    <row r="248" spans="1:4" x14ac:dyDescent="0.35">
      <c r="A248" t="s">
        <v>2067</v>
      </c>
      <c r="B248">
        <v>-4142</v>
      </c>
      <c r="C248">
        <v>16777215</v>
      </c>
      <c r="D248">
        <v>0</v>
      </c>
    </row>
    <row r="249" spans="1:4" x14ac:dyDescent="0.35">
      <c r="A249" t="s">
        <v>2068</v>
      </c>
      <c r="B249">
        <v>-4142</v>
      </c>
      <c r="C249">
        <v>16777215</v>
      </c>
      <c r="D249">
        <v>0</v>
      </c>
    </row>
    <row r="250" spans="1:4" x14ac:dyDescent="0.35">
      <c r="A250" t="s">
        <v>2069</v>
      </c>
      <c r="B250">
        <v>-4142</v>
      </c>
      <c r="C250">
        <v>16777215</v>
      </c>
      <c r="D250">
        <v>0</v>
      </c>
    </row>
    <row r="251" spans="1:4" x14ac:dyDescent="0.35">
      <c r="A251" t="s">
        <v>2070</v>
      </c>
      <c r="B251">
        <v>-4142</v>
      </c>
      <c r="C251">
        <v>16777215</v>
      </c>
      <c r="D251">
        <v>0</v>
      </c>
    </row>
    <row r="252" spans="1:4" x14ac:dyDescent="0.35">
      <c r="A252" t="s">
        <v>2071</v>
      </c>
      <c r="B252">
        <v>-4142</v>
      </c>
      <c r="C252">
        <v>16777215</v>
      </c>
      <c r="D252">
        <v>0</v>
      </c>
    </row>
    <row r="253" spans="1:4" x14ac:dyDescent="0.35">
      <c r="A253" t="s">
        <v>2072</v>
      </c>
      <c r="B253">
        <v>-4142</v>
      </c>
      <c r="C253">
        <v>16777215</v>
      </c>
      <c r="D253">
        <v>0</v>
      </c>
    </row>
    <row r="254" spans="1:4" x14ac:dyDescent="0.35">
      <c r="A254" t="s">
        <v>2557</v>
      </c>
      <c r="B254">
        <v>-4142</v>
      </c>
      <c r="C254">
        <v>16777215</v>
      </c>
      <c r="D254">
        <v>0</v>
      </c>
    </row>
    <row r="255" spans="1:4" x14ac:dyDescent="0.35">
      <c r="A255" t="s">
        <v>2558</v>
      </c>
      <c r="B255">
        <v>-4142</v>
      </c>
      <c r="C255">
        <v>16777215</v>
      </c>
      <c r="D255">
        <v>0</v>
      </c>
    </row>
    <row r="256" spans="1:4" x14ac:dyDescent="0.35">
      <c r="A256" t="s">
        <v>2559</v>
      </c>
      <c r="B256">
        <v>-4142</v>
      </c>
      <c r="C256">
        <v>16777215</v>
      </c>
      <c r="D256">
        <v>0</v>
      </c>
    </row>
    <row r="257" spans="1:4" x14ac:dyDescent="0.35">
      <c r="A257" t="s">
        <v>2560</v>
      </c>
      <c r="B257">
        <v>-4142</v>
      </c>
      <c r="C257">
        <v>16777215</v>
      </c>
      <c r="D257">
        <v>0</v>
      </c>
    </row>
    <row r="258" spans="1:4" x14ac:dyDescent="0.35">
      <c r="A258" t="s">
        <v>2561</v>
      </c>
      <c r="B258">
        <v>-4142</v>
      </c>
      <c r="C258">
        <v>16777215</v>
      </c>
      <c r="D258">
        <v>0</v>
      </c>
    </row>
    <row r="259" spans="1:4" x14ac:dyDescent="0.35">
      <c r="A259" t="s">
        <v>2562</v>
      </c>
      <c r="B259">
        <v>-4142</v>
      </c>
      <c r="C259">
        <v>16777215</v>
      </c>
      <c r="D259">
        <v>0</v>
      </c>
    </row>
    <row r="260" spans="1:4" x14ac:dyDescent="0.35">
      <c r="A260" t="s">
        <v>2563</v>
      </c>
      <c r="B260">
        <v>-4142</v>
      </c>
      <c r="C260">
        <v>16777215</v>
      </c>
      <c r="D260">
        <v>0</v>
      </c>
    </row>
    <row r="261" spans="1:4" x14ac:dyDescent="0.35">
      <c r="A261" t="s">
        <v>2564</v>
      </c>
      <c r="B261">
        <v>-4142</v>
      </c>
      <c r="C261">
        <v>16777215</v>
      </c>
      <c r="D261">
        <v>0</v>
      </c>
    </row>
    <row r="262" spans="1:4" x14ac:dyDescent="0.35">
      <c r="A262" t="s">
        <v>2073</v>
      </c>
      <c r="B262">
        <v>-4142</v>
      </c>
      <c r="C262">
        <v>16777215</v>
      </c>
      <c r="D262">
        <v>0</v>
      </c>
    </row>
    <row r="263" spans="1:4" x14ac:dyDescent="0.35">
      <c r="A263" t="s">
        <v>2074</v>
      </c>
      <c r="B263">
        <v>-4142</v>
      </c>
      <c r="C263">
        <v>16777215</v>
      </c>
      <c r="D263">
        <v>10053222</v>
      </c>
    </row>
    <row r="264" spans="1:4" x14ac:dyDescent="0.35">
      <c r="A264" t="s">
        <v>2075</v>
      </c>
      <c r="B264">
        <v>-4142</v>
      </c>
      <c r="C264">
        <v>16777215</v>
      </c>
      <c r="D264">
        <v>10053222</v>
      </c>
    </row>
    <row r="265" spans="1:4" x14ac:dyDescent="0.35">
      <c r="A265" t="s">
        <v>2076</v>
      </c>
      <c r="B265">
        <v>-4142</v>
      </c>
      <c r="C265">
        <v>16777215</v>
      </c>
      <c r="D265">
        <v>10053222</v>
      </c>
    </row>
    <row r="266" spans="1:4" x14ac:dyDescent="0.35">
      <c r="A266" t="s">
        <v>2077</v>
      </c>
      <c r="B266">
        <v>-4142</v>
      </c>
      <c r="C266">
        <v>16777215</v>
      </c>
      <c r="D266">
        <v>10053222</v>
      </c>
    </row>
    <row r="267" spans="1:4" x14ac:dyDescent="0.35">
      <c r="A267" t="s">
        <v>2078</v>
      </c>
      <c r="B267">
        <v>-4142</v>
      </c>
      <c r="C267">
        <v>16777215</v>
      </c>
      <c r="D267">
        <v>0</v>
      </c>
    </row>
    <row r="268" spans="1:4" x14ac:dyDescent="0.35">
      <c r="A268" t="s">
        <v>2079</v>
      </c>
      <c r="B268">
        <v>-4142</v>
      </c>
      <c r="C268">
        <v>16777215</v>
      </c>
      <c r="D268">
        <v>6299648</v>
      </c>
    </row>
    <row r="269" spans="1:4" x14ac:dyDescent="0.35">
      <c r="A269" t="s">
        <v>2080</v>
      </c>
      <c r="B269">
        <v>-4142</v>
      </c>
      <c r="C269">
        <v>16777215</v>
      </c>
      <c r="D269">
        <v>6299648</v>
      </c>
    </row>
    <row r="270" spans="1:4" x14ac:dyDescent="0.35">
      <c r="A270" t="s">
        <v>2081</v>
      </c>
      <c r="B270">
        <v>-4142</v>
      </c>
      <c r="C270">
        <v>16777215</v>
      </c>
      <c r="D270">
        <v>6299648</v>
      </c>
    </row>
    <row r="271" spans="1:4" x14ac:dyDescent="0.35">
      <c r="A271" t="s">
        <v>2082</v>
      </c>
      <c r="B271">
        <v>-4142</v>
      </c>
      <c r="C271">
        <v>16777215</v>
      </c>
      <c r="D271">
        <v>0</v>
      </c>
    </row>
    <row r="272" spans="1:4" x14ac:dyDescent="0.35">
      <c r="A272" t="s">
        <v>2083</v>
      </c>
      <c r="B272">
        <v>-4142</v>
      </c>
      <c r="C272">
        <v>16777215</v>
      </c>
      <c r="D272">
        <v>0</v>
      </c>
    </row>
    <row r="273" spans="1:4" x14ac:dyDescent="0.35">
      <c r="A273" t="s">
        <v>2084</v>
      </c>
      <c r="B273">
        <v>-4142</v>
      </c>
      <c r="C273">
        <v>16777215</v>
      </c>
      <c r="D273">
        <v>0</v>
      </c>
    </row>
    <row r="274" spans="1:4" x14ac:dyDescent="0.35">
      <c r="A274" t="s">
        <v>2085</v>
      </c>
      <c r="B274">
        <v>-4142</v>
      </c>
      <c r="C274">
        <v>16777215</v>
      </c>
      <c r="D274">
        <v>0</v>
      </c>
    </row>
    <row r="275" spans="1:4" x14ac:dyDescent="0.35">
      <c r="A275" t="s">
        <v>2086</v>
      </c>
      <c r="B275">
        <v>-4142</v>
      </c>
      <c r="C275">
        <v>16777215</v>
      </c>
      <c r="D275">
        <v>0</v>
      </c>
    </row>
    <row r="276" spans="1:4" x14ac:dyDescent="0.35">
      <c r="A276" t="s">
        <v>2087</v>
      </c>
      <c r="B276">
        <v>-4142</v>
      </c>
      <c r="C276">
        <v>16777215</v>
      </c>
      <c r="D276">
        <v>0</v>
      </c>
    </row>
    <row r="277" spans="1:4" x14ac:dyDescent="0.35">
      <c r="A277" t="s">
        <v>2088</v>
      </c>
      <c r="B277">
        <v>-4142</v>
      </c>
      <c r="C277">
        <v>16777215</v>
      </c>
      <c r="D277">
        <v>0</v>
      </c>
    </row>
    <row r="278" spans="1:4" x14ac:dyDescent="0.35">
      <c r="A278" t="s">
        <v>2089</v>
      </c>
      <c r="B278">
        <v>-4142</v>
      </c>
      <c r="C278">
        <v>16777215</v>
      </c>
      <c r="D278">
        <v>0</v>
      </c>
    </row>
    <row r="279" spans="1:4" x14ac:dyDescent="0.35">
      <c r="A279" t="s">
        <v>2090</v>
      </c>
      <c r="B279">
        <v>-4142</v>
      </c>
      <c r="C279">
        <v>16777215</v>
      </c>
      <c r="D279">
        <v>0</v>
      </c>
    </row>
    <row r="280" spans="1:4" x14ac:dyDescent="0.35">
      <c r="A280" t="s">
        <v>2091</v>
      </c>
      <c r="B280">
        <v>-4142</v>
      </c>
      <c r="C280">
        <v>16777215</v>
      </c>
      <c r="D280">
        <v>0</v>
      </c>
    </row>
    <row r="281" spans="1:4" x14ac:dyDescent="0.35">
      <c r="A281" t="s">
        <v>2092</v>
      </c>
      <c r="B281">
        <v>-4142</v>
      </c>
      <c r="C281">
        <v>16777215</v>
      </c>
      <c r="D281">
        <v>0</v>
      </c>
    </row>
    <row r="282" spans="1:4" x14ac:dyDescent="0.35">
      <c r="A282" t="s">
        <v>2093</v>
      </c>
      <c r="B282">
        <v>-4142</v>
      </c>
      <c r="C282">
        <v>16777215</v>
      </c>
      <c r="D282">
        <v>0</v>
      </c>
    </row>
    <row r="283" spans="1:4" x14ac:dyDescent="0.35">
      <c r="A283" t="s">
        <v>2565</v>
      </c>
      <c r="B283">
        <v>-4142</v>
      </c>
      <c r="C283">
        <v>16777215</v>
      </c>
      <c r="D283">
        <v>0</v>
      </c>
    </row>
    <row r="284" spans="1:4" x14ac:dyDescent="0.35">
      <c r="A284" t="s">
        <v>2566</v>
      </c>
      <c r="B284">
        <v>-4142</v>
      </c>
      <c r="C284">
        <v>16777215</v>
      </c>
      <c r="D284">
        <v>0</v>
      </c>
    </row>
    <row r="285" spans="1:4" x14ac:dyDescent="0.35">
      <c r="A285" t="s">
        <v>2567</v>
      </c>
      <c r="B285">
        <v>-4142</v>
      </c>
      <c r="C285">
        <v>16777215</v>
      </c>
      <c r="D285">
        <v>0</v>
      </c>
    </row>
    <row r="286" spans="1:4" x14ac:dyDescent="0.35">
      <c r="A286" t="s">
        <v>2568</v>
      </c>
      <c r="B286">
        <v>-4142</v>
      </c>
      <c r="C286">
        <v>16777215</v>
      </c>
      <c r="D286">
        <v>0</v>
      </c>
    </row>
    <row r="287" spans="1:4" x14ac:dyDescent="0.35">
      <c r="A287" t="s">
        <v>2569</v>
      </c>
      <c r="B287">
        <v>-4142</v>
      </c>
      <c r="C287">
        <v>16777215</v>
      </c>
      <c r="D287">
        <v>0</v>
      </c>
    </row>
    <row r="288" spans="1:4" x14ac:dyDescent="0.35">
      <c r="A288" t="s">
        <v>2570</v>
      </c>
      <c r="B288">
        <v>-4142</v>
      </c>
      <c r="C288">
        <v>16777215</v>
      </c>
      <c r="D288">
        <v>0</v>
      </c>
    </row>
    <row r="289" spans="1:4" x14ac:dyDescent="0.35">
      <c r="A289" t="s">
        <v>2571</v>
      </c>
      <c r="B289">
        <v>-4142</v>
      </c>
      <c r="C289">
        <v>16777215</v>
      </c>
      <c r="D289">
        <v>0</v>
      </c>
    </row>
    <row r="290" spans="1:4" x14ac:dyDescent="0.35">
      <c r="A290" t="s">
        <v>2572</v>
      </c>
      <c r="B290">
        <v>-4142</v>
      </c>
      <c r="C290">
        <v>16777215</v>
      </c>
      <c r="D290">
        <v>0</v>
      </c>
    </row>
    <row r="291" spans="1:4" x14ac:dyDescent="0.35">
      <c r="A291" t="s">
        <v>2094</v>
      </c>
      <c r="B291">
        <v>-4142</v>
      </c>
      <c r="C291">
        <v>16777215</v>
      </c>
      <c r="D291">
        <v>0</v>
      </c>
    </row>
    <row r="292" spans="1:4" x14ac:dyDescent="0.35">
      <c r="A292" t="s">
        <v>2095</v>
      </c>
      <c r="B292">
        <v>-4142</v>
      </c>
      <c r="C292">
        <v>16777215</v>
      </c>
      <c r="D292">
        <v>10053222</v>
      </c>
    </row>
    <row r="293" spans="1:4" x14ac:dyDescent="0.35">
      <c r="A293" t="s">
        <v>2096</v>
      </c>
      <c r="B293">
        <v>-4142</v>
      </c>
      <c r="C293">
        <v>16777215</v>
      </c>
      <c r="D293">
        <v>10053222</v>
      </c>
    </row>
    <row r="294" spans="1:4" x14ac:dyDescent="0.35">
      <c r="A294" t="s">
        <v>2097</v>
      </c>
      <c r="B294">
        <v>-4142</v>
      </c>
      <c r="C294">
        <v>16777215</v>
      </c>
      <c r="D294">
        <v>10053222</v>
      </c>
    </row>
    <row r="295" spans="1:4" x14ac:dyDescent="0.35">
      <c r="A295" t="s">
        <v>2098</v>
      </c>
      <c r="B295">
        <v>-4142</v>
      </c>
      <c r="C295">
        <v>16777215</v>
      </c>
      <c r="D295">
        <v>10053222</v>
      </c>
    </row>
    <row r="296" spans="1:4" x14ac:dyDescent="0.35">
      <c r="A296" t="s">
        <v>2099</v>
      </c>
      <c r="B296">
        <v>-4142</v>
      </c>
      <c r="C296">
        <v>16777215</v>
      </c>
      <c r="D296">
        <v>0</v>
      </c>
    </row>
    <row r="297" spans="1:4" x14ac:dyDescent="0.35">
      <c r="A297" t="s">
        <v>2100</v>
      </c>
      <c r="B297">
        <v>-4142</v>
      </c>
      <c r="C297">
        <v>16777215</v>
      </c>
      <c r="D297">
        <v>0</v>
      </c>
    </row>
    <row r="298" spans="1:4" x14ac:dyDescent="0.35">
      <c r="A298" t="s">
        <v>2101</v>
      </c>
      <c r="B298">
        <v>-4142</v>
      </c>
      <c r="C298">
        <v>16777215</v>
      </c>
      <c r="D298">
        <v>0</v>
      </c>
    </row>
    <row r="299" spans="1:4" x14ac:dyDescent="0.35">
      <c r="A299" t="s">
        <v>2102</v>
      </c>
      <c r="B299">
        <v>-4142</v>
      </c>
      <c r="C299">
        <v>16777215</v>
      </c>
      <c r="D299">
        <v>0</v>
      </c>
    </row>
    <row r="300" spans="1:4" x14ac:dyDescent="0.35">
      <c r="A300" t="s">
        <v>2103</v>
      </c>
      <c r="B300">
        <v>-4142</v>
      </c>
      <c r="C300">
        <v>16777215</v>
      </c>
      <c r="D300">
        <v>0</v>
      </c>
    </row>
    <row r="301" spans="1:4" x14ac:dyDescent="0.35">
      <c r="A301" t="s">
        <v>2104</v>
      </c>
      <c r="B301">
        <v>-4142</v>
      </c>
      <c r="C301">
        <v>16777215</v>
      </c>
      <c r="D301">
        <v>0</v>
      </c>
    </row>
    <row r="302" spans="1:4" x14ac:dyDescent="0.35">
      <c r="A302" t="s">
        <v>2105</v>
      </c>
      <c r="B302">
        <v>-4142</v>
      </c>
      <c r="C302">
        <v>16777215</v>
      </c>
      <c r="D302">
        <v>0</v>
      </c>
    </row>
    <row r="303" spans="1:4" x14ac:dyDescent="0.35">
      <c r="A303" t="s">
        <v>2106</v>
      </c>
      <c r="B303">
        <v>-4142</v>
      </c>
      <c r="C303">
        <v>16777215</v>
      </c>
      <c r="D303">
        <v>0</v>
      </c>
    </row>
    <row r="304" spans="1:4" x14ac:dyDescent="0.35">
      <c r="A304" t="s">
        <v>2107</v>
      </c>
      <c r="B304">
        <v>-4142</v>
      </c>
      <c r="C304">
        <v>16777215</v>
      </c>
      <c r="D304">
        <v>0</v>
      </c>
    </row>
    <row r="305" spans="1:4" x14ac:dyDescent="0.35">
      <c r="A305" t="s">
        <v>2108</v>
      </c>
      <c r="B305">
        <v>-4142</v>
      </c>
      <c r="C305">
        <v>16777215</v>
      </c>
      <c r="D305">
        <v>0</v>
      </c>
    </row>
    <row r="306" spans="1:4" x14ac:dyDescent="0.35">
      <c r="A306" t="s">
        <v>2109</v>
      </c>
      <c r="B306">
        <v>-4142</v>
      </c>
      <c r="C306">
        <v>16777215</v>
      </c>
      <c r="D306">
        <v>0</v>
      </c>
    </row>
    <row r="307" spans="1:4" x14ac:dyDescent="0.35">
      <c r="A307" t="s">
        <v>2110</v>
      </c>
      <c r="B307">
        <v>-4142</v>
      </c>
      <c r="C307">
        <v>16777215</v>
      </c>
      <c r="D307">
        <v>0</v>
      </c>
    </row>
    <row r="308" spans="1:4" x14ac:dyDescent="0.35">
      <c r="A308" t="s">
        <v>2111</v>
      </c>
      <c r="B308">
        <v>-4142</v>
      </c>
      <c r="C308">
        <v>16777215</v>
      </c>
      <c r="D308">
        <v>0</v>
      </c>
    </row>
    <row r="309" spans="1:4" x14ac:dyDescent="0.35">
      <c r="A309" t="s">
        <v>2112</v>
      </c>
      <c r="B309">
        <v>-4142</v>
      </c>
      <c r="C309">
        <v>16777215</v>
      </c>
      <c r="D309">
        <v>0</v>
      </c>
    </row>
    <row r="310" spans="1:4" x14ac:dyDescent="0.35">
      <c r="A310" t="s">
        <v>2113</v>
      </c>
      <c r="B310">
        <v>-4142</v>
      </c>
      <c r="C310">
        <v>16777215</v>
      </c>
      <c r="D310">
        <v>0</v>
      </c>
    </row>
    <row r="311" spans="1:4" x14ac:dyDescent="0.35">
      <c r="A311" t="s">
        <v>2114</v>
      </c>
      <c r="B311">
        <v>-4142</v>
      </c>
      <c r="C311">
        <v>16777215</v>
      </c>
      <c r="D311">
        <v>0</v>
      </c>
    </row>
    <row r="312" spans="1:4" x14ac:dyDescent="0.35">
      <c r="A312" t="s">
        <v>2573</v>
      </c>
      <c r="B312">
        <v>-4142</v>
      </c>
      <c r="C312">
        <v>16777215</v>
      </c>
      <c r="D312">
        <v>0</v>
      </c>
    </row>
    <row r="313" spans="1:4" x14ac:dyDescent="0.35">
      <c r="A313" t="s">
        <v>2574</v>
      </c>
      <c r="B313">
        <v>-4142</v>
      </c>
      <c r="C313">
        <v>16777215</v>
      </c>
      <c r="D313">
        <v>0</v>
      </c>
    </row>
    <row r="314" spans="1:4" x14ac:dyDescent="0.35">
      <c r="A314" t="s">
        <v>2575</v>
      </c>
      <c r="B314">
        <v>-4142</v>
      </c>
      <c r="C314">
        <v>16777215</v>
      </c>
      <c r="D314">
        <v>0</v>
      </c>
    </row>
    <row r="315" spans="1:4" x14ac:dyDescent="0.35">
      <c r="A315" t="s">
        <v>2576</v>
      </c>
      <c r="B315">
        <v>-4142</v>
      </c>
      <c r="C315">
        <v>16777215</v>
      </c>
      <c r="D315">
        <v>0</v>
      </c>
    </row>
    <row r="316" spans="1:4" x14ac:dyDescent="0.35">
      <c r="A316" t="s">
        <v>2577</v>
      </c>
      <c r="B316">
        <v>-4142</v>
      </c>
      <c r="C316">
        <v>16777215</v>
      </c>
      <c r="D316">
        <v>0</v>
      </c>
    </row>
    <row r="317" spans="1:4" x14ac:dyDescent="0.35">
      <c r="A317" t="s">
        <v>2578</v>
      </c>
      <c r="B317">
        <v>-4142</v>
      </c>
      <c r="C317">
        <v>16777215</v>
      </c>
      <c r="D317">
        <v>0</v>
      </c>
    </row>
    <row r="318" spans="1:4" x14ac:dyDescent="0.35">
      <c r="A318" t="s">
        <v>2579</v>
      </c>
      <c r="B318">
        <v>-4142</v>
      </c>
      <c r="C318">
        <v>16777215</v>
      </c>
      <c r="D318">
        <v>0</v>
      </c>
    </row>
    <row r="319" spans="1:4" x14ac:dyDescent="0.35">
      <c r="A319" t="s">
        <v>2580</v>
      </c>
      <c r="B319">
        <v>-4142</v>
      </c>
      <c r="C319">
        <v>16777215</v>
      </c>
      <c r="D319">
        <v>0</v>
      </c>
    </row>
    <row r="320" spans="1:4" x14ac:dyDescent="0.35">
      <c r="A320" t="s">
        <v>2115</v>
      </c>
      <c r="B320">
        <v>-4142</v>
      </c>
      <c r="C320">
        <v>16777215</v>
      </c>
      <c r="D320">
        <v>0</v>
      </c>
    </row>
    <row r="321" spans="1:4" x14ac:dyDescent="0.35">
      <c r="A321" t="s">
        <v>2116</v>
      </c>
      <c r="B321">
        <v>-4142</v>
      </c>
      <c r="C321">
        <v>16777215</v>
      </c>
      <c r="D321">
        <v>10053222</v>
      </c>
    </row>
    <row r="322" spans="1:4" x14ac:dyDescent="0.35">
      <c r="A322" t="s">
        <v>2117</v>
      </c>
      <c r="B322">
        <v>-4142</v>
      </c>
      <c r="C322">
        <v>16777215</v>
      </c>
      <c r="D322">
        <v>10053222</v>
      </c>
    </row>
    <row r="323" spans="1:4" x14ac:dyDescent="0.35">
      <c r="A323" t="s">
        <v>2118</v>
      </c>
      <c r="B323">
        <v>-4142</v>
      </c>
      <c r="C323">
        <v>16777215</v>
      </c>
      <c r="D323">
        <v>10053222</v>
      </c>
    </row>
    <row r="324" spans="1:4" x14ac:dyDescent="0.35">
      <c r="A324" t="s">
        <v>2119</v>
      </c>
      <c r="B324">
        <v>-4142</v>
      </c>
      <c r="C324">
        <v>16777215</v>
      </c>
      <c r="D324">
        <v>10053222</v>
      </c>
    </row>
    <row r="325" spans="1:4" x14ac:dyDescent="0.35">
      <c r="A325" t="s">
        <v>2120</v>
      </c>
      <c r="B325">
        <v>-4142</v>
      </c>
      <c r="C325">
        <v>16777215</v>
      </c>
      <c r="D325">
        <v>0</v>
      </c>
    </row>
    <row r="326" spans="1:4" x14ac:dyDescent="0.35">
      <c r="A326" t="s">
        <v>2121</v>
      </c>
      <c r="B326">
        <v>-4142</v>
      </c>
      <c r="C326">
        <v>16777215</v>
      </c>
      <c r="D326">
        <v>16777215</v>
      </c>
    </row>
    <row r="327" spans="1:4" x14ac:dyDescent="0.35">
      <c r="A327" t="s">
        <v>2122</v>
      </c>
      <c r="B327">
        <v>-4142</v>
      </c>
      <c r="C327">
        <v>16777215</v>
      </c>
      <c r="D327">
        <v>16777215</v>
      </c>
    </row>
    <row r="328" spans="1:4" x14ac:dyDescent="0.35">
      <c r="A328" t="s">
        <v>2123</v>
      </c>
      <c r="B328">
        <v>-4142</v>
      </c>
      <c r="C328">
        <v>16777215</v>
      </c>
      <c r="D328">
        <v>16777215</v>
      </c>
    </row>
    <row r="329" spans="1:4" x14ac:dyDescent="0.35">
      <c r="A329" t="s">
        <v>2124</v>
      </c>
      <c r="B329">
        <v>-4142</v>
      </c>
      <c r="C329">
        <v>16777215</v>
      </c>
      <c r="D329">
        <v>16777215</v>
      </c>
    </row>
    <row r="330" spans="1:4" x14ac:dyDescent="0.35">
      <c r="A330" t="s">
        <v>2125</v>
      </c>
      <c r="B330">
        <v>-4142</v>
      </c>
      <c r="C330">
        <v>16777215</v>
      </c>
      <c r="D330">
        <v>16777215</v>
      </c>
    </row>
    <row r="331" spans="1:4" x14ac:dyDescent="0.35">
      <c r="A331" t="s">
        <v>2126</v>
      </c>
      <c r="B331">
        <v>-4142</v>
      </c>
      <c r="C331">
        <v>16777215</v>
      </c>
      <c r="D331">
        <v>16777215</v>
      </c>
    </row>
    <row r="332" spans="1:4" x14ac:dyDescent="0.35">
      <c r="A332" t="s">
        <v>2127</v>
      </c>
      <c r="B332">
        <v>-4142</v>
      </c>
      <c r="C332">
        <v>16777215</v>
      </c>
      <c r="D332">
        <v>16777215</v>
      </c>
    </row>
    <row r="333" spans="1:4" x14ac:dyDescent="0.35">
      <c r="A333" t="s">
        <v>2128</v>
      </c>
      <c r="B333">
        <v>-4142</v>
      </c>
      <c r="C333">
        <v>16777215</v>
      </c>
      <c r="D333">
        <v>16777215</v>
      </c>
    </row>
    <row r="334" spans="1:4" x14ac:dyDescent="0.35">
      <c r="A334" t="s">
        <v>2129</v>
      </c>
      <c r="B334">
        <v>-4142</v>
      </c>
      <c r="C334">
        <v>16777215</v>
      </c>
      <c r="D334">
        <v>16777215</v>
      </c>
    </row>
    <row r="335" spans="1:4" x14ac:dyDescent="0.35">
      <c r="A335" t="s">
        <v>2130</v>
      </c>
      <c r="B335">
        <v>-4142</v>
      </c>
      <c r="C335">
        <v>16777215</v>
      </c>
      <c r="D335">
        <v>16777215</v>
      </c>
    </row>
    <row r="336" spans="1:4" x14ac:dyDescent="0.35">
      <c r="A336" t="s">
        <v>2131</v>
      </c>
      <c r="B336">
        <v>-4142</v>
      </c>
      <c r="C336">
        <v>16777215</v>
      </c>
      <c r="D336">
        <v>16777215</v>
      </c>
    </row>
    <row r="337" spans="1:4" x14ac:dyDescent="0.35">
      <c r="A337" t="s">
        <v>2132</v>
      </c>
      <c r="B337">
        <v>-4142</v>
      </c>
      <c r="C337">
        <v>16777215</v>
      </c>
      <c r="D337">
        <v>16777215</v>
      </c>
    </row>
    <row r="338" spans="1:4" x14ac:dyDescent="0.35">
      <c r="A338" t="s">
        <v>2133</v>
      </c>
      <c r="B338">
        <v>-4142</v>
      </c>
      <c r="C338">
        <v>16777215</v>
      </c>
      <c r="D338">
        <v>16777215</v>
      </c>
    </row>
    <row r="339" spans="1:4" x14ac:dyDescent="0.35">
      <c r="A339" t="s">
        <v>2134</v>
      </c>
      <c r="B339">
        <v>-4142</v>
      </c>
      <c r="C339">
        <v>16777215</v>
      </c>
      <c r="D339">
        <v>16777215</v>
      </c>
    </row>
    <row r="340" spans="1:4" x14ac:dyDescent="0.35">
      <c r="A340" t="s">
        <v>2135</v>
      </c>
      <c r="B340">
        <v>-4142</v>
      </c>
      <c r="C340">
        <v>16777215</v>
      </c>
      <c r="D340">
        <v>0</v>
      </c>
    </row>
    <row r="341" spans="1:4" x14ac:dyDescent="0.35">
      <c r="A341" t="s">
        <v>2581</v>
      </c>
      <c r="B341">
        <v>-4142</v>
      </c>
      <c r="C341">
        <v>16777215</v>
      </c>
      <c r="D341">
        <v>0</v>
      </c>
    </row>
    <row r="342" spans="1:4" x14ac:dyDescent="0.35">
      <c r="A342" t="s">
        <v>2582</v>
      </c>
      <c r="B342">
        <v>-4142</v>
      </c>
      <c r="C342">
        <v>16777215</v>
      </c>
      <c r="D342">
        <v>0</v>
      </c>
    </row>
    <row r="343" spans="1:4" x14ac:dyDescent="0.35">
      <c r="A343" t="s">
        <v>2583</v>
      </c>
      <c r="B343">
        <v>-4142</v>
      </c>
      <c r="C343">
        <v>16777215</v>
      </c>
      <c r="D343">
        <v>0</v>
      </c>
    </row>
    <row r="344" spans="1:4" x14ac:dyDescent="0.35">
      <c r="A344" t="s">
        <v>2584</v>
      </c>
      <c r="B344">
        <v>-4142</v>
      </c>
      <c r="C344">
        <v>16777215</v>
      </c>
      <c r="D344">
        <v>0</v>
      </c>
    </row>
    <row r="345" spans="1:4" x14ac:dyDescent="0.35">
      <c r="A345" t="s">
        <v>2585</v>
      </c>
      <c r="B345">
        <v>-4142</v>
      </c>
      <c r="C345">
        <v>16777215</v>
      </c>
      <c r="D345">
        <v>0</v>
      </c>
    </row>
    <row r="346" spans="1:4" x14ac:dyDescent="0.35">
      <c r="A346" t="s">
        <v>2586</v>
      </c>
      <c r="B346">
        <v>-4142</v>
      </c>
      <c r="C346">
        <v>16777215</v>
      </c>
      <c r="D346">
        <v>0</v>
      </c>
    </row>
    <row r="347" spans="1:4" x14ac:dyDescent="0.35">
      <c r="A347" t="s">
        <v>2587</v>
      </c>
      <c r="B347">
        <v>-4142</v>
      </c>
      <c r="C347">
        <v>16777215</v>
      </c>
      <c r="D347">
        <v>0</v>
      </c>
    </row>
    <row r="348" spans="1:4" x14ac:dyDescent="0.35">
      <c r="A348" t="s">
        <v>2588</v>
      </c>
      <c r="B348">
        <v>-4142</v>
      </c>
      <c r="C348">
        <v>16777215</v>
      </c>
      <c r="D348">
        <v>0</v>
      </c>
    </row>
    <row r="349" spans="1:4" x14ac:dyDescent="0.35">
      <c r="A349" t="s">
        <v>2136</v>
      </c>
      <c r="B349">
        <v>-4142</v>
      </c>
      <c r="C349">
        <v>16777215</v>
      </c>
      <c r="D349">
        <v>0</v>
      </c>
    </row>
    <row r="350" spans="1:4" x14ac:dyDescent="0.35">
      <c r="A350" t="s">
        <v>2137</v>
      </c>
      <c r="B350">
        <v>-4142</v>
      </c>
      <c r="C350">
        <v>16777215</v>
      </c>
      <c r="D350">
        <v>10053222</v>
      </c>
    </row>
    <row r="351" spans="1:4" x14ac:dyDescent="0.35">
      <c r="A351" t="s">
        <v>2138</v>
      </c>
      <c r="B351">
        <v>-4142</v>
      </c>
      <c r="C351">
        <v>16777215</v>
      </c>
      <c r="D351">
        <v>10053222</v>
      </c>
    </row>
    <row r="352" spans="1:4" x14ac:dyDescent="0.35">
      <c r="A352" t="s">
        <v>2139</v>
      </c>
      <c r="B352">
        <v>-4142</v>
      </c>
      <c r="C352">
        <v>16777215</v>
      </c>
      <c r="D352">
        <v>10053222</v>
      </c>
    </row>
    <row r="353" spans="1:4" x14ac:dyDescent="0.35">
      <c r="A353" t="s">
        <v>2140</v>
      </c>
      <c r="B353">
        <v>-4142</v>
      </c>
      <c r="C353">
        <v>16777215</v>
      </c>
      <c r="D353">
        <v>10053222</v>
      </c>
    </row>
    <row r="354" spans="1:4" x14ac:dyDescent="0.35">
      <c r="A354" t="s">
        <v>2141</v>
      </c>
      <c r="B354">
        <v>-4142</v>
      </c>
      <c r="C354">
        <v>16777215</v>
      </c>
      <c r="D354">
        <v>0</v>
      </c>
    </row>
    <row r="355" spans="1:4" x14ac:dyDescent="0.35">
      <c r="A355" t="s">
        <v>2142</v>
      </c>
      <c r="B355">
        <v>-4142</v>
      </c>
      <c r="C355">
        <v>16777215</v>
      </c>
      <c r="D355">
        <v>6299648</v>
      </c>
    </row>
    <row r="356" spans="1:4" x14ac:dyDescent="0.35">
      <c r="A356" t="s">
        <v>2143</v>
      </c>
      <c r="B356">
        <v>-4142</v>
      </c>
      <c r="C356">
        <v>16777215</v>
      </c>
      <c r="D356">
        <v>6299648</v>
      </c>
    </row>
    <row r="357" spans="1:4" x14ac:dyDescent="0.35">
      <c r="A357" t="s">
        <v>2144</v>
      </c>
      <c r="B357">
        <v>-4142</v>
      </c>
      <c r="C357">
        <v>16777215</v>
      </c>
      <c r="D357">
        <v>6299648</v>
      </c>
    </row>
    <row r="358" spans="1:4" x14ac:dyDescent="0.35">
      <c r="A358" t="s">
        <v>2145</v>
      </c>
      <c r="B358">
        <v>-4142</v>
      </c>
      <c r="C358">
        <v>16777215</v>
      </c>
      <c r="D358">
        <v>0</v>
      </c>
    </row>
    <row r="359" spans="1:4" x14ac:dyDescent="0.35">
      <c r="A359" t="s">
        <v>2146</v>
      </c>
      <c r="B359">
        <v>-4142</v>
      </c>
      <c r="C359">
        <v>16777215</v>
      </c>
      <c r="D359">
        <v>0</v>
      </c>
    </row>
    <row r="360" spans="1:4" x14ac:dyDescent="0.35">
      <c r="A360" t="s">
        <v>2147</v>
      </c>
      <c r="B360">
        <v>-4142</v>
      </c>
      <c r="C360">
        <v>16777215</v>
      </c>
      <c r="D360">
        <v>0</v>
      </c>
    </row>
    <row r="361" spans="1:4" x14ac:dyDescent="0.35">
      <c r="A361" t="s">
        <v>2148</v>
      </c>
      <c r="B361">
        <v>-4142</v>
      </c>
      <c r="C361">
        <v>16777215</v>
      </c>
      <c r="D361">
        <v>0</v>
      </c>
    </row>
    <row r="362" spans="1:4" x14ac:dyDescent="0.35">
      <c r="A362" t="s">
        <v>2149</v>
      </c>
      <c r="B362">
        <v>-4142</v>
      </c>
      <c r="C362">
        <v>16777215</v>
      </c>
      <c r="D362">
        <v>0</v>
      </c>
    </row>
    <row r="363" spans="1:4" x14ac:dyDescent="0.35">
      <c r="A363" t="s">
        <v>2150</v>
      </c>
      <c r="B363">
        <v>-4142</v>
      </c>
      <c r="C363">
        <v>16777215</v>
      </c>
      <c r="D363">
        <v>0</v>
      </c>
    </row>
    <row r="364" spans="1:4" x14ac:dyDescent="0.35">
      <c r="A364" t="s">
        <v>2151</v>
      </c>
      <c r="B364">
        <v>-4142</v>
      </c>
      <c r="C364">
        <v>16777215</v>
      </c>
      <c r="D364">
        <v>0</v>
      </c>
    </row>
    <row r="365" spans="1:4" x14ac:dyDescent="0.35">
      <c r="A365" t="s">
        <v>2152</v>
      </c>
      <c r="B365">
        <v>-4142</v>
      </c>
      <c r="C365">
        <v>16777215</v>
      </c>
      <c r="D365">
        <v>0</v>
      </c>
    </row>
    <row r="366" spans="1:4" x14ac:dyDescent="0.35">
      <c r="A366" t="s">
        <v>2153</v>
      </c>
      <c r="B366">
        <v>-4142</v>
      </c>
      <c r="C366">
        <v>16777215</v>
      </c>
      <c r="D366">
        <v>0</v>
      </c>
    </row>
    <row r="367" spans="1:4" x14ac:dyDescent="0.35">
      <c r="A367" t="s">
        <v>2154</v>
      </c>
      <c r="B367">
        <v>-4142</v>
      </c>
      <c r="C367">
        <v>16777215</v>
      </c>
      <c r="D367">
        <v>0</v>
      </c>
    </row>
    <row r="368" spans="1:4" x14ac:dyDescent="0.35">
      <c r="A368" t="s">
        <v>2155</v>
      </c>
      <c r="B368">
        <v>-4142</v>
      </c>
      <c r="C368">
        <v>16777215</v>
      </c>
      <c r="D368">
        <v>0</v>
      </c>
    </row>
    <row r="369" spans="1:4" x14ac:dyDescent="0.35">
      <c r="A369" t="s">
        <v>2156</v>
      </c>
      <c r="B369">
        <v>-4142</v>
      </c>
      <c r="C369">
        <v>16777215</v>
      </c>
      <c r="D369">
        <v>0</v>
      </c>
    </row>
    <row r="370" spans="1:4" x14ac:dyDescent="0.35">
      <c r="A370" t="s">
        <v>2589</v>
      </c>
      <c r="B370">
        <v>-4142</v>
      </c>
      <c r="C370">
        <v>16777215</v>
      </c>
      <c r="D370">
        <v>0</v>
      </c>
    </row>
    <row r="371" spans="1:4" x14ac:dyDescent="0.35">
      <c r="A371" t="s">
        <v>2590</v>
      </c>
      <c r="B371">
        <v>-4142</v>
      </c>
      <c r="C371">
        <v>16777215</v>
      </c>
      <c r="D371">
        <v>0</v>
      </c>
    </row>
    <row r="372" spans="1:4" x14ac:dyDescent="0.35">
      <c r="A372" t="s">
        <v>2591</v>
      </c>
      <c r="B372">
        <v>-4142</v>
      </c>
      <c r="C372">
        <v>16777215</v>
      </c>
      <c r="D372">
        <v>0</v>
      </c>
    </row>
    <row r="373" spans="1:4" x14ac:dyDescent="0.35">
      <c r="A373" t="s">
        <v>2592</v>
      </c>
      <c r="B373">
        <v>-4142</v>
      </c>
      <c r="C373">
        <v>16777215</v>
      </c>
      <c r="D373">
        <v>0</v>
      </c>
    </row>
    <row r="374" spans="1:4" x14ac:dyDescent="0.35">
      <c r="A374" t="s">
        <v>2593</v>
      </c>
      <c r="B374">
        <v>-4142</v>
      </c>
      <c r="C374">
        <v>16777215</v>
      </c>
      <c r="D374">
        <v>0</v>
      </c>
    </row>
    <row r="375" spans="1:4" x14ac:dyDescent="0.35">
      <c r="A375" t="s">
        <v>2594</v>
      </c>
      <c r="B375">
        <v>-4142</v>
      </c>
      <c r="C375">
        <v>16777215</v>
      </c>
      <c r="D375">
        <v>0</v>
      </c>
    </row>
    <row r="376" spans="1:4" x14ac:dyDescent="0.35">
      <c r="A376" t="s">
        <v>2595</v>
      </c>
      <c r="B376">
        <v>-4142</v>
      </c>
      <c r="C376">
        <v>16777215</v>
      </c>
      <c r="D376">
        <v>0</v>
      </c>
    </row>
    <row r="377" spans="1:4" x14ac:dyDescent="0.35">
      <c r="A377" t="s">
        <v>2596</v>
      </c>
      <c r="B377">
        <v>-4142</v>
      </c>
      <c r="C377">
        <v>16777215</v>
      </c>
      <c r="D377">
        <v>0</v>
      </c>
    </row>
    <row r="378" spans="1:4" x14ac:dyDescent="0.35">
      <c r="A378" t="s">
        <v>2157</v>
      </c>
      <c r="B378">
        <v>-4142</v>
      </c>
      <c r="C378">
        <v>16777215</v>
      </c>
      <c r="D378">
        <v>0</v>
      </c>
    </row>
    <row r="379" spans="1:4" x14ac:dyDescent="0.35">
      <c r="A379" t="s">
        <v>2158</v>
      </c>
      <c r="B379">
        <v>-4142</v>
      </c>
      <c r="C379">
        <v>16777215</v>
      </c>
      <c r="D379">
        <v>10053222</v>
      </c>
    </row>
    <row r="380" spans="1:4" x14ac:dyDescent="0.35">
      <c r="A380" t="s">
        <v>2159</v>
      </c>
      <c r="B380">
        <v>-4142</v>
      </c>
      <c r="C380">
        <v>16777215</v>
      </c>
      <c r="D380">
        <v>10053222</v>
      </c>
    </row>
    <row r="381" spans="1:4" x14ac:dyDescent="0.35">
      <c r="A381" t="s">
        <v>2160</v>
      </c>
      <c r="B381">
        <v>-4142</v>
      </c>
      <c r="C381">
        <v>16777215</v>
      </c>
      <c r="D381">
        <v>10053222</v>
      </c>
    </row>
    <row r="382" spans="1:4" x14ac:dyDescent="0.35">
      <c r="A382" t="s">
        <v>2161</v>
      </c>
      <c r="B382">
        <v>-4142</v>
      </c>
      <c r="C382">
        <v>16777215</v>
      </c>
      <c r="D382">
        <v>10053222</v>
      </c>
    </row>
    <row r="383" spans="1:4" x14ac:dyDescent="0.35">
      <c r="A383" t="s">
        <v>2162</v>
      </c>
      <c r="B383">
        <v>-4142</v>
      </c>
      <c r="C383">
        <v>16777215</v>
      </c>
      <c r="D383">
        <v>0</v>
      </c>
    </row>
    <row r="384" spans="1:4" x14ac:dyDescent="0.35">
      <c r="A384" t="s">
        <v>2163</v>
      </c>
      <c r="B384">
        <v>-4142</v>
      </c>
      <c r="C384">
        <v>16777215</v>
      </c>
      <c r="D384">
        <v>6299648</v>
      </c>
    </row>
    <row r="385" spans="1:4" x14ac:dyDescent="0.35">
      <c r="A385" t="s">
        <v>2164</v>
      </c>
      <c r="B385">
        <v>-4142</v>
      </c>
      <c r="C385">
        <v>16777215</v>
      </c>
      <c r="D385">
        <v>6299648</v>
      </c>
    </row>
    <row r="386" spans="1:4" x14ac:dyDescent="0.35">
      <c r="A386" t="s">
        <v>2165</v>
      </c>
      <c r="B386">
        <v>-4142</v>
      </c>
      <c r="C386">
        <v>16777215</v>
      </c>
      <c r="D386">
        <v>6299648</v>
      </c>
    </row>
    <row r="387" spans="1:4" x14ac:dyDescent="0.35">
      <c r="A387" t="s">
        <v>2166</v>
      </c>
      <c r="B387">
        <v>-4142</v>
      </c>
      <c r="C387">
        <v>16777215</v>
      </c>
      <c r="D387">
        <v>0</v>
      </c>
    </row>
    <row r="388" spans="1:4" x14ac:dyDescent="0.35">
      <c r="A388" t="s">
        <v>2167</v>
      </c>
      <c r="B388">
        <v>-4142</v>
      </c>
      <c r="C388">
        <v>16777215</v>
      </c>
      <c r="D388">
        <v>0</v>
      </c>
    </row>
    <row r="389" spans="1:4" x14ac:dyDescent="0.35">
      <c r="A389" t="s">
        <v>2168</v>
      </c>
      <c r="B389">
        <v>-4142</v>
      </c>
      <c r="C389">
        <v>16777215</v>
      </c>
      <c r="D389">
        <v>0</v>
      </c>
    </row>
    <row r="390" spans="1:4" x14ac:dyDescent="0.35">
      <c r="A390" t="s">
        <v>2169</v>
      </c>
      <c r="B390">
        <v>-4142</v>
      </c>
      <c r="C390">
        <v>16777215</v>
      </c>
      <c r="D390">
        <v>0</v>
      </c>
    </row>
    <row r="391" spans="1:4" x14ac:dyDescent="0.35">
      <c r="A391" t="s">
        <v>2170</v>
      </c>
      <c r="B391">
        <v>-4142</v>
      </c>
      <c r="C391">
        <v>16777215</v>
      </c>
      <c r="D391">
        <v>0</v>
      </c>
    </row>
    <row r="392" spans="1:4" x14ac:dyDescent="0.35">
      <c r="A392" t="s">
        <v>2171</v>
      </c>
      <c r="B392">
        <v>-4142</v>
      </c>
      <c r="C392">
        <v>16777215</v>
      </c>
      <c r="D392">
        <v>0</v>
      </c>
    </row>
    <row r="393" spans="1:4" x14ac:dyDescent="0.35">
      <c r="A393" t="s">
        <v>2172</v>
      </c>
      <c r="B393">
        <v>-4142</v>
      </c>
      <c r="C393">
        <v>16777215</v>
      </c>
      <c r="D393">
        <v>0</v>
      </c>
    </row>
    <row r="394" spans="1:4" x14ac:dyDescent="0.35">
      <c r="A394" t="s">
        <v>2173</v>
      </c>
      <c r="B394">
        <v>-4142</v>
      </c>
      <c r="C394">
        <v>16777215</v>
      </c>
      <c r="D394">
        <v>0</v>
      </c>
    </row>
    <row r="395" spans="1:4" x14ac:dyDescent="0.35">
      <c r="A395" t="s">
        <v>2174</v>
      </c>
      <c r="B395">
        <v>-4142</v>
      </c>
      <c r="C395">
        <v>16777215</v>
      </c>
      <c r="D395">
        <v>0</v>
      </c>
    </row>
    <row r="396" spans="1:4" x14ac:dyDescent="0.35">
      <c r="A396" t="s">
        <v>2175</v>
      </c>
      <c r="B396">
        <v>-4142</v>
      </c>
      <c r="C396">
        <v>16777215</v>
      </c>
      <c r="D396">
        <v>0</v>
      </c>
    </row>
    <row r="397" spans="1:4" x14ac:dyDescent="0.35">
      <c r="A397" t="s">
        <v>2176</v>
      </c>
      <c r="B397">
        <v>-4142</v>
      </c>
      <c r="C397">
        <v>16777215</v>
      </c>
      <c r="D397">
        <v>0</v>
      </c>
    </row>
    <row r="398" spans="1:4" x14ac:dyDescent="0.35">
      <c r="A398" t="s">
        <v>2177</v>
      </c>
      <c r="B398">
        <v>-4142</v>
      </c>
      <c r="C398">
        <v>16777215</v>
      </c>
      <c r="D398">
        <v>0</v>
      </c>
    </row>
    <row r="399" spans="1:4" x14ac:dyDescent="0.35">
      <c r="A399" t="s">
        <v>2597</v>
      </c>
      <c r="B399">
        <v>-4142</v>
      </c>
      <c r="C399">
        <v>16777215</v>
      </c>
      <c r="D399">
        <v>0</v>
      </c>
    </row>
    <row r="400" spans="1:4" x14ac:dyDescent="0.35">
      <c r="A400" t="s">
        <v>2598</v>
      </c>
      <c r="B400">
        <v>-4142</v>
      </c>
      <c r="C400">
        <v>16777215</v>
      </c>
      <c r="D400">
        <v>0</v>
      </c>
    </row>
    <row r="401" spans="1:4" x14ac:dyDescent="0.35">
      <c r="A401" t="s">
        <v>2599</v>
      </c>
      <c r="B401">
        <v>-4142</v>
      </c>
      <c r="C401">
        <v>16777215</v>
      </c>
      <c r="D401">
        <v>0</v>
      </c>
    </row>
    <row r="402" spans="1:4" x14ac:dyDescent="0.35">
      <c r="A402" t="s">
        <v>2600</v>
      </c>
      <c r="B402">
        <v>-4142</v>
      </c>
      <c r="C402">
        <v>16777215</v>
      </c>
      <c r="D402">
        <v>0</v>
      </c>
    </row>
    <row r="403" spans="1:4" x14ac:dyDescent="0.35">
      <c r="A403" t="s">
        <v>2601</v>
      </c>
      <c r="B403">
        <v>-4142</v>
      </c>
      <c r="C403">
        <v>16777215</v>
      </c>
      <c r="D403">
        <v>0</v>
      </c>
    </row>
    <row r="404" spans="1:4" x14ac:dyDescent="0.35">
      <c r="A404" t="s">
        <v>2602</v>
      </c>
      <c r="B404">
        <v>-4142</v>
      </c>
      <c r="C404">
        <v>16777215</v>
      </c>
      <c r="D404">
        <v>0</v>
      </c>
    </row>
    <row r="405" spans="1:4" x14ac:dyDescent="0.35">
      <c r="A405" t="s">
        <v>2603</v>
      </c>
      <c r="B405">
        <v>-4142</v>
      </c>
      <c r="C405">
        <v>16777215</v>
      </c>
      <c r="D405">
        <v>0</v>
      </c>
    </row>
    <row r="406" spans="1:4" x14ac:dyDescent="0.35">
      <c r="A406" t="s">
        <v>2604</v>
      </c>
      <c r="B406">
        <v>-4142</v>
      </c>
      <c r="C406">
        <v>16777215</v>
      </c>
      <c r="D406">
        <v>0</v>
      </c>
    </row>
    <row r="407" spans="1:4" x14ac:dyDescent="0.35">
      <c r="A407" t="s">
        <v>2178</v>
      </c>
      <c r="B407">
        <v>-4142</v>
      </c>
      <c r="C407">
        <v>16777215</v>
      </c>
      <c r="D407">
        <v>0</v>
      </c>
    </row>
    <row r="408" spans="1:4" x14ac:dyDescent="0.35">
      <c r="A408" t="s">
        <v>2179</v>
      </c>
      <c r="B408">
        <v>-4142</v>
      </c>
      <c r="C408">
        <v>16777215</v>
      </c>
      <c r="D408">
        <v>0</v>
      </c>
    </row>
    <row r="409" spans="1:4" x14ac:dyDescent="0.35">
      <c r="A409" t="s">
        <v>2180</v>
      </c>
      <c r="B409">
        <v>-4142</v>
      </c>
      <c r="C409">
        <v>16777215</v>
      </c>
      <c r="D409">
        <v>0</v>
      </c>
    </row>
    <row r="410" spans="1:4" x14ac:dyDescent="0.35">
      <c r="A410" t="s">
        <v>2181</v>
      </c>
      <c r="B410">
        <v>-4142</v>
      </c>
      <c r="C410">
        <v>16777215</v>
      </c>
      <c r="D410">
        <v>0</v>
      </c>
    </row>
    <row r="411" spans="1:4" x14ac:dyDescent="0.35">
      <c r="A411" t="s">
        <v>2182</v>
      </c>
      <c r="B411">
        <v>-4142</v>
      </c>
      <c r="C411">
        <v>16777215</v>
      </c>
      <c r="D411">
        <v>0</v>
      </c>
    </row>
    <row r="412" spans="1:4" x14ac:dyDescent="0.35">
      <c r="A412" t="s">
        <v>2183</v>
      </c>
      <c r="B412">
        <v>-4142</v>
      </c>
      <c r="C412">
        <v>16777215</v>
      </c>
      <c r="D412">
        <v>0</v>
      </c>
    </row>
    <row r="413" spans="1:4" x14ac:dyDescent="0.35">
      <c r="A413" t="s">
        <v>2184</v>
      </c>
      <c r="B413">
        <v>-4142</v>
      </c>
      <c r="C413">
        <v>16777215</v>
      </c>
      <c r="D413">
        <v>0</v>
      </c>
    </row>
    <row r="414" spans="1:4" x14ac:dyDescent="0.35">
      <c r="A414" t="s">
        <v>2185</v>
      </c>
      <c r="B414">
        <v>-4142</v>
      </c>
      <c r="C414">
        <v>16777215</v>
      </c>
      <c r="D414">
        <v>0</v>
      </c>
    </row>
    <row r="415" spans="1:4" x14ac:dyDescent="0.35">
      <c r="A415" t="s">
        <v>2186</v>
      </c>
      <c r="B415">
        <v>-4142</v>
      </c>
      <c r="C415">
        <v>16777215</v>
      </c>
      <c r="D415">
        <v>0</v>
      </c>
    </row>
    <row r="416" spans="1:4" x14ac:dyDescent="0.35">
      <c r="A416" t="s">
        <v>2187</v>
      </c>
      <c r="B416">
        <v>-4142</v>
      </c>
      <c r="C416">
        <v>16777215</v>
      </c>
      <c r="D416">
        <v>0</v>
      </c>
    </row>
    <row r="417" spans="1:4" x14ac:dyDescent="0.35">
      <c r="A417" t="s">
        <v>2188</v>
      </c>
      <c r="B417">
        <v>-4142</v>
      </c>
      <c r="C417">
        <v>16777215</v>
      </c>
      <c r="D417">
        <v>0</v>
      </c>
    </row>
    <row r="418" spans="1:4" x14ac:dyDescent="0.35">
      <c r="A418" t="s">
        <v>2189</v>
      </c>
      <c r="B418">
        <v>-4142</v>
      </c>
      <c r="C418">
        <v>16777215</v>
      </c>
      <c r="D418">
        <v>0</v>
      </c>
    </row>
    <row r="419" spans="1:4" x14ac:dyDescent="0.35">
      <c r="A419" t="s">
        <v>2190</v>
      </c>
      <c r="B419">
        <v>-4142</v>
      </c>
      <c r="C419">
        <v>16777215</v>
      </c>
      <c r="D419">
        <v>0</v>
      </c>
    </row>
    <row r="420" spans="1:4" x14ac:dyDescent="0.35">
      <c r="A420" t="s">
        <v>2191</v>
      </c>
      <c r="B420">
        <v>-4142</v>
      </c>
      <c r="C420">
        <v>16777215</v>
      </c>
      <c r="D420">
        <v>0</v>
      </c>
    </row>
    <row r="421" spans="1:4" x14ac:dyDescent="0.35">
      <c r="A421" t="s">
        <v>2192</v>
      </c>
      <c r="B421">
        <v>-4142</v>
      </c>
      <c r="C421">
        <v>16777215</v>
      </c>
      <c r="D421">
        <v>0</v>
      </c>
    </row>
    <row r="422" spans="1:4" x14ac:dyDescent="0.35">
      <c r="A422" t="s">
        <v>2193</v>
      </c>
      <c r="B422">
        <v>-4142</v>
      </c>
      <c r="C422">
        <v>16777215</v>
      </c>
      <c r="D422">
        <v>0</v>
      </c>
    </row>
    <row r="423" spans="1:4" x14ac:dyDescent="0.35">
      <c r="A423" t="s">
        <v>2194</v>
      </c>
      <c r="B423">
        <v>-4142</v>
      </c>
      <c r="C423">
        <v>16777215</v>
      </c>
      <c r="D423">
        <v>0</v>
      </c>
    </row>
    <row r="424" spans="1:4" x14ac:dyDescent="0.35">
      <c r="A424" t="s">
        <v>2195</v>
      </c>
      <c r="B424">
        <v>-4142</v>
      </c>
      <c r="C424">
        <v>16777215</v>
      </c>
      <c r="D424">
        <v>0</v>
      </c>
    </row>
    <row r="425" spans="1:4" x14ac:dyDescent="0.35">
      <c r="A425" t="s">
        <v>2196</v>
      </c>
      <c r="B425">
        <v>-4142</v>
      </c>
      <c r="C425">
        <v>16777215</v>
      </c>
      <c r="D425">
        <v>0</v>
      </c>
    </row>
    <row r="426" spans="1:4" x14ac:dyDescent="0.35">
      <c r="A426" t="s">
        <v>2197</v>
      </c>
      <c r="B426">
        <v>-4142</v>
      </c>
      <c r="C426">
        <v>16777215</v>
      </c>
      <c r="D426">
        <v>0</v>
      </c>
    </row>
    <row r="427" spans="1:4" x14ac:dyDescent="0.35">
      <c r="A427" t="s">
        <v>2198</v>
      </c>
      <c r="B427">
        <v>-4142</v>
      </c>
      <c r="C427">
        <v>16777215</v>
      </c>
      <c r="D427">
        <v>0</v>
      </c>
    </row>
    <row r="428" spans="1:4" x14ac:dyDescent="0.35">
      <c r="A428" t="s">
        <v>2605</v>
      </c>
      <c r="B428">
        <v>-4142</v>
      </c>
      <c r="C428">
        <v>16777215</v>
      </c>
      <c r="D428">
        <v>0</v>
      </c>
    </row>
    <row r="429" spans="1:4" x14ac:dyDescent="0.35">
      <c r="A429" t="s">
        <v>2606</v>
      </c>
      <c r="B429">
        <v>-4142</v>
      </c>
      <c r="C429">
        <v>16777215</v>
      </c>
      <c r="D429">
        <v>0</v>
      </c>
    </row>
    <row r="430" spans="1:4" x14ac:dyDescent="0.35">
      <c r="A430" t="s">
        <v>2607</v>
      </c>
      <c r="B430">
        <v>-4142</v>
      </c>
      <c r="C430">
        <v>16777215</v>
      </c>
      <c r="D430">
        <v>0</v>
      </c>
    </row>
    <row r="431" spans="1:4" x14ac:dyDescent="0.35">
      <c r="A431" t="s">
        <v>2608</v>
      </c>
      <c r="B431">
        <v>-4142</v>
      </c>
      <c r="C431">
        <v>16777215</v>
      </c>
      <c r="D431">
        <v>0</v>
      </c>
    </row>
    <row r="432" spans="1:4" x14ac:dyDescent="0.35">
      <c r="A432" t="s">
        <v>2609</v>
      </c>
      <c r="B432">
        <v>-4142</v>
      </c>
      <c r="C432">
        <v>16777215</v>
      </c>
      <c r="D432">
        <v>0</v>
      </c>
    </row>
    <row r="433" spans="1:4" x14ac:dyDescent="0.35">
      <c r="A433" t="s">
        <v>2610</v>
      </c>
      <c r="B433">
        <v>-4142</v>
      </c>
      <c r="C433">
        <v>16777215</v>
      </c>
      <c r="D433">
        <v>0</v>
      </c>
    </row>
    <row r="434" spans="1:4" x14ac:dyDescent="0.35">
      <c r="A434" t="s">
        <v>2611</v>
      </c>
      <c r="B434">
        <v>-4142</v>
      </c>
      <c r="C434">
        <v>16777215</v>
      </c>
      <c r="D434">
        <v>0</v>
      </c>
    </row>
    <row r="435" spans="1:4" x14ac:dyDescent="0.35">
      <c r="A435" t="s">
        <v>2612</v>
      </c>
      <c r="B435">
        <v>-4142</v>
      </c>
      <c r="C435">
        <v>16777215</v>
      </c>
      <c r="D435">
        <v>0</v>
      </c>
    </row>
    <row r="436" spans="1:4" x14ac:dyDescent="0.35">
      <c r="A436" t="s">
        <v>2199</v>
      </c>
      <c r="B436">
        <v>-4142</v>
      </c>
      <c r="C436">
        <v>16777215</v>
      </c>
      <c r="D436">
        <v>0</v>
      </c>
    </row>
    <row r="437" spans="1:4" x14ac:dyDescent="0.35">
      <c r="A437" t="s">
        <v>2200</v>
      </c>
      <c r="B437">
        <v>-4142</v>
      </c>
      <c r="C437">
        <v>16777215</v>
      </c>
      <c r="D437">
        <v>16777215</v>
      </c>
    </row>
    <row r="438" spans="1:4" x14ac:dyDescent="0.35">
      <c r="A438" t="s">
        <v>2201</v>
      </c>
      <c r="B438">
        <v>-4142</v>
      </c>
      <c r="C438">
        <v>16777215</v>
      </c>
      <c r="D438">
        <v>16777215</v>
      </c>
    </row>
    <row r="439" spans="1:4" x14ac:dyDescent="0.35">
      <c r="A439" t="s">
        <v>2202</v>
      </c>
      <c r="B439">
        <v>-4142</v>
      </c>
      <c r="C439">
        <v>16777215</v>
      </c>
      <c r="D439">
        <v>16777215</v>
      </c>
    </row>
    <row r="440" spans="1:4" x14ac:dyDescent="0.35">
      <c r="A440" t="s">
        <v>2203</v>
      </c>
      <c r="B440">
        <v>-4142</v>
      </c>
      <c r="C440">
        <v>16777215</v>
      </c>
      <c r="D440">
        <v>16777215</v>
      </c>
    </row>
    <row r="441" spans="1:4" x14ac:dyDescent="0.35">
      <c r="A441" t="s">
        <v>2204</v>
      </c>
      <c r="B441">
        <v>-4142</v>
      </c>
      <c r="C441">
        <v>16777215</v>
      </c>
      <c r="D441">
        <v>0</v>
      </c>
    </row>
    <row r="442" spans="1:4" x14ac:dyDescent="0.35">
      <c r="A442" t="s">
        <v>2205</v>
      </c>
      <c r="B442">
        <v>-4142</v>
      </c>
      <c r="C442">
        <v>16777215</v>
      </c>
      <c r="D442">
        <v>16777215</v>
      </c>
    </row>
    <row r="443" spans="1:4" x14ac:dyDescent="0.35">
      <c r="A443" t="s">
        <v>2206</v>
      </c>
      <c r="B443">
        <v>-4142</v>
      </c>
      <c r="C443">
        <v>16777215</v>
      </c>
      <c r="D443">
        <v>16777215</v>
      </c>
    </row>
    <row r="444" spans="1:4" x14ac:dyDescent="0.35">
      <c r="A444" t="s">
        <v>2207</v>
      </c>
      <c r="B444">
        <v>-4142</v>
      </c>
      <c r="C444">
        <v>16777215</v>
      </c>
      <c r="D444">
        <v>16777215</v>
      </c>
    </row>
    <row r="445" spans="1:4" x14ac:dyDescent="0.35">
      <c r="A445" t="s">
        <v>2208</v>
      </c>
      <c r="B445">
        <v>-4142</v>
      </c>
      <c r="C445">
        <v>16777215</v>
      </c>
      <c r="D445">
        <v>16777215</v>
      </c>
    </row>
    <row r="446" spans="1:4" x14ac:dyDescent="0.35">
      <c r="A446" t="s">
        <v>2209</v>
      </c>
      <c r="B446">
        <v>-4142</v>
      </c>
      <c r="C446">
        <v>16777215</v>
      </c>
      <c r="D446">
        <v>16777215</v>
      </c>
    </row>
    <row r="447" spans="1:4" x14ac:dyDescent="0.35">
      <c r="A447" t="s">
        <v>2210</v>
      </c>
      <c r="B447">
        <v>-4142</v>
      </c>
      <c r="C447">
        <v>16777215</v>
      </c>
      <c r="D447">
        <v>16777215</v>
      </c>
    </row>
    <row r="448" spans="1:4" x14ac:dyDescent="0.35">
      <c r="A448" t="s">
        <v>2211</v>
      </c>
      <c r="B448">
        <v>-4142</v>
      </c>
      <c r="C448">
        <v>16777215</v>
      </c>
      <c r="D448">
        <v>16777215</v>
      </c>
    </row>
    <row r="449" spans="1:4" x14ac:dyDescent="0.35">
      <c r="A449" t="s">
        <v>2212</v>
      </c>
      <c r="B449">
        <v>-4142</v>
      </c>
      <c r="C449">
        <v>16777215</v>
      </c>
      <c r="D449">
        <v>16777215</v>
      </c>
    </row>
    <row r="450" spans="1:4" x14ac:dyDescent="0.35">
      <c r="A450" t="s">
        <v>2213</v>
      </c>
      <c r="B450">
        <v>-4142</v>
      </c>
      <c r="C450">
        <v>16777215</v>
      </c>
      <c r="D450">
        <v>16777215</v>
      </c>
    </row>
    <row r="451" spans="1:4" x14ac:dyDescent="0.35">
      <c r="A451" t="s">
        <v>2214</v>
      </c>
      <c r="B451">
        <v>-4142</v>
      </c>
      <c r="C451">
        <v>16777215</v>
      </c>
      <c r="D451">
        <v>16777215</v>
      </c>
    </row>
    <row r="452" spans="1:4" x14ac:dyDescent="0.35">
      <c r="A452" t="s">
        <v>2215</v>
      </c>
      <c r="B452">
        <v>-4142</v>
      </c>
      <c r="C452">
        <v>16777215</v>
      </c>
      <c r="D452">
        <v>16777215</v>
      </c>
    </row>
    <row r="453" spans="1:4" x14ac:dyDescent="0.35">
      <c r="A453" t="s">
        <v>2216</v>
      </c>
      <c r="B453">
        <v>-4142</v>
      </c>
      <c r="C453">
        <v>16777215</v>
      </c>
      <c r="D453">
        <v>16777215</v>
      </c>
    </row>
    <row r="454" spans="1:4" x14ac:dyDescent="0.35">
      <c r="A454" t="s">
        <v>2217</v>
      </c>
      <c r="B454">
        <v>-4142</v>
      </c>
      <c r="C454">
        <v>16777215</v>
      </c>
      <c r="D454">
        <v>16777215</v>
      </c>
    </row>
    <row r="455" spans="1:4" x14ac:dyDescent="0.35">
      <c r="A455" t="s">
        <v>2218</v>
      </c>
      <c r="B455">
        <v>-4142</v>
      </c>
      <c r="C455">
        <v>16777215</v>
      </c>
      <c r="D455">
        <v>16777215</v>
      </c>
    </row>
    <row r="456" spans="1:4" x14ac:dyDescent="0.35">
      <c r="A456" t="s">
        <v>2219</v>
      </c>
      <c r="B456">
        <v>-4142</v>
      </c>
      <c r="C456">
        <v>16777215</v>
      </c>
      <c r="D456">
        <v>0</v>
      </c>
    </row>
    <row r="457" spans="1:4" x14ac:dyDescent="0.35">
      <c r="A457" t="s">
        <v>2613</v>
      </c>
      <c r="B457">
        <v>-4142</v>
      </c>
      <c r="C457">
        <v>16777215</v>
      </c>
      <c r="D457">
        <v>0</v>
      </c>
    </row>
    <row r="458" spans="1:4" x14ac:dyDescent="0.35">
      <c r="A458" t="s">
        <v>2614</v>
      </c>
      <c r="B458">
        <v>-4142</v>
      </c>
      <c r="C458">
        <v>16777215</v>
      </c>
      <c r="D458">
        <v>0</v>
      </c>
    </row>
    <row r="459" spans="1:4" x14ac:dyDescent="0.35">
      <c r="A459" t="s">
        <v>2615</v>
      </c>
      <c r="B459">
        <v>-4142</v>
      </c>
      <c r="C459">
        <v>16777215</v>
      </c>
      <c r="D459">
        <v>0</v>
      </c>
    </row>
    <row r="460" spans="1:4" x14ac:dyDescent="0.35">
      <c r="A460" t="s">
        <v>2616</v>
      </c>
      <c r="B460">
        <v>-4142</v>
      </c>
      <c r="C460">
        <v>16777215</v>
      </c>
      <c r="D460">
        <v>0</v>
      </c>
    </row>
    <row r="461" spans="1:4" x14ac:dyDescent="0.35">
      <c r="A461" t="s">
        <v>2617</v>
      </c>
      <c r="B461">
        <v>-4142</v>
      </c>
      <c r="C461">
        <v>16777215</v>
      </c>
      <c r="D461">
        <v>0</v>
      </c>
    </row>
    <row r="462" spans="1:4" x14ac:dyDescent="0.35">
      <c r="A462" t="s">
        <v>2618</v>
      </c>
      <c r="B462">
        <v>-4142</v>
      </c>
      <c r="C462">
        <v>16777215</v>
      </c>
      <c r="D462">
        <v>0</v>
      </c>
    </row>
    <row r="463" spans="1:4" x14ac:dyDescent="0.35">
      <c r="A463" t="s">
        <v>2619</v>
      </c>
      <c r="B463">
        <v>-4142</v>
      </c>
      <c r="C463">
        <v>16777215</v>
      </c>
      <c r="D463">
        <v>0</v>
      </c>
    </row>
    <row r="464" spans="1:4" x14ac:dyDescent="0.35">
      <c r="A464" t="s">
        <v>2620</v>
      </c>
      <c r="B464">
        <v>-4142</v>
      </c>
      <c r="C464">
        <v>16777215</v>
      </c>
      <c r="D464">
        <v>0</v>
      </c>
    </row>
    <row r="465" spans="1:4" x14ac:dyDescent="0.35">
      <c r="A465" t="s">
        <v>2220</v>
      </c>
      <c r="B465">
        <v>-4142</v>
      </c>
      <c r="C465">
        <v>16777215</v>
      </c>
      <c r="D465">
        <v>0</v>
      </c>
    </row>
    <row r="466" spans="1:4" x14ac:dyDescent="0.35">
      <c r="A466" t="s">
        <v>2221</v>
      </c>
      <c r="B466">
        <v>-4142</v>
      </c>
      <c r="C466">
        <v>16777215</v>
      </c>
      <c r="D466">
        <v>0</v>
      </c>
    </row>
    <row r="467" spans="1:4" x14ac:dyDescent="0.35">
      <c r="A467" t="s">
        <v>2222</v>
      </c>
      <c r="B467">
        <v>-4142</v>
      </c>
      <c r="C467">
        <v>16777215</v>
      </c>
      <c r="D467">
        <v>0</v>
      </c>
    </row>
    <row r="468" spans="1:4" x14ac:dyDescent="0.35">
      <c r="A468" t="s">
        <v>2223</v>
      </c>
      <c r="B468">
        <v>-4142</v>
      </c>
      <c r="C468">
        <v>16777215</v>
      </c>
      <c r="D468">
        <v>0</v>
      </c>
    </row>
    <row r="469" spans="1:4" x14ac:dyDescent="0.35">
      <c r="A469" t="s">
        <v>2224</v>
      </c>
      <c r="B469">
        <v>-4142</v>
      </c>
      <c r="C469">
        <v>16777215</v>
      </c>
      <c r="D469">
        <v>0</v>
      </c>
    </row>
    <row r="470" spans="1:4" x14ac:dyDescent="0.35">
      <c r="A470" t="s">
        <v>2225</v>
      </c>
      <c r="B470">
        <v>-4142</v>
      </c>
      <c r="C470">
        <v>16777215</v>
      </c>
      <c r="D470">
        <v>0</v>
      </c>
    </row>
    <row r="471" spans="1:4" x14ac:dyDescent="0.35">
      <c r="A471" t="s">
        <v>2226</v>
      </c>
      <c r="B471">
        <v>-4142</v>
      </c>
      <c r="C471">
        <v>16777215</v>
      </c>
      <c r="D471">
        <v>0</v>
      </c>
    </row>
    <row r="472" spans="1:4" x14ac:dyDescent="0.35">
      <c r="A472" t="s">
        <v>2227</v>
      </c>
      <c r="B472">
        <v>-4142</v>
      </c>
      <c r="C472">
        <v>16777215</v>
      </c>
      <c r="D472">
        <v>0</v>
      </c>
    </row>
    <row r="473" spans="1:4" x14ac:dyDescent="0.35">
      <c r="A473" t="s">
        <v>2228</v>
      </c>
      <c r="B473">
        <v>-4142</v>
      </c>
      <c r="C473">
        <v>16777215</v>
      </c>
      <c r="D473">
        <v>0</v>
      </c>
    </row>
    <row r="474" spans="1:4" x14ac:dyDescent="0.35">
      <c r="A474" t="s">
        <v>2229</v>
      </c>
      <c r="B474">
        <v>-4142</v>
      </c>
      <c r="C474">
        <v>16777215</v>
      </c>
      <c r="D474">
        <v>0</v>
      </c>
    </row>
    <row r="475" spans="1:4" x14ac:dyDescent="0.35">
      <c r="A475" t="s">
        <v>2230</v>
      </c>
      <c r="B475">
        <v>-4142</v>
      </c>
      <c r="C475">
        <v>16777215</v>
      </c>
      <c r="D475">
        <v>0</v>
      </c>
    </row>
    <row r="476" spans="1:4" x14ac:dyDescent="0.35">
      <c r="A476" t="s">
        <v>2231</v>
      </c>
      <c r="B476">
        <v>-4142</v>
      </c>
      <c r="C476">
        <v>16777215</v>
      </c>
      <c r="D476">
        <v>0</v>
      </c>
    </row>
    <row r="477" spans="1:4" x14ac:dyDescent="0.35">
      <c r="A477" t="s">
        <v>2232</v>
      </c>
      <c r="B477">
        <v>-4142</v>
      </c>
      <c r="C477">
        <v>16777215</v>
      </c>
      <c r="D477">
        <v>0</v>
      </c>
    </row>
    <row r="478" spans="1:4" x14ac:dyDescent="0.35">
      <c r="A478" t="s">
        <v>2233</v>
      </c>
      <c r="B478">
        <v>-4142</v>
      </c>
      <c r="C478">
        <v>16777215</v>
      </c>
      <c r="D478">
        <v>0</v>
      </c>
    </row>
    <row r="479" spans="1:4" x14ac:dyDescent="0.35">
      <c r="A479" t="s">
        <v>2234</v>
      </c>
      <c r="B479">
        <v>-4142</v>
      </c>
      <c r="C479">
        <v>16777215</v>
      </c>
      <c r="D479">
        <v>0</v>
      </c>
    </row>
    <row r="480" spans="1:4" x14ac:dyDescent="0.35">
      <c r="A480" t="s">
        <v>2235</v>
      </c>
      <c r="B480">
        <v>-4142</v>
      </c>
      <c r="C480">
        <v>16777215</v>
      </c>
      <c r="D480">
        <v>0</v>
      </c>
    </row>
    <row r="481" spans="1:4" x14ac:dyDescent="0.35">
      <c r="A481" t="s">
        <v>2236</v>
      </c>
      <c r="B481">
        <v>-4142</v>
      </c>
      <c r="C481">
        <v>16777215</v>
      </c>
      <c r="D481">
        <v>0</v>
      </c>
    </row>
    <row r="482" spans="1:4" x14ac:dyDescent="0.35">
      <c r="A482" t="s">
        <v>2237</v>
      </c>
      <c r="B482">
        <v>-4142</v>
      </c>
      <c r="C482">
        <v>16777215</v>
      </c>
      <c r="D482">
        <v>0</v>
      </c>
    </row>
    <row r="483" spans="1:4" x14ac:dyDescent="0.35">
      <c r="A483" t="s">
        <v>2238</v>
      </c>
      <c r="B483">
        <v>-4142</v>
      </c>
      <c r="C483">
        <v>16777215</v>
      </c>
      <c r="D483">
        <v>0</v>
      </c>
    </row>
    <row r="484" spans="1:4" x14ac:dyDescent="0.35">
      <c r="A484" t="s">
        <v>2239</v>
      </c>
      <c r="B484">
        <v>-4142</v>
      </c>
      <c r="C484">
        <v>16777215</v>
      </c>
      <c r="D484">
        <v>0</v>
      </c>
    </row>
    <row r="485" spans="1:4" x14ac:dyDescent="0.35">
      <c r="A485" t="s">
        <v>2240</v>
      </c>
      <c r="B485">
        <v>-4142</v>
      </c>
      <c r="C485">
        <v>16777215</v>
      </c>
      <c r="D485">
        <v>0</v>
      </c>
    </row>
    <row r="486" spans="1:4" x14ac:dyDescent="0.35">
      <c r="A486" t="s">
        <v>2621</v>
      </c>
      <c r="B486">
        <v>-4142</v>
      </c>
      <c r="C486">
        <v>16777215</v>
      </c>
      <c r="D486">
        <v>0</v>
      </c>
    </row>
    <row r="487" spans="1:4" x14ac:dyDescent="0.35">
      <c r="A487" t="s">
        <v>2622</v>
      </c>
      <c r="B487">
        <v>-4142</v>
      </c>
      <c r="C487">
        <v>16777215</v>
      </c>
      <c r="D487">
        <v>0</v>
      </c>
    </row>
    <row r="488" spans="1:4" x14ac:dyDescent="0.35">
      <c r="A488" t="s">
        <v>2623</v>
      </c>
      <c r="B488">
        <v>-4142</v>
      </c>
      <c r="C488">
        <v>16777215</v>
      </c>
      <c r="D488">
        <v>0</v>
      </c>
    </row>
    <row r="489" spans="1:4" x14ac:dyDescent="0.35">
      <c r="A489" t="s">
        <v>2624</v>
      </c>
      <c r="B489">
        <v>-4142</v>
      </c>
      <c r="C489">
        <v>16777215</v>
      </c>
      <c r="D489">
        <v>0</v>
      </c>
    </row>
    <row r="490" spans="1:4" x14ac:dyDescent="0.35">
      <c r="A490" t="s">
        <v>2625</v>
      </c>
      <c r="B490">
        <v>-4142</v>
      </c>
      <c r="C490">
        <v>16777215</v>
      </c>
      <c r="D490">
        <v>0</v>
      </c>
    </row>
    <row r="491" spans="1:4" x14ac:dyDescent="0.35">
      <c r="A491" t="s">
        <v>2626</v>
      </c>
      <c r="B491">
        <v>-4142</v>
      </c>
      <c r="C491">
        <v>16777215</v>
      </c>
      <c r="D491">
        <v>0</v>
      </c>
    </row>
    <row r="492" spans="1:4" x14ac:dyDescent="0.35">
      <c r="A492" t="s">
        <v>2627</v>
      </c>
      <c r="B492">
        <v>-4142</v>
      </c>
      <c r="C492">
        <v>16777215</v>
      </c>
      <c r="D492">
        <v>0</v>
      </c>
    </row>
    <row r="493" spans="1:4" x14ac:dyDescent="0.35">
      <c r="A493" t="s">
        <v>2628</v>
      </c>
      <c r="B493">
        <v>-4142</v>
      </c>
      <c r="C493">
        <v>16777215</v>
      </c>
      <c r="D493">
        <v>0</v>
      </c>
    </row>
    <row r="494" spans="1:4" x14ac:dyDescent="0.35">
      <c r="A494" t="s">
        <v>2241</v>
      </c>
      <c r="B494">
        <v>-4142</v>
      </c>
      <c r="C494">
        <v>16777215</v>
      </c>
      <c r="D494">
        <v>0</v>
      </c>
    </row>
    <row r="495" spans="1:4" x14ac:dyDescent="0.35">
      <c r="A495" t="s">
        <v>2242</v>
      </c>
      <c r="B495">
        <v>-4142</v>
      </c>
      <c r="C495">
        <v>16777215</v>
      </c>
      <c r="D495">
        <v>0</v>
      </c>
    </row>
    <row r="496" spans="1:4" x14ac:dyDescent="0.35">
      <c r="A496" t="s">
        <v>2243</v>
      </c>
      <c r="B496">
        <v>-4142</v>
      </c>
      <c r="C496">
        <v>16777215</v>
      </c>
      <c r="D496">
        <v>0</v>
      </c>
    </row>
    <row r="497" spans="1:4" x14ac:dyDescent="0.35">
      <c r="A497" t="s">
        <v>2244</v>
      </c>
      <c r="B497">
        <v>-4142</v>
      </c>
      <c r="C497">
        <v>16777215</v>
      </c>
      <c r="D497">
        <v>0</v>
      </c>
    </row>
    <row r="498" spans="1:4" x14ac:dyDescent="0.35">
      <c r="A498" t="s">
        <v>2245</v>
      </c>
      <c r="B498">
        <v>-4142</v>
      </c>
      <c r="C498">
        <v>16777215</v>
      </c>
      <c r="D498">
        <v>0</v>
      </c>
    </row>
    <row r="499" spans="1:4" x14ac:dyDescent="0.35">
      <c r="A499" t="s">
        <v>2246</v>
      </c>
      <c r="B499">
        <v>-4142</v>
      </c>
      <c r="C499">
        <v>16777215</v>
      </c>
      <c r="D499">
        <v>0</v>
      </c>
    </row>
    <row r="500" spans="1:4" x14ac:dyDescent="0.35">
      <c r="A500" t="s">
        <v>2247</v>
      </c>
      <c r="B500">
        <v>-4142</v>
      </c>
      <c r="C500">
        <v>16777215</v>
      </c>
      <c r="D500">
        <v>6299648</v>
      </c>
    </row>
    <row r="501" spans="1:4" x14ac:dyDescent="0.35">
      <c r="A501" t="s">
        <v>2248</v>
      </c>
      <c r="B501">
        <v>-4142</v>
      </c>
      <c r="C501">
        <v>16777215</v>
      </c>
      <c r="D501">
        <v>6299648</v>
      </c>
    </row>
    <row r="502" spans="1:4" x14ac:dyDescent="0.35">
      <c r="A502" t="s">
        <v>2249</v>
      </c>
      <c r="B502">
        <v>-4142</v>
      </c>
      <c r="C502">
        <v>16777215</v>
      </c>
      <c r="D502">
        <v>6299648</v>
      </c>
    </row>
    <row r="503" spans="1:4" x14ac:dyDescent="0.35">
      <c r="A503" t="s">
        <v>2250</v>
      </c>
      <c r="B503">
        <v>-4142</v>
      </c>
      <c r="C503">
        <v>16777215</v>
      </c>
      <c r="D503">
        <v>0</v>
      </c>
    </row>
    <row r="504" spans="1:4" x14ac:dyDescent="0.35">
      <c r="A504" t="s">
        <v>2251</v>
      </c>
      <c r="B504">
        <v>-4142</v>
      </c>
      <c r="C504">
        <v>16777215</v>
      </c>
      <c r="D504">
        <v>0</v>
      </c>
    </row>
    <row r="505" spans="1:4" x14ac:dyDescent="0.35">
      <c r="A505" t="s">
        <v>2252</v>
      </c>
      <c r="B505">
        <v>-4142</v>
      </c>
      <c r="C505">
        <v>16777215</v>
      </c>
      <c r="D505">
        <v>0</v>
      </c>
    </row>
    <row r="506" spans="1:4" x14ac:dyDescent="0.35">
      <c r="A506" t="s">
        <v>2253</v>
      </c>
      <c r="B506">
        <v>-4142</v>
      </c>
      <c r="C506">
        <v>16777215</v>
      </c>
      <c r="D506">
        <v>0</v>
      </c>
    </row>
    <row r="507" spans="1:4" x14ac:dyDescent="0.35">
      <c r="A507" t="s">
        <v>2254</v>
      </c>
      <c r="B507">
        <v>-4142</v>
      </c>
      <c r="C507">
        <v>16777215</v>
      </c>
      <c r="D507">
        <v>0</v>
      </c>
    </row>
    <row r="508" spans="1:4" x14ac:dyDescent="0.35">
      <c r="A508" t="s">
        <v>2255</v>
      </c>
      <c r="B508">
        <v>-4142</v>
      </c>
      <c r="C508">
        <v>16777215</v>
      </c>
      <c r="D508">
        <v>0</v>
      </c>
    </row>
    <row r="509" spans="1:4" x14ac:dyDescent="0.35">
      <c r="A509" t="s">
        <v>2256</v>
      </c>
      <c r="B509">
        <v>-4142</v>
      </c>
      <c r="C509">
        <v>16777215</v>
      </c>
      <c r="D509">
        <v>0</v>
      </c>
    </row>
    <row r="510" spans="1:4" x14ac:dyDescent="0.35">
      <c r="A510" t="s">
        <v>2257</v>
      </c>
      <c r="B510">
        <v>-4142</v>
      </c>
      <c r="C510">
        <v>16777215</v>
      </c>
      <c r="D510">
        <v>0</v>
      </c>
    </row>
    <row r="511" spans="1:4" x14ac:dyDescent="0.35">
      <c r="A511" t="s">
        <v>2258</v>
      </c>
      <c r="B511">
        <v>-4142</v>
      </c>
      <c r="C511">
        <v>16777215</v>
      </c>
      <c r="D511">
        <v>0</v>
      </c>
    </row>
    <row r="512" spans="1:4" x14ac:dyDescent="0.35">
      <c r="A512" t="s">
        <v>2259</v>
      </c>
      <c r="B512">
        <v>-4142</v>
      </c>
      <c r="C512">
        <v>16777215</v>
      </c>
      <c r="D512">
        <v>0</v>
      </c>
    </row>
    <row r="513" spans="1:4" x14ac:dyDescent="0.35">
      <c r="A513" t="s">
        <v>2260</v>
      </c>
      <c r="B513">
        <v>-4142</v>
      </c>
      <c r="C513">
        <v>16777215</v>
      </c>
      <c r="D513">
        <v>0</v>
      </c>
    </row>
    <row r="514" spans="1:4" x14ac:dyDescent="0.35">
      <c r="A514" t="s">
        <v>2261</v>
      </c>
      <c r="B514">
        <v>-4142</v>
      </c>
      <c r="C514">
        <v>16777215</v>
      </c>
      <c r="D514">
        <v>0</v>
      </c>
    </row>
    <row r="515" spans="1:4" x14ac:dyDescent="0.35">
      <c r="A515" t="s">
        <v>2629</v>
      </c>
      <c r="B515">
        <v>-4142</v>
      </c>
      <c r="C515">
        <v>16777215</v>
      </c>
      <c r="D515">
        <v>0</v>
      </c>
    </row>
    <row r="516" spans="1:4" x14ac:dyDescent="0.35">
      <c r="A516" t="s">
        <v>2630</v>
      </c>
      <c r="B516">
        <v>-4142</v>
      </c>
      <c r="C516">
        <v>16777215</v>
      </c>
      <c r="D516">
        <v>0</v>
      </c>
    </row>
    <row r="517" spans="1:4" x14ac:dyDescent="0.35">
      <c r="A517" t="s">
        <v>2631</v>
      </c>
      <c r="B517">
        <v>-4142</v>
      </c>
      <c r="C517">
        <v>16777215</v>
      </c>
      <c r="D517">
        <v>0</v>
      </c>
    </row>
    <row r="518" spans="1:4" x14ac:dyDescent="0.35">
      <c r="A518" t="s">
        <v>2632</v>
      </c>
      <c r="B518">
        <v>-4142</v>
      </c>
      <c r="C518">
        <v>16777215</v>
      </c>
      <c r="D518">
        <v>0</v>
      </c>
    </row>
    <row r="519" spans="1:4" x14ac:dyDescent="0.35">
      <c r="A519" t="s">
        <v>2633</v>
      </c>
      <c r="B519">
        <v>-4142</v>
      </c>
      <c r="C519">
        <v>16777215</v>
      </c>
      <c r="D519">
        <v>0</v>
      </c>
    </row>
    <row r="520" spans="1:4" x14ac:dyDescent="0.35">
      <c r="A520" t="s">
        <v>2634</v>
      </c>
      <c r="B520">
        <v>-4142</v>
      </c>
      <c r="C520">
        <v>16777215</v>
      </c>
      <c r="D520">
        <v>0</v>
      </c>
    </row>
    <row r="521" spans="1:4" x14ac:dyDescent="0.35">
      <c r="A521" t="s">
        <v>2635</v>
      </c>
      <c r="B521">
        <v>-4142</v>
      </c>
      <c r="C521">
        <v>16777215</v>
      </c>
      <c r="D521">
        <v>0</v>
      </c>
    </row>
    <row r="522" spans="1:4" x14ac:dyDescent="0.35">
      <c r="A522" t="s">
        <v>2636</v>
      </c>
      <c r="B522">
        <v>-4142</v>
      </c>
      <c r="C522">
        <v>16777215</v>
      </c>
      <c r="D522">
        <v>0</v>
      </c>
    </row>
    <row r="523" spans="1:4" x14ac:dyDescent="0.35">
      <c r="A523" t="s">
        <v>2262</v>
      </c>
      <c r="B523">
        <v>-4142</v>
      </c>
      <c r="C523">
        <v>16777215</v>
      </c>
      <c r="D523">
        <v>0</v>
      </c>
    </row>
    <row r="524" spans="1:4" x14ac:dyDescent="0.35">
      <c r="A524" t="s">
        <v>2263</v>
      </c>
      <c r="B524">
        <v>-4142</v>
      </c>
      <c r="C524">
        <v>16777215</v>
      </c>
      <c r="D524">
        <v>0</v>
      </c>
    </row>
    <row r="525" spans="1:4" x14ac:dyDescent="0.35">
      <c r="A525" t="s">
        <v>2264</v>
      </c>
      <c r="B525">
        <v>-4142</v>
      </c>
      <c r="C525">
        <v>16777215</v>
      </c>
      <c r="D525">
        <v>0</v>
      </c>
    </row>
    <row r="526" spans="1:4" x14ac:dyDescent="0.35">
      <c r="A526" t="s">
        <v>2265</v>
      </c>
      <c r="B526">
        <v>-4142</v>
      </c>
      <c r="C526">
        <v>16777215</v>
      </c>
      <c r="D526">
        <v>0</v>
      </c>
    </row>
    <row r="527" spans="1:4" x14ac:dyDescent="0.35">
      <c r="A527" t="s">
        <v>2266</v>
      </c>
      <c r="B527">
        <v>-4142</v>
      </c>
      <c r="C527">
        <v>16777215</v>
      </c>
      <c r="D527">
        <v>0</v>
      </c>
    </row>
    <row r="528" spans="1:4" x14ac:dyDescent="0.35">
      <c r="A528" t="s">
        <v>2267</v>
      </c>
      <c r="B528">
        <v>-4142</v>
      </c>
      <c r="C528">
        <v>16777215</v>
      </c>
      <c r="D528">
        <v>0</v>
      </c>
    </row>
    <row r="529" spans="1:4" x14ac:dyDescent="0.35">
      <c r="A529" t="s">
        <v>2268</v>
      </c>
      <c r="B529">
        <v>-4142</v>
      </c>
      <c r="C529">
        <v>16777215</v>
      </c>
      <c r="D529">
        <v>6299648</v>
      </c>
    </row>
    <row r="530" spans="1:4" x14ac:dyDescent="0.35">
      <c r="A530" t="s">
        <v>2269</v>
      </c>
      <c r="B530">
        <v>-4142</v>
      </c>
      <c r="C530">
        <v>16777215</v>
      </c>
      <c r="D530">
        <v>6299648</v>
      </c>
    </row>
    <row r="531" spans="1:4" x14ac:dyDescent="0.35">
      <c r="A531" t="s">
        <v>2270</v>
      </c>
      <c r="B531">
        <v>-4142</v>
      </c>
      <c r="C531">
        <v>16777215</v>
      </c>
      <c r="D531">
        <v>6299648</v>
      </c>
    </row>
    <row r="532" spans="1:4" x14ac:dyDescent="0.35">
      <c r="A532" t="s">
        <v>2271</v>
      </c>
      <c r="B532">
        <v>-4142</v>
      </c>
      <c r="C532">
        <v>16777215</v>
      </c>
      <c r="D532">
        <v>0</v>
      </c>
    </row>
    <row r="533" spans="1:4" x14ac:dyDescent="0.35">
      <c r="A533" t="s">
        <v>2272</v>
      </c>
      <c r="B533">
        <v>-4142</v>
      </c>
      <c r="C533">
        <v>16777215</v>
      </c>
      <c r="D533">
        <v>0</v>
      </c>
    </row>
    <row r="534" spans="1:4" x14ac:dyDescent="0.35">
      <c r="A534" t="s">
        <v>2273</v>
      </c>
      <c r="B534">
        <v>-4142</v>
      </c>
      <c r="C534">
        <v>16777215</v>
      </c>
      <c r="D534">
        <v>0</v>
      </c>
    </row>
    <row r="535" spans="1:4" x14ac:dyDescent="0.35">
      <c r="A535" t="s">
        <v>2274</v>
      </c>
      <c r="B535">
        <v>-4142</v>
      </c>
      <c r="C535">
        <v>16777215</v>
      </c>
      <c r="D535">
        <v>0</v>
      </c>
    </row>
    <row r="536" spans="1:4" x14ac:dyDescent="0.35">
      <c r="A536" t="s">
        <v>2275</v>
      </c>
      <c r="B536">
        <v>-4142</v>
      </c>
      <c r="C536">
        <v>16777215</v>
      </c>
      <c r="D536">
        <v>0</v>
      </c>
    </row>
    <row r="537" spans="1:4" x14ac:dyDescent="0.35">
      <c r="A537" t="s">
        <v>2276</v>
      </c>
      <c r="B537">
        <v>-4142</v>
      </c>
      <c r="C537">
        <v>16777215</v>
      </c>
      <c r="D537">
        <v>0</v>
      </c>
    </row>
    <row r="538" spans="1:4" x14ac:dyDescent="0.35">
      <c r="A538" t="s">
        <v>2277</v>
      </c>
      <c r="B538">
        <v>-4142</v>
      </c>
      <c r="C538">
        <v>16777215</v>
      </c>
      <c r="D538">
        <v>0</v>
      </c>
    </row>
    <row r="539" spans="1:4" x14ac:dyDescent="0.35">
      <c r="A539" t="s">
        <v>2278</v>
      </c>
      <c r="B539">
        <v>-4142</v>
      </c>
      <c r="C539">
        <v>16777215</v>
      </c>
      <c r="D539">
        <v>0</v>
      </c>
    </row>
    <row r="540" spans="1:4" x14ac:dyDescent="0.35">
      <c r="A540" t="s">
        <v>2279</v>
      </c>
      <c r="B540">
        <v>-4142</v>
      </c>
      <c r="C540">
        <v>16777215</v>
      </c>
      <c r="D540">
        <v>0</v>
      </c>
    </row>
    <row r="541" spans="1:4" x14ac:dyDescent="0.35">
      <c r="A541" t="s">
        <v>2280</v>
      </c>
      <c r="B541">
        <v>-4142</v>
      </c>
      <c r="C541">
        <v>16777215</v>
      </c>
      <c r="D541">
        <v>0</v>
      </c>
    </row>
    <row r="542" spans="1:4" x14ac:dyDescent="0.35">
      <c r="A542" t="s">
        <v>2281</v>
      </c>
      <c r="B542">
        <v>-4142</v>
      </c>
      <c r="C542">
        <v>16777215</v>
      </c>
      <c r="D542">
        <v>0</v>
      </c>
    </row>
    <row r="543" spans="1:4" x14ac:dyDescent="0.35">
      <c r="A543" t="s">
        <v>2282</v>
      </c>
      <c r="B543">
        <v>-4142</v>
      </c>
      <c r="C543">
        <v>16777215</v>
      </c>
      <c r="D543">
        <v>0</v>
      </c>
    </row>
    <row r="544" spans="1:4" x14ac:dyDescent="0.35">
      <c r="A544" t="s">
        <v>2637</v>
      </c>
      <c r="B544">
        <v>-4142</v>
      </c>
      <c r="C544">
        <v>16777215</v>
      </c>
      <c r="D544">
        <v>0</v>
      </c>
    </row>
    <row r="545" spans="1:4" x14ac:dyDescent="0.35">
      <c r="A545" t="s">
        <v>2638</v>
      </c>
      <c r="B545">
        <v>-4142</v>
      </c>
      <c r="C545">
        <v>16777215</v>
      </c>
      <c r="D545">
        <v>0</v>
      </c>
    </row>
    <row r="546" spans="1:4" x14ac:dyDescent="0.35">
      <c r="A546" t="s">
        <v>2639</v>
      </c>
      <c r="B546">
        <v>-4142</v>
      </c>
      <c r="C546">
        <v>16777215</v>
      </c>
      <c r="D546">
        <v>0</v>
      </c>
    </row>
    <row r="547" spans="1:4" x14ac:dyDescent="0.35">
      <c r="A547" t="s">
        <v>2640</v>
      </c>
      <c r="B547">
        <v>-4142</v>
      </c>
      <c r="C547">
        <v>16777215</v>
      </c>
      <c r="D547">
        <v>0</v>
      </c>
    </row>
    <row r="548" spans="1:4" x14ac:dyDescent="0.35">
      <c r="A548" t="s">
        <v>2641</v>
      </c>
      <c r="B548">
        <v>-4142</v>
      </c>
      <c r="C548">
        <v>16777215</v>
      </c>
      <c r="D548">
        <v>0</v>
      </c>
    </row>
    <row r="549" spans="1:4" x14ac:dyDescent="0.35">
      <c r="A549" t="s">
        <v>2642</v>
      </c>
      <c r="B549">
        <v>-4142</v>
      </c>
      <c r="C549">
        <v>16777215</v>
      </c>
      <c r="D549">
        <v>0</v>
      </c>
    </row>
    <row r="550" spans="1:4" x14ac:dyDescent="0.35">
      <c r="A550" t="s">
        <v>2643</v>
      </c>
      <c r="B550">
        <v>-4142</v>
      </c>
      <c r="C550">
        <v>16777215</v>
      </c>
      <c r="D550">
        <v>0</v>
      </c>
    </row>
    <row r="551" spans="1:4" x14ac:dyDescent="0.35">
      <c r="A551" t="s">
        <v>2644</v>
      </c>
      <c r="B551">
        <v>-4142</v>
      </c>
      <c r="C551">
        <v>16777215</v>
      </c>
      <c r="D551">
        <v>0</v>
      </c>
    </row>
    <row r="552" spans="1:4" x14ac:dyDescent="0.35">
      <c r="A552" t="s">
        <v>2283</v>
      </c>
      <c r="B552">
        <v>-4142</v>
      </c>
      <c r="C552">
        <v>16777215</v>
      </c>
      <c r="D552">
        <v>0</v>
      </c>
    </row>
    <row r="553" spans="1:4" x14ac:dyDescent="0.35">
      <c r="A553" t="s">
        <v>2284</v>
      </c>
      <c r="B553">
        <v>-4142</v>
      </c>
      <c r="C553">
        <v>16777215</v>
      </c>
      <c r="D553">
        <v>0</v>
      </c>
    </row>
    <row r="554" spans="1:4" x14ac:dyDescent="0.35">
      <c r="A554" t="s">
        <v>2285</v>
      </c>
      <c r="B554">
        <v>-4142</v>
      </c>
      <c r="C554">
        <v>16777215</v>
      </c>
      <c r="D554">
        <v>0</v>
      </c>
    </row>
    <row r="555" spans="1:4" x14ac:dyDescent="0.35">
      <c r="A555" t="s">
        <v>2286</v>
      </c>
      <c r="B555">
        <v>-4142</v>
      </c>
      <c r="C555">
        <v>16777215</v>
      </c>
      <c r="D555">
        <v>0</v>
      </c>
    </row>
    <row r="556" spans="1:4" x14ac:dyDescent="0.35">
      <c r="A556" t="s">
        <v>2287</v>
      </c>
      <c r="B556">
        <v>-4142</v>
      </c>
      <c r="C556">
        <v>16777215</v>
      </c>
      <c r="D556">
        <v>0</v>
      </c>
    </row>
    <row r="557" spans="1:4" x14ac:dyDescent="0.35">
      <c r="A557" t="s">
        <v>2288</v>
      </c>
      <c r="B557">
        <v>-4142</v>
      </c>
      <c r="C557">
        <v>16777215</v>
      </c>
      <c r="D557">
        <v>0</v>
      </c>
    </row>
    <row r="558" spans="1:4" x14ac:dyDescent="0.35">
      <c r="A558" t="s">
        <v>2289</v>
      </c>
      <c r="B558">
        <v>-4142</v>
      </c>
      <c r="C558">
        <v>16777215</v>
      </c>
      <c r="D558">
        <v>6299648</v>
      </c>
    </row>
    <row r="559" spans="1:4" x14ac:dyDescent="0.35">
      <c r="A559" t="s">
        <v>2290</v>
      </c>
      <c r="B559">
        <v>-4142</v>
      </c>
      <c r="C559">
        <v>16777215</v>
      </c>
      <c r="D559">
        <v>6299648</v>
      </c>
    </row>
    <row r="560" spans="1:4" x14ac:dyDescent="0.35">
      <c r="A560" t="s">
        <v>2291</v>
      </c>
      <c r="B560">
        <v>-4142</v>
      </c>
      <c r="C560">
        <v>16777215</v>
      </c>
      <c r="D560">
        <v>6299648</v>
      </c>
    </row>
    <row r="561" spans="1:4" x14ac:dyDescent="0.35">
      <c r="A561" t="s">
        <v>2292</v>
      </c>
      <c r="B561">
        <v>-4142</v>
      </c>
      <c r="C561">
        <v>16777215</v>
      </c>
      <c r="D561">
        <v>0</v>
      </c>
    </row>
    <row r="562" spans="1:4" x14ac:dyDescent="0.35">
      <c r="A562" t="s">
        <v>2293</v>
      </c>
      <c r="B562">
        <v>-4142</v>
      </c>
      <c r="C562">
        <v>16777215</v>
      </c>
      <c r="D562">
        <v>0</v>
      </c>
    </row>
    <row r="563" spans="1:4" x14ac:dyDescent="0.35">
      <c r="A563" t="s">
        <v>2294</v>
      </c>
      <c r="B563">
        <v>-4142</v>
      </c>
      <c r="C563">
        <v>16777215</v>
      </c>
      <c r="D563">
        <v>0</v>
      </c>
    </row>
    <row r="564" spans="1:4" x14ac:dyDescent="0.35">
      <c r="A564" t="s">
        <v>2295</v>
      </c>
      <c r="B564">
        <v>-4142</v>
      </c>
      <c r="C564">
        <v>16777215</v>
      </c>
      <c r="D564">
        <v>0</v>
      </c>
    </row>
    <row r="565" spans="1:4" x14ac:dyDescent="0.35">
      <c r="A565" t="s">
        <v>2296</v>
      </c>
      <c r="B565">
        <v>-4142</v>
      </c>
      <c r="C565">
        <v>16777215</v>
      </c>
      <c r="D565">
        <v>0</v>
      </c>
    </row>
    <row r="566" spans="1:4" x14ac:dyDescent="0.35">
      <c r="A566" t="s">
        <v>2297</v>
      </c>
      <c r="B566">
        <v>-4142</v>
      </c>
      <c r="C566">
        <v>16777215</v>
      </c>
      <c r="D566">
        <v>0</v>
      </c>
    </row>
    <row r="567" spans="1:4" x14ac:dyDescent="0.35">
      <c r="A567" t="s">
        <v>2298</v>
      </c>
      <c r="B567">
        <v>-4142</v>
      </c>
      <c r="C567">
        <v>16777215</v>
      </c>
      <c r="D567">
        <v>0</v>
      </c>
    </row>
    <row r="568" spans="1:4" x14ac:dyDescent="0.35">
      <c r="A568" t="s">
        <v>2299</v>
      </c>
      <c r="B568">
        <v>-4142</v>
      </c>
      <c r="C568">
        <v>16777215</v>
      </c>
      <c r="D568">
        <v>0</v>
      </c>
    </row>
    <row r="569" spans="1:4" x14ac:dyDescent="0.35">
      <c r="A569" t="s">
        <v>2300</v>
      </c>
      <c r="B569">
        <v>-4142</v>
      </c>
      <c r="C569">
        <v>16777215</v>
      </c>
      <c r="D569">
        <v>0</v>
      </c>
    </row>
    <row r="570" spans="1:4" x14ac:dyDescent="0.35">
      <c r="A570" t="s">
        <v>2301</v>
      </c>
      <c r="B570">
        <v>-4142</v>
      </c>
      <c r="C570">
        <v>16777215</v>
      </c>
      <c r="D570">
        <v>0</v>
      </c>
    </row>
    <row r="571" spans="1:4" x14ac:dyDescent="0.35">
      <c r="A571" t="s">
        <v>2302</v>
      </c>
      <c r="B571">
        <v>-4142</v>
      </c>
      <c r="C571">
        <v>16777215</v>
      </c>
      <c r="D571">
        <v>0</v>
      </c>
    </row>
    <row r="572" spans="1:4" x14ac:dyDescent="0.35">
      <c r="A572" t="s">
        <v>2303</v>
      </c>
      <c r="B572">
        <v>-4142</v>
      </c>
      <c r="C572">
        <v>16777215</v>
      </c>
      <c r="D572">
        <v>0</v>
      </c>
    </row>
    <row r="573" spans="1:4" x14ac:dyDescent="0.35">
      <c r="A573" t="s">
        <v>2645</v>
      </c>
      <c r="B573">
        <v>-4142</v>
      </c>
      <c r="C573">
        <v>16777215</v>
      </c>
      <c r="D573">
        <v>0</v>
      </c>
    </row>
    <row r="574" spans="1:4" x14ac:dyDescent="0.35">
      <c r="A574" t="s">
        <v>2646</v>
      </c>
      <c r="B574">
        <v>-4142</v>
      </c>
      <c r="C574">
        <v>16777215</v>
      </c>
      <c r="D574">
        <v>0</v>
      </c>
    </row>
    <row r="575" spans="1:4" x14ac:dyDescent="0.35">
      <c r="A575" t="s">
        <v>2647</v>
      </c>
      <c r="B575">
        <v>-4142</v>
      </c>
      <c r="C575">
        <v>16777215</v>
      </c>
      <c r="D575">
        <v>0</v>
      </c>
    </row>
    <row r="576" spans="1:4" x14ac:dyDescent="0.35">
      <c r="A576" t="s">
        <v>2648</v>
      </c>
      <c r="B576">
        <v>-4142</v>
      </c>
      <c r="C576">
        <v>16777215</v>
      </c>
      <c r="D576">
        <v>0</v>
      </c>
    </row>
    <row r="577" spans="1:4" x14ac:dyDescent="0.35">
      <c r="A577" t="s">
        <v>2649</v>
      </c>
      <c r="B577">
        <v>-4142</v>
      </c>
      <c r="C577">
        <v>16777215</v>
      </c>
      <c r="D577">
        <v>0</v>
      </c>
    </row>
    <row r="578" spans="1:4" x14ac:dyDescent="0.35">
      <c r="A578" t="s">
        <v>2650</v>
      </c>
      <c r="B578">
        <v>-4142</v>
      </c>
      <c r="C578">
        <v>16777215</v>
      </c>
      <c r="D578">
        <v>0</v>
      </c>
    </row>
    <row r="579" spans="1:4" x14ac:dyDescent="0.35">
      <c r="A579" t="s">
        <v>2651</v>
      </c>
      <c r="B579">
        <v>-4142</v>
      </c>
      <c r="C579">
        <v>16777215</v>
      </c>
      <c r="D579">
        <v>0</v>
      </c>
    </row>
    <row r="580" spans="1:4" x14ac:dyDescent="0.35">
      <c r="A580" t="s">
        <v>2652</v>
      </c>
      <c r="B580">
        <v>-4142</v>
      </c>
      <c r="C580">
        <v>16777215</v>
      </c>
      <c r="D580">
        <v>0</v>
      </c>
    </row>
    <row r="581" spans="1:4" x14ac:dyDescent="0.35">
      <c r="A581" t="s">
        <v>2304</v>
      </c>
      <c r="B581">
        <v>-4142</v>
      </c>
      <c r="C581">
        <v>16777215</v>
      </c>
      <c r="D581">
        <v>0</v>
      </c>
    </row>
    <row r="582" spans="1:4" x14ac:dyDescent="0.35">
      <c r="A582" t="s">
        <v>2305</v>
      </c>
      <c r="B582">
        <v>-4142</v>
      </c>
      <c r="C582">
        <v>16777215</v>
      </c>
      <c r="D582">
        <v>0</v>
      </c>
    </row>
    <row r="583" spans="1:4" x14ac:dyDescent="0.35">
      <c r="A583" t="s">
        <v>2306</v>
      </c>
      <c r="B583">
        <v>-4142</v>
      </c>
      <c r="C583">
        <v>16777215</v>
      </c>
      <c r="D583">
        <v>0</v>
      </c>
    </row>
    <row r="584" spans="1:4" x14ac:dyDescent="0.35">
      <c r="A584" t="s">
        <v>2307</v>
      </c>
      <c r="B584">
        <v>-4142</v>
      </c>
      <c r="C584">
        <v>16777215</v>
      </c>
      <c r="D584">
        <v>0</v>
      </c>
    </row>
    <row r="585" spans="1:4" x14ac:dyDescent="0.35">
      <c r="A585" t="s">
        <v>2308</v>
      </c>
      <c r="B585">
        <v>-4142</v>
      </c>
      <c r="C585">
        <v>16777215</v>
      </c>
      <c r="D585">
        <v>0</v>
      </c>
    </row>
    <row r="586" spans="1:4" x14ac:dyDescent="0.35">
      <c r="A586" t="s">
        <v>2309</v>
      </c>
      <c r="B586">
        <v>-4142</v>
      </c>
      <c r="C586">
        <v>16777215</v>
      </c>
      <c r="D586">
        <v>0</v>
      </c>
    </row>
    <row r="587" spans="1:4" x14ac:dyDescent="0.35">
      <c r="A587" t="s">
        <v>2310</v>
      </c>
      <c r="B587">
        <v>-4142</v>
      </c>
      <c r="C587">
        <v>16777215</v>
      </c>
      <c r="D587">
        <v>6299648</v>
      </c>
    </row>
    <row r="588" spans="1:4" x14ac:dyDescent="0.35">
      <c r="A588" t="s">
        <v>2311</v>
      </c>
      <c r="B588">
        <v>-4142</v>
      </c>
      <c r="C588">
        <v>16777215</v>
      </c>
      <c r="D588">
        <v>6299648</v>
      </c>
    </row>
    <row r="589" spans="1:4" x14ac:dyDescent="0.35">
      <c r="A589" t="s">
        <v>2312</v>
      </c>
      <c r="B589">
        <v>-4142</v>
      </c>
      <c r="C589">
        <v>16777215</v>
      </c>
      <c r="D589">
        <v>6299648</v>
      </c>
    </row>
    <row r="590" spans="1:4" x14ac:dyDescent="0.35">
      <c r="A590" t="s">
        <v>2313</v>
      </c>
      <c r="B590">
        <v>-4142</v>
      </c>
      <c r="C590">
        <v>16777215</v>
      </c>
      <c r="D590">
        <v>0</v>
      </c>
    </row>
    <row r="591" spans="1:4" x14ac:dyDescent="0.35">
      <c r="A591" t="s">
        <v>2314</v>
      </c>
      <c r="B591">
        <v>-4142</v>
      </c>
      <c r="C591">
        <v>16777215</v>
      </c>
      <c r="D591">
        <v>0</v>
      </c>
    </row>
    <row r="592" spans="1:4" x14ac:dyDescent="0.35">
      <c r="A592" t="s">
        <v>2315</v>
      </c>
      <c r="B592">
        <v>-4142</v>
      </c>
      <c r="C592">
        <v>16777215</v>
      </c>
      <c r="D592">
        <v>0</v>
      </c>
    </row>
    <row r="593" spans="1:4" x14ac:dyDescent="0.35">
      <c r="A593" t="s">
        <v>2316</v>
      </c>
      <c r="B593">
        <v>-4142</v>
      </c>
      <c r="C593">
        <v>16777215</v>
      </c>
      <c r="D593">
        <v>0</v>
      </c>
    </row>
    <row r="594" spans="1:4" x14ac:dyDescent="0.35">
      <c r="A594" t="s">
        <v>2317</v>
      </c>
      <c r="B594">
        <v>-4142</v>
      </c>
      <c r="C594">
        <v>16777215</v>
      </c>
      <c r="D594">
        <v>0</v>
      </c>
    </row>
    <row r="595" spans="1:4" x14ac:dyDescent="0.35">
      <c r="A595" t="s">
        <v>2318</v>
      </c>
      <c r="B595">
        <v>-4142</v>
      </c>
      <c r="C595">
        <v>16777215</v>
      </c>
      <c r="D595">
        <v>0</v>
      </c>
    </row>
    <row r="596" spans="1:4" x14ac:dyDescent="0.35">
      <c r="A596" t="s">
        <v>2319</v>
      </c>
      <c r="B596">
        <v>-4142</v>
      </c>
      <c r="C596">
        <v>16777215</v>
      </c>
      <c r="D596">
        <v>0</v>
      </c>
    </row>
    <row r="597" spans="1:4" x14ac:dyDescent="0.35">
      <c r="A597" t="s">
        <v>2320</v>
      </c>
      <c r="B597">
        <v>-4142</v>
      </c>
      <c r="C597">
        <v>16777215</v>
      </c>
      <c r="D597">
        <v>0</v>
      </c>
    </row>
    <row r="598" spans="1:4" x14ac:dyDescent="0.35">
      <c r="A598" t="s">
        <v>2321</v>
      </c>
      <c r="B598">
        <v>-4142</v>
      </c>
      <c r="C598">
        <v>16777215</v>
      </c>
      <c r="D598">
        <v>0</v>
      </c>
    </row>
    <row r="599" spans="1:4" x14ac:dyDescent="0.35">
      <c r="A599" t="s">
        <v>2322</v>
      </c>
      <c r="B599">
        <v>-4142</v>
      </c>
      <c r="C599">
        <v>16777215</v>
      </c>
      <c r="D599">
        <v>0</v>
      </c>
    </row>
    <row r="600" spans="1:4" x14ac:dyDescent="0.35">
      <c r="A600" t="s">
        <v>2323</v>
      </c>
      <c r="B600">
        <v>-4142</v>
      </c>
      <c r="C600">
        <v>16777215</v>
      </c>
      <c r="D600">
        <v>0</v>
      </c>
    </row>
    <row r="601" spans="1:4" x14ac:dyDescent="0.35">
      <c r="A601" t="s">
        <v>2324</v>
      </c>
      <c r="B601">
        <v>-4142</v>
      </c>
      <c r="C601">
        <v>16777215</v>
      </c>
      <c r="D601">
        <v>0</v>
      </c>
    </row>
    <row r="602" spans="1:4" x14ac:dyDescent="0.35">
      <c r="A602" t="s">
        <v>2653</v>
      </c>
      <c r="B602">
        <v>-4142</v>
      </c>
      <c r="C602">
        <v>16777215</v>
      </c>
      <c r="D602">
        <v>0</v>
      </c>
    </row>
    <row r="603" spans="1:4" x14ac:dyDescent="0.35">
      <c r="A603" t="s">
        <v>2654</v>
      </c>
      <c r="B603">
        <v>-4142</v>
      </c>
      <c r="C603">
        <v>16777215</v>
      </c>
      <c r="D603">
        <v>0</v>
      </c>
    </row>
    <row r="604" spans="1:4" x14ac:dyDescent="0.35">
      <c r="A604" t="s">
        <v>2655</v>
      </c>
      <c r="B604">
        <v>-4142</v>
      </c>
      <c r="C604">
        <v>16777215</v>
      </c>
      <c r="D604">
        <v>0</v>
      </c>
    </row>
    <row r="605" spans="1:4" x14ac:dyDescent="0.35">
      <c r="A605" t="s">
        <v>2656</v>
      </c>
      <c r="B605">
        <v>-4142</v>
      </c>
      <c r="C605">
        <v>16777215</v>
      </c>
      <c r="D605">
        <v>0</v>
      </c>
    </row>
    <row r="606" spans="1:4" x14ac:dyDescent="0.35">
      <c r="A606" t="s">
        <v>2657</v>
      </c>
      <c r="B606">
        <v>-4142</v>
      </c>
      <c r="C606">
        <v>16777215</v>
      </c>
      <c r="D606">
        <v>0</v>
      </c>
    </row>
    <row r="607" spans="1:4" x14ac:dyDescent="0.35">
      <c r="A607" t="s">
        <v>2658</v>
      </c>
      <c r="B607">
        <v>-4142</v>
      </c>
      <c r="C607">
        <v>16777215</v>
      </c>
      <c r="D607">
        <v>0</v>
      </c>
    </row>
    <row r="608" spans="1:4" x14ac:dyDescent="0.35">
      <c r="A608" t="s">
        <v>2659</v>
      </c>
      <c r="B608">
        <v>-4142</v>
      </c>
      <c r="C608">
        <v>16777215</v>
      </c>
      <c r="D608">
        <v>0</v>
      </c>
    </row>
    <row r="609" spans="1:4" x14ac:dyDescent="0.35">
      <c r="A609" t="s">
        <v>2660</v>
      </c>
      <c r="B609">
        <v>-4142</v>
      </c>
      <c r="C609">
        <v>16777215</v>
      </c>
      <c r="D609">
        <v>0</v>
      </c>
    </row>
    <row r="610" spans="1:4" x14ac:dyDescent="0.35">
      <c r="A610" t="s">
        <v>2325</v>
      </c>
      <c r="B610">
        <v>-4142</v>
      </c>
      <c r="C610">
        <v>16777215</v>
      </c>
      <c r="D610">
        <v>0</v>
      </c>
    </row>
    <row r="611" spans="1:4" x14ac:dyDescent="0.35">
      <c r="A611" t="s">
        <v>2326</v>
      </c>
      <c r="B611">
        <v>-4142</v>
      </c>
      <c r="C611">
        <v>16777215</v>
      </c>
      <c r="D611">
        <v>0</v>
      </c>
    </row>
    <row r="612" spans="1:4" x14ac:dyDescent="0.35">
      <c r="A612" t="s">
        <v>2327</v>
      </c>
      <c r="B612">
        <v>-4142</v>
      </c>
      <c r="C612">
        <v>16777215</v>
      </c>
      <c r="D612">
        <v>0</v>
      </c>
    </row>
    <row r="613" spans="1:4" x14ac:dyDescent="0.35">
      <c r="A613" t="s">
        <v>2328</v>
      </c>
      <c r="B613">
        <v>-4142</v>
      </c>
      <c r="C613">
        <v>16777215</v>
      </c>
      <c r="D613">
        <v>0</v>
      </c>
    </row>
    <row r="614" spans="1:4" x14ac:dyDescent="0.35">
      <c r="A614" t="s">
        <v>2329</v>
      </c>
      <c r="B614">
        <v>-4142</v>
      </c>
      <c r="C614">
        <v>16777215</v>
      </c>
      <c r="D614">
        <v>0</v>
      </c>
    </row>
    <row r="615" spans="1:4" x14ac:dyDescent="0.35">
      <c r="A615" t="s">
        <v>2330</v>
      </c>
      <c r="B615">
        <v>-4142</v>
      </c>
      <c r="C615">
        <v>16777215</v>
      </c>
      <c r="D615">
        <v>0</v>
      </c>
    </row>
    <row r="616" spans="1:4" x14ac:dyDescent="0.35">
      <c r="A616" t="s">
        <v>2331</v>
      </c>
      <c r="B616">
        <v>-4142</v>
      </c>
      <c r="C616">
        <v>16777215</v>
      </c>
      <c r="D616">
        <v>6299648</v>
      </c>
    </row>
    <row r="617" spans="1:4" x14ac:dyDescent="0.35">
      <c r="A617" t="s">
        <v>2332</v>
      </c>
      <c r="B617">
        <v>-4142</v>
      </c>
      <c r="C617">
        <v>16777215</v>
      </c>
      <c r="D617">
        <v>6299648</v>
      </c>
    </row>
    <row r="618" spans="1:4" x14ac:dyDescent="0.35">
      <c r="A618" t="s">
        <v>2333</v>
      </c>
      <c r="B618">
        <v>-4142</v>
      </c>
      <c r="C618">
        <v>16777215</v>
      </c>
      <c r="D618">
        <v>6299648</v>
      </c>
    </row>
    <row r="619" spans="1:4" x14ac:dyDescent="0.35">
      <c r="A619" t="s">
        <v>2334</v>
      </c>
      <c r="B619">
        <v>-4142</v>
      </c>
      <c r="C619">
        <v>16777215</v>
      </c>
      <c r="D619">
        <v>0</v>
      </c>
    </row>
    <row r="620" spans="1:4" x14ac:dyDescent="0.35">
      <c r="A620" t="s">
        <v>2335</v>
      </c>
      <c r="B620">
        <v>-4142</v>
      </c>
      <c r="C620">
        <v>16777215</v>
      </c>
      <c r="D620">
        <v>0</v>
      </c>
    </row>
    <row r="621" spans="1:4" x14ac:dyDescent="0.35">
      <c r="A621" t="s">
        <v>2336</v>
      </c>
      <c r="B621">
        <v>-4142</v>
      </c>
      <c r="C621">
        <v>16777215</v>
      </c>
      <c r="D621">
        <v>0</v>
      </c>
    </row>
    <row r="622" spans="1:4" x14ac:dyDescent="0.35">
      <c r="A622" t="s">
        <v>2337</v>
      </c>
      <c r="B622">
        <v>-4142</v>
      </c>
      <c r="C622">
        <v>16777215</v>
      </c>
      <c r="D622">
        <v>0</v>
      </c>
    </row>
    <row r="623" spans="1:4" x14ac:dyDescent="0.35">
      <c r="A623" t="s">
        <v>2338</v>
      </c>
      <c r="B623">
        <v>-4142</v>
      </c>
      <c r="C623">
        <v>16777215</v>
      </c>
      <c r="D623">
        <v>0</v>
      </c>
    </row>
    <row r="624" spans="1:4" x14ac:dyDescent="0.35">
      <c r="A624" t="s">
        <v>2339</v>
      </c>
      <c r="B624">
        <v>-4142</v>
      </c>
      <c r="C624">
        <v>16777215</v>
      </c>
      <c r="D624">
        <v>0</v>
      </c>
    </row>
    <row r="625" spans="1:4" x14ac:dyDescent="0.35">
      <c r="A625" t="s">
        <v>2340</v>
      </c>
      <c r="B625">
        <v>-4142</v>
      </c>
      <c r="C625">
        <v>16777215</v>
      </c>
      <c r="D625">
        <v>0</v>
      </c>
    </row>
    <row r="626" spans="1:4" x14ac:dyDescent="0.35">
      <c r="A626" t="s">
        <v>2341</v>
      </c>
      <c r="B626">
        <v>-4142</v>
      </c>
      <c r="C626">
        <v>16777215</v>
      </c>
      <c r="D626">
        <v>0</v>
      </c>
    </row>
    <row r="627" spans="1:4" x14ac:dyDescent="0.35">
      <c r="A627" t="s">
        <v>2342</v>
      </c>
      <c r="B627">
        <v>-4142</v>
      </c>
      <c r="C627">
        <v>16777215</v>
      </c>
      <c r="D627">
        <v>0</v>
      </c>
    </row>
    <row r="628" spans="1:4" x14ac:dyDescent="0.35">
      <c r="A628" t="s">
        <v>2343</v>
      </c>
      <c r="B628">
        <v>-4142</v>
      </c>
      <c r="C628">
        <v>16777215</v>
      </c>
      <c r="D628">
        <v>0</v>
      </c>
    </row>
    <row r="629" spans="1:4" x14ac:dyDescent="0.35">
      <c r="A629" t="s">
        <v>2344</v>
      </c>
      <c r="B629">
        <v>-4142</v>
      </c>
      <c r="C629">
        <v>16777215</v>
      </c>
      <c r="D629">
        <v>0</v>
      </c>
    </row>
    <row r="630" spans="1:4" x14ac:dyDescent="0.35">
      <c r="A630" t="s">
        <v>2345</v>
      </c>
      <c r="B630">
        <v>-4142</v>
      </c>
      <c r="C630">
        <v>16777215</v>
      </c>
      <c r="D630">
        <v>0</v>
      </c>
    </row>
    <row r="631" spans="1:4" x14ac:dyDescent="0.35">
      <c r="A631" t="s">
        <v>2661</v>
      </c>
      <c r="B631">
        <v>-4142</v>
      </c>
      <c r="C631">
        <v>16777215</v>
      </c>
      <c r="D631">
        <v>0</v>
      </c>
    </row>
    <row r="632" spans="1:4" x14ac:dyDescent="0.35">
      <c r="A632" t="s">
        <v>2662</v>
      </c>
      <c r="B632">
        <v>-4142</v>
      </c>
      <c r="C632">
        <v>16777215</v>
      </c>
      <c r="D632">
        <v>0</v>
      </c>
    </row>
    <row r="633" spans="1:4" x14ac:dyDescent="0.35">
      <c r="A633" t="s">
        <v>2663</v>
      </c>
      <c r="B633">
        <v>-4142</v>
      </c>
      <c r="C633">
        <v>16777215</v>
      </c>
      <c r="D633">
        <v>0</v>
      </c>
    </row>
    <row r="634" spans="1:4" x14ac:dyDescent="0.35">
      <c r="A634" t="s">
        <v>2664</v>
      </c>
      <c r="B634">
        <v>-4142</v>
      </c>
      <c r="C634">
        <v>16777215</v>
      </c>
      <c r="D634">
        <v>0</v>
      </c>
    </row>
    <row r="635" spans="1:4" x14ac:dyDescent="0.35">
      <c r="A635" t="s">
        <v>2665</v>
      </c>
      <c r="B635">
        <v>-4142</v>
      </c>
      <c r="C635">
        <v>16777215</v>
      </c>
      <c r="D635">
        <v>0</v>
      </c>
    </row>
    <row r="636" spans="1:4" x14ac:dyDescent="0.35">
      <c r="A636" t="s">
        <v>2666</v>
      </c>
      <c r="B636">
        <v>-4142</v>
      </c>
      <c r="C636">
        <v>16777215</v>
      </c>
      <c r="D636">
        <v>0</v>
      </c>
    </row>
    <row r="637" spans="1:4" x14ac:dyDescent="0.35">
      <c r="A637" t="s">
        <v>2667</v>
      </c>
      <c r="B637">
        <v>-4142</v>
      </c>
      <c r="C637">
        <v>16777215</v>
      </c>
      <c r="D637">
        <v>0</v>
      </c>
    </row>
    <row r="638" spans="1:4" x14ac:dyDescent="0.35">
      <c r="A638" t="s">
        <v>2668</v>
      </c>
      <c r="B638">
        <v>-4142</v>
      </c>
      <c r="C638">
        <v>16777215</v>
      </c>
      <c r="D638">
        <v>0</v>
      </c>
    </row>
    <row r="639" spans="1:4" x14ac:dyDescent="0.35">
      <c r="A639" t="s">
        <v>2346</v>
      </c>
      <c r="B639">
        <v>-4142</v>
      </c>
      <c r="C639">
        <v>16777215</v>
      </c>
      <c r="D639">
        <v>0</v>
      </c>
    </row>
    <row r="640" spans="1:4" x14ac:dyDescent="0.35">
      <c r="A640" t="s">
        <v>2347</v>
      </c>
      <c r="B640">
        <v>-4142</v>
      </c>
      <c r="C640">
        <v>16777215</v>
      </c>
      <c r="D640">
        <v>0</v>
      </c>
    </row>
    <row r="641" spans="1:4" x14ac:dyDescent="0.35">
      <c r="A641" t="s">
        <v>2348</v>
      </c>
      <c r="B641">
        <v>-4142</v>
      </c>
      <c r="C641">
        <v>16777215</v>
      </c>
      <c r="D641">
        <v>0</v>
      </c>
    </row>
    <row r="642" spans="1:4" x14ac:dyDescent="0.35">
      <c r="A642" t="s">
        <v>2349</v>
      </c>
      <c r="B642">
        <v>-4142</v>
      </c>
      <c r="C642">
        <v>16777215</v>
      </c>
      <c r="D642">
        <v>0</v>
      </c>
    </row>
    <row r="643" spans="1:4" x14ac:dyDescent="0.35">
      <c r="A643" t="s">
        <v>2350</v>
      </c>
      <c r="B643">
        <v>-4142</v>
      </c>
      <c r="C643">
        <v>16777215</v>
      </c>
      <c r="D643">
        <v>0</v>
      </c>
    </row>
    <row r="644" spans="1:4" x14ac:dyDescent="0.35">
      <c r="A644" t="s">
        <v>2351</v>
      </c>
      <c r="B644">
        <v>-4142</v>
      </c>
      <c r="C644">
        <v>16777215</v>
      </c>
      <c r="D644">
        <v>0</v>
      </c>
    </row>
    <row r="645" spans="1:4" x14ac:dyDescent="0.35">
      <c r="A645" t="s">
        <v>2352</v>
      </c>
      <c r="B645">
        <v>-4142</v>
      </c>
      <c r="C645">
        <v>16777215</v>
      </c>
      <c r="D645">
        <v>6299648</v>
      </c>
    </row>
    <row r="646" spans="1:4" x14ac:dyDescent="0.35">
      <c r="A646" t="s">
        <v>2353</v>
      </c>
      <c r="B646">
        <v>-4142</v>
      </c>
      <c r="C646">
        <v>16777215</v>
      </c>
      <c r="D646">
        <v>6299648</v>
      </c>
    </row>
    <row r="647" spans="1:4" x14ac:dyDescent="0.35">
      <c r="A647" t="s">
        <v>2354</v>
      </c>
      <c r="B647">
        <v>-4142</v>
      </c>
      <c r="C647">
        <v>16777215</v>
      </c>
      <c r="D647">
        <v>6299648</v>
      </c>
    </row>
    <row r="648" spans="1:4" x14ac:dyDescent="0.35">
      <c r="A648" t="s">
        <v>2355</v>
      </c>
      <c r="B648">
        <v>-4142</v>
      </c>
      <c r="C648">
        <v>16777215</v>
      </c>
      <c r="D648">
        <v>0</v>
      </c>
    </row>
    <row r="649" spans="1:4" x14ac:dyDescent="0.35">
      <c r="A649" t="s">
        <v>2356</v>
      </c>
      <c r="B649">
        <v>-4142</v>
      </c>
      <c r="C649">
        <v>16777215</v>
      </c>
      <c r="D649">
        <v>0</v>
      </c>
    </row>
    <row r="650" spans="1:4" x14ac:dyDescent="0.35">
      <c r="A650" t="s">
        <v>2357</v>
      </c>
      <c r="B650">
        <v>-4142</v>
      </c>
      <c r="C650">
        <v>16777215</v>
      </c>
      <c r="D650">
        <v>0</v>
      </c>
    </row>
    <row r="651" spans="1:4" x14ac:dyDescent="0.35">
      <c r="A651" t="s">
        <v>2358</v>
      </c>
      <c r="B651">
        <v>-4142</v>
      </c>
      <c r="C651">
        <v>16777215</v>
      </c>
      <c r="D651">
        <v>0</v>
      </c>
    </row>
    <row r="652" spans="1:4" x14ac:dyDescent="0.35">
      <c r="A652" t="s">
        <v>2359</v>
      </c>
      <c r="B652">
        <v>-4142</v>
      </c>
      <c r="C652">
        <v>16777215</v>
      </c>
      <c r="D652">
        <v>0</v>
      </c>
    </row>
    <row r="653" spans="1:4" x14ac:dyDescent="0.35">
      <c r="A653" t="s">
        <v>2360</v>
      </c>
      <c r="B653">
        <v>-4142</v>
      </c>
      <c r="C653">
        <v>16777215</v>
      </c>
      <c r="D653">
        <v>0</v>
      </c>
    </row>
    <row r="654" spans="1:4" x14ac:dyDescent="0.35">
      <c r="A654" t="s">
        <v>2361</v>
      </c>
      <c r="B654">
        <v>-4142</v>
      </c>
      <c r="C654">
        <v>16777215</v>
      </c>
      <c r="D654">
        <v>0</v>
      </c>
    </row>
    <row r="655" spans="1:4" x14ac:dyDescent="0.35">
      <c r="A655" t="s">
        <v>2362</v>
      </c>
      <c r="B655">
        <v>-4142</v>
      </c>
      <c r="C655">
        <v>16777215</v>
      </c>
      <c r="D655">
        <v>0</v>
      </c>
    </row>
    <row r="656" spans="1:4" x14ac:dyDescent="0.35">
      <c r="A656" t="s">
        <v>2363</v>
      </c>
      <c r="B656">
        <v>-4142</v>
      </c>
      <c r="C656">
        <v>16777215</v>
      </c>
      <c r="D656">
        <v>0</v>
      </c>
    </row>
    <row r="657" spans="1:4" x14ac:dyDescent="0.35">
      <c r="A657" t="s">
        <v>2364</v>
      </c>
      <c r="B657">
        <v>-4142</v>
      </c>
      <c r="C657">
        <v>16777215</v>
      </c>
      <c r="D657">
        <v>0</v>
      </c>
    </row>
    <row r="658" spans="1:4" x14ac:dyDescent="0.35">
      <c r="A658" t="s">
        <v>2365</v>
      </c>
      <c r="B658">
        <v>-4142</v>
      </c>
      <c r="C658">
        <v>16777215</v>
      </c>
      <c r="D658">
        <v>0</v>
      </c>
    </row>
    <row r="659" spans="1:4" x14ac:dyDescent="0.35">
      <c r="A659" t="s">
        <v>2366</v>
      </c>
      <c r="B659">
        <v>-4142</v>
      </c>
      <c r="C659">
        <v>16777215</v>
      </c>
      <c r="D659">
        <v>0</v>
      </c>
    </row>
    <row r="660" spans="1:4" x14ac:dyDescent="0.35">
      <c r="A660" t="s">
        <v>2669</v>
      </c>
      <c r="B660">
        <v>-4142</v>
      </c>
      <c r="C660">
        <v>16777215</v>
      </c>
      <c r="D660">
        <v>0</v>
      </c>
    </row>
    <row r="661" spans="1:4" x14ac:dyDescent="0.35">
      <c r="A661" t="s">
        <v>2670</v>
      </c>
      <c r="B661">
        <v>-4142</v>
      </c>
      <c r="C661">
        <v>16777215</v>
      </c>
      <c r="D661">
        <v>0</v>
      </c>
    </row>
    <row r="662" spans="1:4" x14ac:dyDescent="0.35">
      <c r="A662" t="s">
        <v>2671</v>
      </c>
      <c r="B662">
        <v>-4142</v>
      </c>
      <c r="C662">
        <v>16777215</v>
      </c>
      <c r="D662">
        <v>0</v>
      </c>
    </row>
    <row r="663" spans="1:4" x14ac:dyDescent="0.35">
      <c r="A663" t="s">
        <v>2672</v>
      </c>
      <c r="B663">
        <v>-4142</v>
      </c>
      <c r="C663">
        <v>16777215</v>
      </c>
      <c r="D663">
        <v>0</v>
      </c>
    </row>
    <row r="664" spans="1:4" x14ac:dyDescent="0.35">
      <c r="A664" t="s">
        <v>2673</v>
      </c>
      <c r="B664">
        <v>-4142</v>
      </c>
      <c r="C664">
        <v>16777215</v>
      </c>
      <c r="D664">
        <v>0</v>
      </c>
    </row>
    <row r="665" spans="1:4" x14ac:dyDescent="0.35">
      <c r="A665" t="s">
        <v>2674</v>
      </c>
      <c r="B665">
        <v>-4142</v>
      </c>
      <c r="C665">
        <v>16777215</v>
      </c>
      <c r="D665">
        <v>0</v>
      </c>
    </row>
    <row r="666" spans="1:4" x14ac:dyDescent="0.35">
      <c r="A666" t="s">
        <v>2675</v>
      </c>
      <c r="B666">
        <v>-4142</v>
      </c>
      <c r="C666">
        <v>16777215</v>
      </c>
      <c r="D666">
        <v>0</v>
      </c>
    </row>
    <row r="667" spans="1:4" x14ac:dyDescent="0.35">
      <c r="A667" t="s">
        <v>2676</v>
      </c>
      <c r="B667">
        <v>-4142</v>
      </c>
      <c r="C667">
        <v>16777215</v>
      </c>
      <c r="D667">
        <v>0</v>
      </c>
    </row>
    <row r="668" spans="1:4" x14ac:dyDescent="0.35">
      <c r="A668" t="s">
        <v>2367</v>
      </c>
      <c r="B668">
        <v>-4142</v>
      </c>
      <c r="C668">
        <v>16777215</v>
      </c>
      <c r="D668">
        <v>0</v>
      </c>
    </row>
    <row r="669" spans="1:4" x14ac:dyDescent="0.35">
      <c r="A669" t="s">
        <v>2368</v>
      </c>
      <c r="B669">
        <v>-4142</v>
      </c>
      <c r="C669">
        <v>16777215</v>
      </c>
      <c r="D669">
        <v>0</v>
      </c>
    </row>
    <row r="670" spans="1:4" x14ac:dyDescent="0.35">
      <c r="A670" t="s">
        <v>2369</v>
      </c>
      <c r="B670">
        <v>-4142</v>
      </c>
      <c r="C670">
        <v>16777215</v>
      </c>
      <c r="D670">
        <v>0</v>
      </c>
    </row>
    <row r="671" spans="1:4" x14ac:dyDescent="0.35">
      <c r="A671" t="s">
        <v>2370</v>
      </c>
      <c r="B671">
        <v>-4142</v>
      </c>
      <c r="C671">
        <v>16777215</v>
      </c>
      <c r="D671">
        <v>0</v>
      </c>
    </row>
    <row r="672" spans="1:4" x14ac:dyDescent="0.35">
      <c r="A672" t="s">
        <v>2371</v>
      </c>
      <c r="B672">
        <v>-4142</v>
      </c>
      <c r="C672">
        <v>16777215</v>
      </c>
      <c r="D672">
        <v>0</v>
      </c>
    </row>
    <row r="673" spans="1:4" x14ac:dyDescent="0.35">
      <c r="A673" t="s">
        <v>2372</v>
      </c>
      <c r="B673">
        <v>-4142</v>
      </c>
      <c r="C673">
        <v>16777215</v>
      </c>
      <c r="D673">
        <v>0</v>
      </c>
    </row>
    <row r="674" spans="1:4" x14ac:dyDescent="0.35">
      <c r="A674" t="s">
        <v>2373</v>
      </c>
      <c r="B674">
        <v>-4142</v>
      </c>
      <c r="C674">
        <v>16777215</v>
      </c>
      <c r="D674">
        <v>0</v>
      </c>
    </row>
    <row r="675" spans="1:4" x14ac:dyDescent="0.35">
      <c r="A675" t="s">
        <v>2374</v>
      </c>
      <c r="B675">
        <v>-4142</v>
      </c>
      <c r="C675">
        <v>16777215</v>
      </c>
      <c r="D675">
        <v>0</v>
      </c>
    </row>
    <row r="676" spans="1:4" x14ac:dyDescent="0.35">
      <c r="A676" t="s">
        <v>2375</v>
      </c>
      <c r="B676">
        <v>-4142</v>
      </c>
      <c r="C676">
        <v>16777215</v>
      </c>
      <c r="D676">
        <v>0</v>
      </c>
    </row>
    <row r="677" spans="1:4" x14ac:dyDescent="0.35">
      <c r="A677" t="s">
        <v>2376</v>
      </c>
      <c r="B677">
        <v>-4142</v>
      </c>
      <c r="C677">
        <v>16777215</v>
      </c>
      <c r="D677">
        <v>0</v>
      </c>
    </row>
    <row r="678" spans="1:4" x14ac:dyDescent="0.35">
      <c r="A678" t="s">
        <v>2377</v>
      </c>
      <c r="B678">
        <v>-4142</v>
      </c>
      <c r="C678">
        <v>16777215</v>
      </c>
      <c r="D678">
        <v>0</v>
      </c>
    </row>
    <row r="679" spans="1:4" x14ac:dyDescent="0.35">
      <c r="A679" t="s">
        <v>2378</v>
      </c>
      <c r="B679">
        <v>-4142</v>
      </c>
      <c r="C679">
        <v>16777215</v>
      </c>
      <c r="D679">
        <v>0</v>
      </c>
    </row>
    <row r="680" spans="1:4" x14ac:dyDescent="0.35">
      <c r="A680" t="s">
        <v>2379</v>
      </c>
      <c r="B680">
        <v>-4142</v>
      </c>
      <c r="C680">
        <v>16777215</v>
      </c>
      <c r="D680">
        <v>0</v>
      </c>
    </row>
    <row r="681" spans="1:4" x14ac:dyDescent="0.35">
      <c r="A681" t="s">
        <v>2380</v>
      </c>
      <c r="B681">
        <v>-4142</v>
      </c>
      <c r="C681">
        <v>16777215</v>
      </c>
      <c r="D681">
        <v>0</v>
      </c>
    </row>
    <row r="682" spans="1:4" x14ac:dyDescent="0.35">
      <c r="A682" t="s">
        <v>2381</v>
      </c>
      <c r="B682">
        <v>-4142</v>
      </c>
      <c r="C682">
        <v>16777215</v>
      </c>
      <c r="D682">
        <v>0</v>
      </c>
    </row>
    <row r="683" spans="1:4" x14ac:dyDescent="0.35">
      <c r="A683" t="s">
        <v>2382</v>
      </c>
      <c r="B683">
        <v>-4142</v>
      </c>
      <c r="C683">
        <v>16777215</v>
      </c>
      <c r="D683">
        <v>0</v>
      </c>
    </row>
    <row r="684" spans="1:4" x14ac:dyDescent="0.35">
      <c r="A684" t="s">
        <v>2383</v>
      </c>
      <c r="B684">
        <v>-4142</v>
      </c>
      <c r="C684">
        <v>16777215</v>
      </c>
      <c r="D684">
        <v>0</v>
      </c>
    </row>
    <row r="685" spans="1:4" x14ac:dyDescent="0.35">
      <c r="A685" t="s">
        <v>2384</v>
      </c>
      <c r="B685">
        <v>-4142</v>
      </c>
      <c r="C685">
        <v>16777215</v>
      </c>
      <c r="D685">
        <v>0</v>
      </c>
    </row>
    <row r="686" spans="1:4" x14ac:dyDescent="0.35">
      <c r="A686" t="s">
        <v>2385</v>
      </c>
      <c r="B686">
        <v>-4142</v>
      </c>
      <c r="C686">
        <v>16777215</v>
      </c>
      <c r="D686">
        <v>0</v>
      </c>
    </row>
    <row r="687" spans="1:4" x14ac:dyDescent="0.35">
      <c r="A687" t="s">
        <v>2386</v>
      </c>
      <c r="B687">
        <v>-4142</v>
      </c>
      <c r="C687">
        <v>16777215</v>
      </c>
      <c r="D687">
        <v>0</v>
      </c>
    </row>
    <row r="688" spans="1:4" x14ac:dyDescent="0.35">
      <c r="A688" t="s">
        <v>2387</v>
      </c>
      <c r="B688">
        <v>-4142</v>
      </c>
      <c r="C688">
        <v>16777215</v>
      </c>
      <c r="D688">
        <v>0</v>
      </c>
    </row>
    <row r="689" spans="1:4" x14ac:dyDescent="0.35">
      <c r="A689" t="s">
        <v>2677</v>
      </c>
      <c r="B689">
        <v>-4142</v>
      </c>
      <c r="C689">
        <v>16777215</v>
      </c>
      <c r="D689">
        <v>0</v>
      </c>
    </row>
    <row r="690" spans="1:4" x14ac:dyDescent="0.35">
      <c r="A690" t="s">
        <v>2678</v>
      </c>
      <c r="B690">
        <v>-4142</v>
      </c>
      <c r="C690">
        <v>16777215</v>
      </c>
      <c r="D690">
        <v>0</v>
      </c>
    </row>
    <row r="691" spans="1:4" x14ac:dyDescent="0.35">
      <c r="A691" t="s">
        <v>2679</v>
      </c>
      <c r="B691">
        <v>-4142</v>
      </c>
      <c r="C691">
        <v>16777215</v>
      </c>
      <c r="D691">
        <v>0</v>
      </c>
    </row>
    <row r="692" spans="1:4" x14ac:dyDescent="0.35">
      <c r="A692" t="s">
        <v>2680</v>
      </c>
      <c r="B692">
        <v>-4142</v>
      </c>
      <c r="C692">
        <v>16777215</v>
      </c>
      <c r="D692">
        <v>0</v>
      </c>
    </row>
    <row r="693" spans="1:4" x14ac:dyDescent="0.35">
      <c r="A693" t="s">
        <v>2681</v>
      </c>
      <c r="B693">
        <v>-4142</v>
      </c>
      <c r="C693">
        <v>16777215</v>
      </c>
      <c r="D693">
        <v>0</v>
      </c>
    </row>
    <row r="694" spans="1:4" x14ac:dyDescent="0.35">
      <c r="A694" t="s">
        <v>2682</v>
      </c>
      <c r="B694">
        <v>-4142</v>
      </c>
      <c r="C694">
        <v>16777215</v>
      </c>
      <c r="D694">
        <v>0</v>
      </c>
    </row>
    <row r="695" spans="1:4" x14ac:dyDescent="0.35">
      <c r="A695" t="s">
        <v>2683</v>
      </c>
      <c r="B695">
        <v>-4142</v>
      </c>
      <c r="C695">
        <v>16777215</v>
      </c>
      <c r="D695">
        <v>0</v>
      </c>
    </row>
    <row r="696" spans="1:4" x14ac:dyDescent="0.35">
      <c r="A696" t="s">
        <v>2684</v>
      </c>
      <c r="B696">
        <v>-4142</v>
      </c>
      <c r="C696">
        <v>16777215</v>
      </c>
      <c r="D696">
        <v>0</v>
      </c>
    </row>
    <row r="697" spans="1:4" x14ac:dyDescent="0.35">
      <c r="A697" t="s">
        <v>2388</v>
      </c>
      <c r="B697">
        <v>-4142</v>
      </c>
      <c r="C697">
        <v>16777215</v>
      </c>
      <c r="D697">
        <v>0</v>
      </c>
    </row>
    <row r="698" spans="1:4" x14ac:dyDescent="0.35">
      <c r="A698" t="s">
        <v>2389</v>
      </c>
      <c r="B698">
        <v>-4142</v>
      </c>
      <c r="C698">
        <v>16777215</v>
      </c>
      <c r="D698">
        <v>0</v>
      </c>
    </row>
    <row r="699" spans="1:4" x14ac:dyDescent="0.35">
      <c r="A699" t="s">
        <v>2390</v>
      </c>
      <c r="B699">
        <v>-4142</v>
      </c>
      <c r="C699">
        <v>16777215</v>
      </c>
      <c r="D699">
        <v>0</v>
      </c>
    </row>
    <row r="700" spans="1:4" x14ac:dyDescent="0.35">
      <c r="A700" t="s">
        <v>2391</v>
      </c>
      <c r="B700">
        <v>-4142</v>
      </c>
      <c r="C700">
        <v>16777215</v>
      </c>
      <c r="D700">
        <v>0</v>
      </c>
    </row>
    <row r="701" spans="1:4" x14ac:dyDescent="0.35">
      <c r="A701" t="s">
        <v>2392</v>
      </c>
      <c r="B701">
        <v>-4142</v>
      </c>
      <c r="C701">
        <v>16777215</v>
      </c>
      <c r="D701">
        <v>0</v>
      </c>
    </row>
    <row r="702" spans="1:4" x14ac:dyDescent="0.35">
      <c r="A702" t="s">
        <v>2393</v>
      </c>
      <c r="B702">
        <v>-4142</v>
      </c>
      <c r="C702">
        <v>16777215</v>
      </c>
      <c r="D702">
        <v>0</v>
      </c>
    </row>
    <row r="703" spans="1:4" x14ac:dyDescent="0.35">
      <c r="A703" t="s">
        <v>2394</v>
      </c>
      <c r="B703">
        <v>-4142</v>
      </c>
      <c r="C703">
        <v>16777215</v>
      </c>
      <c r="D703">
        <v>0</v>
      </c>
    </row>
    <row r="704" spans="1:4" x14ac:dyDescent="0.35">
      <c r="A704" t="s">
        <v>2395</v>
      </c>
      <c r="B704">
        <v>-4142</v>
      </c>
      <c r="C704">
        <v>16777215</v>
      </c>
      <c r="D704">
        <v>0</v>
      </c>
    </row>
    <row r="705" spans="1:4" x14ac:dyDescent="0.35">
      <c r="A705" t="s">
        <v>2396</v>
      </c>
      <c r="B705">
        <v>-4142</v>
      </c>
      <c r="C705">
        <v>16777215</v>
      </c>
      <c r="D705">
        <v>0</v>
      </c>
    </row>
    <row r="706" spans="1:4" x14ac:dyDescent="0.35">
      <c r="A706" t="s">
        <v>2397</v>
      </c>
      <c r="B706">
        <v>-4142</v>
      </c>
      <c r="C706">
        <v>16777215</v>
      </c>
      <c r="D706">
        <v>0</v>
      </c>
    </row>
    <row r="707" spans="1:4" x14ac:dyDescent="0.35">
      <c r="A707" t="s">
        <v>2398</v>
      </c>
      <c r="B707">
        <v>-4142</v>
      </c>
      <c r="C707">
        <v>16777215</v>
      </c>
      <c r="D707">
        <v>0</v>
      </c>
    </row>
    <row r="708" spans="1:4" x14ac:dyDescent="0.35">
      <c r="A708" t="s">
        <v>2399</v>
      </c>
      <c r="B708">
        <v>-4142</v>
      </c>
      <c r="C708">
        <v>16777215</v>
      </c>
      <c r="D708">
        <v>0</v>
      </c>
    </row>
    <row r="709" spans="1:4" x14ac:dyDescent="0.35">
      <c r="A709" t="s">
        <v>2400</v>
      </c>
      <c r="B709">
        <v>-4142</v>
      </c>
      <c r="C709">
        <v>16777215</v>
      </c>
      <c r="D709">
        <v>0</v>
      </c>
    </row>
    <row r="710" spans="1:4" x14ac:dyDescent="0.35">
      <c r="A710" t="s">
        <v>2401</v>
      </c>
      <c r="B710">
        <v>-4142</v>
      </c>
      <c r="C710">
        <v>16777215</v>
      </c>
      <c r="D710">
        <v>0</v>
      </c>
    </row>
    <row r="711" spans="1:4" x14ac:dyDescent="0.35">
      <c r="A711" t="s">
        <v>2402</v>
      </c>
      <c r="B711">
        <v>-4142</v>
      </c>
      <c r="C711">
        <v>16777215</v>
      </c>
      <c r="D711">
        <v>0</v>
      </c>
    </row>
    <row r="712" spans="1:4" x14ac:dyDescent="0.35">
      <c r="A712" t="s">
        <v>2403</v>
      </c>
      <c r="B712">
        <v>-4142</v>
      </c>
      <c r="C712">
        <v>16777215</v>
      </c>
      <c r="D712">
        <v>0</v>
      </c>
    </row>
    <row r="713" spans="1:4" x14ac:dyDescent="0.35">
      <c r="A713" t="s">
        <v>2404</v>
      </c>
      <c r="B713">
        <v>-4142</v>
      </c>
      <c r="C713">
        <v>16777215</v>
      </c>
      <c r="D713">
        <v>0</v>
      </c>
    </row>
    <row r="714" spans="1:4" x14ac:dyDescent="0.35">
      <c r="A714" t="s">
        <v>2405</v>
      </c>
      <c r="B714">
        <v>-4142</v>
      </c>
      <c r="C714">
        <v>16777215</v>
      </c>
      <c r="D714">
        <v>0</v>
      </c>
    </row>
    <row r="715" spans="1:4" x14ac:dyDescent="0.35">
      <c r="A715" t="s">
        <v>2406</v>
      </c>
      <c r="B715">
        <v>-4142</v>
      </c>
      <c r="C715">
        <v>16777215</v>
      </c>
      <c r="D715">
        <v>0</v>
      </c>
    </row>
    <row r="716" spans="1:4" x14ac:dyDescent="0.35">
      <c r="A716" t="s">
        <v>2407</v>
      </c>
      <c r="B716">
        <v>-4142</v>
      </c>
      <c r="C716">
        <v>16777215</v>
      </c>
      <c r="D716">
        <v>0</v>
      </c>
    </row>
    <row r="717" spans="1:4" x14ac:dyDescent="0.35">
      <c r="A717" t="s">
        <v>2408</v>
      </c>
      <c r="B717">
        <v>-4142</v>
      </c>
      <c r="C717">
        <v>16777215</v>
      </c>
      <c r="D717">
        <v>0</v>
      </c>
    </row>
    <row r="718" spans="1:4" x14ac:dyDescent="0.35">
      <c r="A718" t="s">
        <v>2685</v>
      </c>
      <c r="B718">
        <v>-4142</v>
      </c>
      <c r="C718">
        <v>16777215</v>
      </c>
      <c r="D718">
        <v>0</v>
      </c>
    </row>
    <row r="719" spans="1:4" x14ac:dyDescent="0.35">
      <c r="A719" t="s">
        <v>2686</v>
      </c>
      <c r="B719">
        <v>-4142</v>
      </c>
      <c r="C719">
        <v>16777215</v>
      </c>
      <c r="D719">
        <v>0</v>
      </c>
    </row>
    <row r="720" spans="1:4" x14ac:dyDescent="0.35">
      <c r="A720" t="s">
        <v>2687</v>
      </c>
      <c r="B720">
        <v>-4142</v>
      </c>
      <c r="C720">
        <v>16777215</v>
      </c>
      <c r="D720">
        <v>0</v>
      </c>
    </row>
    <row r="721" spans="1:4" x14ac:dyDescent="0.35">
      <c r="A721" t="s">
        <v>2688</v>
      </c>
      <c r="B721">
        <v>-4142</v>
      </c>
      <c r="C721">
        <v>16777215</v>
      </c>
      <c r="D721">
        <v>0</v>
      </c>
    </row>
    <row r="722" spans="1:4" x14ac:dyDescent="0.35">
      <c r="A722" t="s">
        <v>2689</v>
      </c>
      <c r="B722">
        <v>-4142</v>
      </c>
      <c r="C722">
        <v>16777215</v>
      </c>
      <c r="D722">
        <v>0</v>
      </c>
    </row>
    <row r="723" spans="1:4" x14ac:dyDescent="0.35">
      <c r="A723" t="s">
        <v>2690</v>
      </c>
      <c r="B723">
        <v>-4142</v>
      </c>
      <c r="C723">
        <v>16777215</v>
      </c>
      <c r="D723">
        <v>0</v>
      </c>
    </row>
    <row r="724" spans="1:4" x14ac:dyDescent="0.35">
      <c r="A724" t="s">
        <v>2691</v>
      </c>
      <c r="B724">
        <v>-4142</v>
      </c>
      <c r="C724">
        <v>16777215</v>
      </c>
      <c r="D724">
        <v>0</v>
      </c>
    </row>
    <row r="725" spans="1:4" x14ac:dyDescent="0.35">
      <c r="A725" t="s">
        <v>2692</v>
      </c>
      <c r="B725">
        <v>-4142</v>
      </c>
      <c r="C725">
        <v>16777215</v>
      </c>
      <c r="D725">
        <v>0</v>
      </c>
    </row>
    <row r="726" spans="1:4" x14ac:dyDescent="0.35">
      <c r="A726" t="s">
        <v>2409</v>
      </c>
      <c r="B726">
        <v>-4142</v>
      </c>
      <c r="C726">
        <v>16777215</v>
      </c>
      <c r="D726">
        <v>0</v>
      </c>
    </row>
    <row r="727" spans="1:4" x14ac:dyDescent="0.35">
      <c r="A727" t="s">
        <v>2410</v>
      </c>
      <c r="B727">
        <v>-4142</v>
      </c>
      <c r="C727">
        <v>16777215</v>
      </c>
      <c r="D727">
        <v>0</v>
      </c>
    </row>
    <row r="728" spans="1:4" x14ac:dyDescent="0.35">
      <c r="A728" t="s">
        <v>2411</v>
      </c>
      <c r="B728">
        <v>-4142</v>
      </c>
      <c r="C728">
        <v>16777215</v>
      </c>
      <c r="D728">
        <v>0</v>
      </c>
    </row>
    <row r="729" spans="1:4" x14ac:dyDescent="0.35">
      <c r="A729" t="s">
        <v>2412</v>
      </c>
      <c r="B729">
        <v>-4142</v>
      </c>
      <c r="C729">
        <v>16777215</v>
      </c>
      <c r="D729">
        <v>0</v>
      </c>
    </row>
    <row r="730" spans="1:4" x14ac:dyDescent="0.35">
      <c r="A730" t="s">
        <v>2413</v>
      </c>
      <c r="B730">
        <v>-4142</v>
      </c>
      <c r="C730">
        <v>16777215</v>
      </c>
      <c r="D730">
        <v>0</v>
      </c>
    </row>
    <row r="731" spans="1:4" x14ac:dyDescent="0.35">
      <c r="A731" t="s">
        <v>2414</v>
      </c>
      <c r="B731">
        <v>-4142</v>
      </c>
      <c r="C731">
        <v>16777215</v>
      </c>
      <c r="D731">
        <v>0</v>
      </c>
    </row>
    <row r="732" spans="1:4" x14ac:dyDescent="0.35">
      <c r="A732" t="s">
        <v>2415</v>
      </c>
      <c r="B732">
        <v>-4142</v>
      </c>
      <c r="C732">
        <v>16777215</v>
      </c>
      <c r="D732">
        <v>6299648</v>
      </c>
    </row>
    <row r="733" spans="1:4" x14ac:dyDescent="0.35">
      <c r="A733" t="s">
        <v>2416</v>
      </c>
      <c r="B733">
        <v>-4142</v>
      </c>
      <c r="C733">
        <v>16777215</v>
      </c>
      <c r="D733">
        <v>6299648</v>
      </c>
    </row>
    <row r="734" spans="1:4" x14ac:dyDescent="0.35">
      <c r="A734" t="s">
        <v>2417</v>
      </c>
      <c r="B734">
        <v>-4142</v>
      </c>
      <c r="C734">
        <v>16777215</v>
      </c>
      <c r="D734">
        <v>6299648</v>
      </c>
    </row>
    <row r="735" spans="1:4" x14ac:dyDescent="0.35">
      <c r="A735" t="s">
        <v>2418</v>
      </c>
      <c r="B735">
        <v>-4142</v>
      </c>
      <c r="C735">
        <v>16777215</v>
      </c>
      <c r="D735">
        <v>6299648</v>
      </c>
    </row>
    <row r="736" spans="1:4" x14ac:dyDescent="0.35">
      <c r="A736" t="s">
        <v>2419</v>
      </c>
      <c r="B736">
        <v>-4142</v>
      </c>
      <c r="C736">
        <v>16777215</v>
      </c>
      <c r="D736">
        <v>6299648</v>
      </c>
    </row>
    <row r="737" spans="1:4" x14ac:dyDescent="0.35">
      <c r="A737" t="s">
        <v>2420</v>
      </c>
      <c r="B737">
        <v>-4142</v>
      </c>
      <c r="C737">
        <v>16777215</v>
      </c>
      <c r="D737">
        <v>6299648</v>
      </c>
    </row>
    <row r="738" spans="1:4" x14ac:dyDescent="0.35">
      <c r="A738" t="s">
        <v>2421</v>
      </c>
      <c r="B738">
        <v>-4142</v>
      </c>
      <c r="C738">
        <v>16777215</v>
      </c>
      <c r="D738">
        <v>6299648</v>
      </c>
    </row>
    <row r="739" spans="1:4" x14ac:dyDescent="0.35">
      <c r="A739" t="s">
        <v>2422</v>
      </c>
      <c r="B739">
        <v>-4142</v>
      </c>
      <c r="C739">
        <v>16777215</v>
      </c>
      <c r="D739">
        <v>6299648</v>
      </c>
    </row>
    <row r="740" spans="1:4" x14ac:dyDescent="0.35">
      <c r="A740" t="s">
        <v>2423</v>
      </c>
      <c r="B740">
        <v>-4142</v>
      </c>
      <c r="C740">
        <v>16777215</v>
      </c>
      <c r="D740">
        <v>6299648</v>
      </c>
    </row>
    <row r="741" spans="1:4" x14ac:dyDescent="0.35">
      <c r="A741" t="s">
        <v>2424</v>
      </c>
      <c r="B741">
        <v>-4142</v>
      </c>
      <c r="C741">
        <v>16777215</v>
      </c>
      <c r="D741">
        <v>6299648</v>
      </c>
    </row>
    <row r="742" spans="1:4" x14ac:dyDescent="0.35">
      <c r="A742" t="s">
        <v>2425</v>
      </c>
      <c r="B742">
        <v>-4142</v>
      </c>
      <c r="C742">
        <v>16777215</v>
      </c>
      <c r="D742">
        <v>6299648</v>
      </c>
    </row>
    <row r="743" spans="1:4" x14ac:dyDescent="0.35">
      <c r="A743" t="s">
        <v>2426</v>
      </c>
      <c r="B743">
        <v>-4142</v>
      </c>
      <c r="C743">
        <v>16777215</v>
      </c>
      <c r="D743">
        <v>6299648</v>
      </c>
    </row>
    <row r="744" spans="1:4" x14ac:dyDescent="0.35">
      <c r="A744" t="s">
        <v>2427</v>
      </c>
      <c r="B744">
        <v>-4142</v>
      </c>
      <c r="C744">
        <v>16777215</v>
      </c>
      <c r="D744">
        <v>6299648</v>
      </c>
    </row>
    <row r="745" spans="1:4" x14ac:dyDescent="0.35">
      <c r="A745" t="s">
        <v>2428</v>
      </c>
      <c r="B745">
        <v>-4142</v>
      </c>
      <c r="C745">
        <v>16777215</v>
      </c>
      <c r="D745">
        <v>6299648</v>
      </c>
    </row>
    <row r="746" spans="1:4" x14ac:dyDescent="0.35">
      <c r="A746" t="s">
        <v>2429</v>
      </c>
      <c r="B746">
        <v>-4142</v>
      </c>
      <c r="C746">
        <v>16777215</v>
      </c>
      <c r="D746">
        <v>0</v>
      </c>
    </row>
    <row r="747" spans="1:4" x14ac:dyDescent="0.35">
      <c r="A747" t="s">
        <v>2693</v>
      </c>
      <c r="B747">
        <v>-4142</v>
      </c>
      <c r="C747">
        <v>16777215</v>
      </c>
      <c r="D747">
        <v>0</v>
      </c>
    </row>
    <row r="748" spans="1:4" x14ac:dyDescent="0.35">
      <c r="A748" t="s">
        <v>2694</v>
      </c>
      <c r="B748">
        <v>-4142</v>
      </c>
      <c r="C748">
        <v>16777215</v>
      </c>
      <c r="D748">
        <v>0</v>
      </c>
    </row>
    <row r="749" spans="1:4" x14ac:dyDescent="0.35">
      <c r="A749" t="s">
        <v>2695</v>
      </c>
      <c r="B749">
        <v>-4142</v>
      </c>
      <c r="C749">
        <v>16777215</v>
      </c>
      <c r="D749">
        <v>0</v>
      </c>
    </row>
    <row r="750" spans="1:4" x14ac:dyDescent="0.35">
      <c r="A750" t="s">
        <v>2696</v>
      </c>
      <c r="B750">
        <v>-4142</v>
      </c>
      <c r="C750">
        <v>16777215</v>
      </c>
      <c r="D750">
        <v>0</v>
      </c>
    </row>
    <row r="751" spans="1:4" x14ac:dyDescent="0.35">
      <c r="A751" t="s">
        <v>2697</v>
      </c>
      <c r="B751">
        <v>-4142</v>
      </c>
      <c r="C751">
        <v>16777215</v>
      </c>
      <c r="D751">
        <v>0</v>
      </c>
    </row>
    <row r="752" spans="1:4" x14ac:dyDescent="0.35">
      <c r="A752" t="s">
        <v>2698</v>
      </c>
      <c r="B752">
        <v>-4142</v>
      </c>
      <c r="C752">
        <v>16777215</v>
      </c>
      <c r="D752">
        <v>0</v>
      </c>
    </row>
    <row r="753" spans="1:4" x14ac:dyDescent="0.35">
      <c r="A753" t="s">
        <v>2699</v>
      </c>
      <c r="B753">
        <v>-4142</v>
      </c>
      <c r="C753">
        <v>16777215</v>
      </c>
      <c r="D753">
        <v>0</v>
      </c>
    </row>
    <row r="754" spans="1:4" x14ac:dyDescent="0.35">
      <c r="A754" t="s">
        <v>2700</v>
      </c>
      <c r="B754">
        <v>-4142</v>
      </c>
      <c r="C754">
        <v>16777215</v>
      </c>
      <c r="D754">
        <v>0</v>
      </c>
    </row>
    <row r="755" spans="1:4" x14ac:dyDescent="0.35">
      <c r="A755" t="s">
        <v>2430</v>
      </c>
      <c r="B755">
        <v>-4142</v>
      </c>
      <c r="C755">
        <v>16777215</v>
      </c>
      <c r="D755">
        <v>0</v>
      </c>
    </row>
    <row r="756" spans="1:4" x14ac:dyDescent="0.35">
      <c r="A756" t="s">
        <v>2431</v>
      </c>
      <c r="B756">
        <v>-4142</v>
      </c>
      <c r="C756">
        <v>16777215</v>
      </c>
      <c r="D756">
        <v>0</v>
      </c>
    </row>
    <row r="757" spans="1:4" x14ac:dyDescent="0.35">
      <c r="A757" t="s">
        <v>2432</v>
      </c>
      <c r="B757">
        <v>-4142</v>
      </c>
      <c r="C757">
        <v>16777215</v>
      </c>
      <c r="D757">
        <v>0</v>
      </c>
    </row>
    <row r="758" spans="1:4" x14ac:dyDescent="0.35">
      <c r="A758" t="s">
        <v>2433</v>
      </c>
      <c r="B758">
        <v>-4142</v>
      </c>
      <c r="C758">
        <v>16777215</v>
      </c>
      <c r="D758">
        <v>0</v>
      </c>
    </row>
    <row r="759" spans="1:4" x14ac:dyDescent="0.35">
      <c r="A759" t="s">
        <v>2434</v>
      </c>
      <c r="B759">
        <v>-4142</v>
      </c>
      <c r="C759">
        <v>16777215</v>
      </c>
      <c r="D759">
        <v>0</v>
      </c>
    </row>
    <row r="760" spans="1:4" x14ac:dyDescent="0.35">
      <c r="A760" t="s">
        <v>2435</v>
      </c>
      <c r="B760">
        <v>-4142</v>
      </c>
      <c r="C760">
        <v>16777215</v>
      </c>
      <c r="D760">
        <v>0</v>
      </c>
    </row>
    <row r="761" spans="1:4" x14ac:dyDescent="0.35">
      <c r="A761" t="s">
        <v>2436</v>
      </c>
      <c r="B761">
        <v>-4142</v>
      </c>
      <c r="C761">
        <v>16777215</v>
      </c>
      <c r="D761">
        <v>6299648</v>
      </c>
    </row>
    <row r="762" spans="1:4" x14ac:dyDescent="0.35">
      <c r="A762" t="s">
        <v>2437</v>
      </c>
      <c r="B762">
        <v>-4142</v>
      </c>
      <c r="C762">
        <v>16777215</v>
      </c>
      <c r="D762">
        <v>6299648</v>
      </c>
    </row>
    <row r="763" spans="1:4" x14ac:dyDescent="0.35">
      <c r="A763" t="s">
        <v>2438</v>
      </c>
      <c r="B763">
        <v>-4142</v>
      </c>
      <c r="C763">
        <v>16777215</v>
      </c>
      <c r="D763">
        <v>6299648</v>
      </c>
    </row>
    <row r="764" spans="1:4" x14ac:dyDescent="0.35">
      <c r="A764" t="s">
        <v>2439</v>
      </c>
      <c r="B764">
        <v>-4142</v>
      </c>
      <c r="C764">
        <v>16777215</v>
      </c>
      <c r="D764">
        <v>6299648</v>
      </c>
    </row>
    <row r="765" spans="1:4" x14ac:dyDescent="0.35">
      <c r="A765" t="s">
        <v>2440</v>
      </c>
      <c r="B765">
        <v>-4142</v>
      </c>
      <c r="C765">
        <v>16777215</v>
      </c>
      <c r="D765">
        <v>6299648</v>
      </c>
    </row>
    <row r="766" spans="1:4" x14ac:dyDescent="0.35">
      <c r="A766" t="s">
        <v>2441</v>
      </c>
      <c r="B766">
        <v>-4142</v>
      </c>
      <c r="C766">
        <v>16777215</v>
      </c>
      <c r="D766">
        <v>6299648</v>
      </c>
    </row>
    <row r="767" spans="1:4" x14ac:dyDescent="0.35">
      <c r="A767" t="s">
        <v>2442</v>
      </c>
      <c r="B767">
        <v>-4142</v>
      </c>
      <c r="C767">
        <v>16777215</v>
      </c>
      <c r="D767">
        <v>6299648</v>
      </c>
    </row>
    <row r="768" spans="1:4" x14ac:dyDescent="0.35">
      <c r="A768" t="s">
        <v>2443</v>
      </c>
      <c r="B768">
        <v>-4142</v>
      </c>
      <c r="C768">
        <v>16777215</v>
      </c>
      <c r="D768">
        <v>6299648</v>
      </c>
    </row>
    <row r="769" spans="1:4" x14ac:dyDescent="0.35">
      <c r="A769" t="s">
        <v>2444</v>
      </c>
      <c r="B769">
        <v>-4142</v>
      </c>
      <c r="C769">
        <v>16777215</v>
      </c>
      <c r="D769">
        <v>6299648</v>
      </c>
    </row>
    <row r="770" spans="1:4" x14ac:dyDescent="0.35">
      <c r="A770" t="s">
        <v>2445</v>
      </c>
      <c r="B770">
        <v>-4142</v>
      </c>
      <c r="C770">
        <v>16777215</v>
      </c>
      <c r="D770">
        <v>6299648</v>
      </c>
    </row>
    <row r="771" spans="1:4" x14ac:dyDescent="0.35">
      <c r="A771" t="s">
        <v>2446</v>
      </c>
      <c r="B771">
        <v>-4142</v>
      </c>
      <c r="C771">
        <v>16777215</v>
      </c>
      <c r="D771">
        <v>6299648</v>
      </c>
    </row>
    <row r="772" spans="1:4" x14ac:dyDescent="0.35">
      <c r="A772" t="s">
        <v>2447</v>
      </c>
      <c r="B772">
        <v>-4142</v>
      </c>
      <c r="C772">
        <v>16777215</v>
      </c>
      <c r="D772">
        <v>6299648</v>
      </c>
    </row>
    <row r="773" spans="1:4" x14ac:dyDescent="0.35">
      <c r="A773" t="s">
        <v>2448</v>
      </c>
      <c r="B773">
        <v>-4142</v>
      </c>
      <c r="C773">
        <v>16777215</v>
      </c>
      <c r="D773">
        <v>6299648</v>
      </c>
    </row>
    <row r="774" spans="1:4" x14ac:dyDescent="0.35">
      <c r="A774" t="s">
        <v>2449</v>
      </c>
      <c r="B774">
        <v>-4142</v>
      </c>
      <c r="C774">
        <v>16777215</v>
      </c>
      <c r="D774">
        <v>6299648</v>
      </c>
    </row>
    <row r="775" spans="1:4" x14ac:dyDescent="0.35">
      <c r="A775" t="s">
        <v>2450</v>
      </c>
      <c r="B775">
        <v>-4142</v>
      </c>
      <c r="C775">
        <v>16777215</v>
      </c>
      <c r="D775">
        <v>0</v>
      </c>
    </row>
    <row r="776" spans="1:4" x14ac:dyDescent="0.35">
      <c r="A776" t="s">
        <v>2701</v>
      </c>
      <c r="B776">
        <v>-4142</v>
      </c>
      <c r="C776">
        <v>16777215</v>
      </c>
      <c r="D776">
        <v>0</v>
      </c>
    </row>
    <row r="777" spans="1:4" x14ac:dyDescent="0.35">
      <c r="A777" t="s">
        <v>2702</v>
      </c>
      <c r="B777">
        <v>-4142</v>
      </c>
      <c r="C777">
        <v>16777215</v>
      </c>
      <c r="D777">
        <v>0</v>
      </c>
    </row>
    <row r="778" spans="1:4" x14ac:dyDescent="0.35">
      <c r="A778" t="s">
        <v>2703</v>
      </c>
      <c r="B778">
        <v>-4142</v>
      </c>
      <c r="C778">
        <v>16777215</v>
      </c>
      <c r="D778">
        <v>0</v>
      </c>
    </row>
    <row r="779" spans="1:4" x14ac:dyDescent="0.35">
      <c r="A779" t="s">
        <v>2704</v>
      </c>
      <c r="B779">
        <v>-4142</v>
      </c>
      <c r="C779">
        <v>16777215</v>
      </c>
      <c r="D779">
        <v>0</v>
      </c>
    </row>
    <row r="780" spans="1:4" x14ac:dyDescent="0.35">
      <c r="A780" t="s">
        <v>2705</v>
      </c>
      <c r="B780">
        <v>-4142</v>
      </c>
      <c r="C780">
        <v>16777215</v>
      </c>
      <c r="D780">
        <v>0</v>
      </c>
    </row>
    <row r="781" spans="1:4" x14ac:dyDescent="0.35">
      <c r="A781" t="s">
        <v>2706</v>
      </c>
      <c r="B781">
        <v>-4142</v>
      </c>
      <c r="C781">
        <v>16777215</v>
      </c>
      <c r="D781">
        <v>0</v>
      </c>
    </row>
    <row r="782" spans="1:4" x14ac:dyDescent="0.35">
      <c r="A782" t="s">
        <v>2707</v>
      </c>
      <c r="B782">
        <v>-4142</v>
      </c>
      <c r="C782">
        <v>16777215</v>
      </c>
      <c r="D782">
        <v>0</v>
      </c>
    </row>
    <row r="783" spans="1:4" x14ac:dyDescent="0.35">
      <c r="A783" t="s">
        <v>2708</v>
      </c>
      <c r="B783">
        <v>-4142</v>
      </c>
      <c r="C783">
        <v>16777215</v>
      </c>
      <c r="D783">
        <v>0</v>
      </c>
    </row>
    <row r="784" spans="1:4" x14ac:dyDescent="0.35">
      <c r="A784" t="s">
        <v>2451</v>
      </c>
      <c r="B784">
        <v>-4142</v>
      </c>
      <c r="C784">
        <v>16777215</v>
      </c>
      <c r="D784">
        <v>0</v>
      </c>
    </row>
    <row r="785" spans="1:4" x14ac:dyDescent="0.35">
      <c r="A785" t="s">
        <v>2452</v>
      </c>
      <c r="B785">
        <v>-4142</v>
      </c>
      <c r="C785">
        <v>16777215</v>
      </c>
      <c r="D785">
        <v>0</v>
      </c>
    </row>
    <row r="786" spans="1:4" x14ac:dyDescent="0.35">
      <c r="A786" t="s">
        <v>2453</v>
      </c>
      <c r="B786">
        <v>-4142</v>
      </c>
      <c r="C786">
        <v>16777215</v>
      </c>
      <c r="D786">
        <v>0</v>
      </c>
    </row>
    <row r="787" spans="1:4" x14ac:dyDescent="0.35">
      <c r="A787" t="s">
        <v>2454</v>
      </c>
      <c r="B787">
        <v>-4142</v>
      </c>
      <c r="C787">
        <v>16777215</v>
      </c>
      <c r="D787">
        <v>0</v>
      </c>
    </row>
    <row r="788" spans="1:4" x14ac:dyDescent="0.35">
      <c r="A788" t="s">
        <v>2455</v>
      </c>
      <c r="B788">
        <v>-4142</v>
      </c>
      <c r="C788">
        <v>16777215</v>
      </c>
      <c r="D788">
        <v>0</v>
      </c>
    </row>
    <row r="789" spans="1:4" x14ac:dyDescent="0.35">
      <c r="A789" t="s">
        <v>2456</v>
      </c>
      <c r="B789">
        <v>-4142</v>
      </c>
      <c r="C789">
        <v>16777215</v>
      </c>
      <c r="D789">
        <v>0</v>
      </c>
    </row>
    <row r="790" spans="1:4" x14ac:dyDescent="0.35">
      <c r="A790" t="s">
        <v>2457</v>
      </c>
      <c r="B790">
        <v>-4142</v>
      </c>
      <c r="C790">
        <v>16777215</v>
      </c>
      <c r="D790">
        <v>6299648</v>
      </c>
    </row>
    <row r="791" spans="1:4" x14ac:dyDescent="0.35">
      <c r="A791" t="s">
        <v>2458</v>
      </c>
      <c r="B791">
        <v>-4142</v>
      </c>
      <c r="C791">
        <v>16777215</v>
      </c>
      <c r="D791">
        <v>6299648</v>
      </c>
    </row>
    <row r="792" spans="1:4" x14ac:dyDescent="0.35">
      <c r="A792" t="s">
        <v>2459</v>
      </c>
      <c r="B792">
        <v>-4142</v>
      </c>
      <c r="C792">
        <v>16777215</v>
      </c>
      <c r="D792">
        <v>6299648</v>
      </c>
    </row>
    <row r="793" spans="1:4" x14ac:dyDescent="0.35">
      <c r="A793" t="s">
        <v>2460</v>
      </c>
      <c r="B793">
        <v>-4142</v>
      </c>
      <c r="C793">
        <v>16777215</v>
      </c>
      <c r="D793">
        <v>6299648</v>
      </c>
    </row>
    <row r="794" spans="1:4" x14ac:dyDescent="0.35">
      <c r="A794" t="s">
        <v>2461</v>
      </c>
      <c r="B794">
        <v>-4142</v>
      </c>
      <c r="C794">
        <v>16777215</v>
      </c>
      <c r="D794">
        <v>6299648</v>
      </c>
    </row>
    <row r="795" spans="1:4" x14ac:dyDescent="0.35">
      <c r="A795" t="s">
        <v>2462</v>
      </c>
      <c r="B795">
        <v>-4142</v>
      </c>
      <c r="C795">
        <v>16777215</v>
      </c>
      <c r="D795">
        <v>6299648</v>
      </c>
    </row>
    <row r="796" spans="1:4" x14ac:dyDescent="0.35">
      <c r="A796" t="s">
        <v>2463</v>
      </c>
      <c r="B796">
        <v>-4142</v>
      </c>
      <c r="C796">
        <v>16777215</v>
      </c>
      <c r="D796">
        <v>6299648</v>
      </c>
    </row>
    <row r="797" spans="1:4" x14ac:dyDescent="0.35">
      <c r="A797" t="s">
        <v>2464</v>
      </c>
      <c r="B797">
        <v>-4142</v>
      </c>
      <c r="C797">
        <v>16777215</v>
      </c>
      <c r="D797">
        <v>6299648</v>
      </c>
    </row>
    <row r="798" spans="1:4" x14ac:dyDescent="0.35">
      <c r="A798" t="s">
        <v>2465</v>
      </c>
      <c r="B798">
        <v>-4142</v>
      </c>
      <c r="C798">
        <v>16777215</v>
      </c>
      <c r="D798">
        <v>6299648</v>
      </c>
    </row>
    <row r="799" spans="1:4" x14ac:dyDescent="0.35">
      <c r="A799" t="s">
        <v>2466</v>
      </c>
      <c r="B799">
        <v>-4142</v>
      </c>
      <c r="C799">
        <v>16777215</v>
      </c>
      <c r="D799">
        <v>6299648</v>
      </c>
    </row>
    <row r="800" spans="1:4" x14ac:dyDescent="0.35">
      <c r="A800" t="s">
        <v>2467</v>
      </c>
      <c r="B800">
        <v>-4142</v>
      </c>
      <c r="C800">
        <v>16777215</v>
      </c>
      <c r="D800">
        <v>6299648</v>
      </c>
    </row>
    <row r="801" spans="1:4" x14ac:dyDescent="0.35">
      <c r="A801" t="s">
        <v>2468</v>
      </c>
      <c r="B801">
        <v>-4142</v>
      </c>
      <c r="C801">
        <v>16777215</v>
      </c>
      <c r="D801">
        <v>6299648</v>
      </c>
    </row>
    <row r="802" spans="1:4" x14ac:dyDescent="0.35">
      <c r="A802" t="s">
        <v>2469</v>
      </c>
      <c r="B802">
        <v>-4142</v>
      </c>
      <c r="C802">
        <v>16777215</v>
      </c>
      <c r="D802">
        <v>6299648</v>
      </c>
    </row>
    <row r="803" spans="1:4" x14ac:dyDescent="0.35">
      <c r="A803" t="s">
        <v>2470</v>
      </c>
      <c r="B803">
        <v>-4142</v>
      </c>
      <c r="C803">
        <v>16777215</v>
      </c>
      <c r="D803">
        <v>6299648</v>
      </c>
    </row>
    <row r="804" spans="1:4" x14ac:dyDescent="0.35">
      <c r="A804" t="s">
        <v>2471</v>
      </c>
      <c r="B804">
        <v>-4142</v>
      </c>
      <c r="C804">
        <v>16777215</v>
      </c>
      <c r="D804">
        <v>0</v>
      </c>
    </row>
    <row r="805" spans="1:4" x14ac:dyDescent="0.35">
      <c r="A805" t="s">
        <v>2709</v>
      </c>
      <c r="B805">
        <v>-4142</v>
      </c>
      <c r="C805">
        <v>16777215</v>
      </c>
      <c r="D805">
        <v>0</v>
      </c>
    </row>
    <row r="806" spans="1:4" x14ac:dyDescent="0.35">
      <c r="A806" t="s">
        <v>2710</v>
      </c>
      <c r="B806">
        <v>-4142</v>
      </c>
      <c r="C806">
        <v>16777215</v>
      </c>
      <c r="D806">
        <v>0</v>
      </c>
    </row>
    <row r="807" spans="1:4" x14ac:dyDescent="0.35">
      <c r="A807" t="s">
        <v>2711</v>
      </c>
      <c r="B807">
        <v>-4142</v>
      </c>
      <c r="C807">
        <v>16777215</v>
      </c>
      <c r="D807">
        <v>0</v>
      </c>
    </row>
    <row r="808" spans="1:4" x14ac:dyDescent="0.35">
      <c r="A808" t="s">
        <v>2712</v>
      </c>
      <c r="B808">
        <v>-4142</v>
      </c>
      <c r="C808">
        <v>16777215</v>
      </c>
      <c r="D808">
        <v>0</v>
      </c>
    </row>
    <row r="809" spans="1:4" x14ac:dyDescent="0.35">
      <c r="A809" t="s">
        <v>2713</v>
      </c>
      <c r="B809">
        <v>-4142</v>
      </c>
      <c r="C809">
        <v>16777215</v>
      </c>
      <c r="D809">
        <v>0</v>
      </c>
    </row>
    <row r="810" spans="1:4" x14ac:dyDescent="0.35">
      <c r="A810" t="s">
        <v>2714</v>
      </c>
      <c r="B810">
        <v>-4142</v>
      </c>
      <c r="C810">
        <v>16777215</v>
      </c>
      <c r="D810">
        <v>0</v>
      </c>
    </row>
    <row r="811" spans="1:4" x14ac:dyDescent="0.35">
      <c r="A811" t="s">
        <v>2715</v>
      </c>
      <c r="B811">
        <v>-4142</v>
      </c>
      <c r="C811">
        <v>16777215</v>
      </c>
      <c r="D811">
        <v>0</v>
      </c>
    </row>
    <row r="812" spans="1:4" x14ac:dyDescent="0.35">
      <c r="A812" t="s">
        <v>2716</v>
      </c>
      <c r="B812">
        <v>-4142</v>
      </c>
      <c r="C812">
        <v>16777215</v>
      </c>
      <c r="D812">
        <v>0</v>
      </c>
    </row>
    <row r="813" spans="1:4" x14ac:dyDescent="0.35">
      <c r="A813" t="s">
        <v>2472</v>
      </c>
      <c r="B813">
        <v>-4142</v>
      </c>
      <c r="C813">
        <v>16777215</v>
      </c>
      <c r="D813">
        <v>0</v>
      </c>
    </row>
    <row r="814" spans="1:4" x14ac:dyDescent="0.35">
      <c r="A814" t="s">
        <v>2473</v>
      </c>
      <c r="B814">
        <v>-4142</v>
      </c>
      <c r="C814">
        <v>16777215</v>
      </c>
      <c r="D814">
        <v>0</v>
      </c>
    </row>
    <row r="815" spans="1:4" x14ac:dyDescent="0.35">
      <c r="A815" t="s">
        <v>2474</v>
      </c>
      <c r="B815">
        <v>-4142</v>
      </c>
      <c r="C815">
        <v>16777215</v>
      </c>
      <c r="D815">
        <v>0</v>
      </c>
    </row>
    <row r="816" spans="1:4" x14ac:dyDescent="0.35">
      <c r="A816" t="s">
        <v>2475</v>
      </c>
      <c r="B816">
        <v>-4142</v>
      </c>
      <c r="C816">
        <v>16777215</v>
      </c>
      <c r="D816">
        <v>0</v>
      </c>
    </row>
    <row r="817" spans="1:4" x14ac:dyDescent="0.35">
      <c r="A817" t="s">
        <v>2476</v>
      </c>
      <c r="B817">
        <v>-4142</v>
      </c>
      <c r="C817">
        <v>16777215</v>
      </c>
      <c r="D817">
        <v>0</v>
      </c>
    </row>
    <row r="818" spans="1:4" x14ac:dyDescent="0.35">
      <c r="A818" t="s">
        <v>2477</v>
      </c>
      <c r="B818">
        <v>-4142</v>
      </c>
      <c r="C818">
        <v>16777215</v>
      </c>
      <c r="D818">
        <v>0</v>
      </c>
    </row>
    <row r="819" spans="1:4" x14ac:dyDescent="0.35">
      <c r="A819" t="s">
        <v>2478</v>
      </c>
      <c r="B819">
        <v>-4142</v>
      </c>
      <c r="C819">
        <v>16777215</v>
      </c>
      <c r="D819">
        <v>0</v>
      </c>
    </row>
    <row r="820" spans="1:4" x14ac:dyDescent="0.35">
      <c r="A820" t="s">
        <v>2479</v>
      </c>
      <c r="B820">
        <v>-4142</v>
      </c>
      <c r="C820">
        <v>16777215</v>
      </c>
      <c r="D820">
        <v>0</v>
      </c>
    </row>
    <row r="821" spans="1:4" x14ac:dyDescent="0.35">
      <c r="A821" t="s">
        <v>2480</v>
      </c>
      <c r="B821">
        <v>-4142</v>
      </c>
      <c r="C821">
        <v>16777215</v>
      </c>
      <c r="D821">
        <v>0</v>
      </c>
    </row>
    <row r="822" spans="1:4" x14ac:dyDescent="0.35">
      <c r="A822" t="s">
        <v>2481</v>
      </c>
      <c r="B822">
        <v>-4142</v>
      </c>
      <c r="C822">
        <v>16777215</v>
      </c>
      <c r="D822">
        <v>0</v>
      </c>
    </row>
    <row r="823" spans="1:4" x14ac:dyDescent="0.35">
      <c r="A823" t="s">
        <v>2482</v>
      </c>
      <c r="B823">
        <v>-4142</v>
      </c>
      <c r="C823">
        <v>16777215</v>
      </c>
      <c r="D823">
        <v>0</v>
      </c>
    </row>
    <row r="824" spans="1:4" x14ac:dyDescent="0.35">
      <c r="A824" t="s">
        <v>2483</v>
      </c>
      <c r="B824">
        <v>-4142</v>
      </c>
      <c r="C824">
        <v>16777215</v>
      </c>
      <c r="D824">
        <v>0</v>
      </c>
    </row>
    <row r="825" spans="1:4" x14ac:dyDescent="0.35">
      <c r="A825" t="s">
        <v>2484</v>
      </c>
      <c r="B825">
        <v>-4142</v>
      </c>
      <c r="C825">
        <v>16777215</v>
      </c>
      <c r="D825">
        <v>0</v>
      </c>
    </row>
    <row r="826" spans="1:4" x14ac:dyDescent="0.35">
      <c r="A826" t="s">
        <v>2485</v>
      </c>
      <c r="B826">
        <v>-4142</v>
      </c>
      <c r="C826">
        <v>16777215</v>
      </c>
      <c r="D826">
        <v>0</v>
      </c>
    </row>
    <row r="827" spans="1:4" x14ac:dyDescent="0.35">
      <c r="A827" t="s">
        <v>2486</v>
      </c>
      <c r="B827">
        <v>-4142</v>
      </c>
      <c r="C827">
        <v>16777215</v>
      </c>
      <c r="D827">
        <v>0</v>
      </c>
    </row>
    <row r="828" spans="1:4" x14ac:dyDescent="0.35">
      <c r="A828" t="s">
        <v>2487</v>
      </c>
      <c r="B828">
        <v>-4142</v>
      </c>
      <c r="C828">
        <v>16777215</v>
      </c>
      <c r="D828">
        <v>0</v>
      </c>
    </row>
    <row r="829" spans="1:4" x14ac:dyDescent="0.35">
      <c r="A829" t="s">
        <v>2488</v>
      </c>
      <c r="B829">
        <v>-4142</v>
      </c>
      <c r="C829">
        <v>16777215</v>
      </c>
      <c r="D829">
        <v>0</v>
      </c>
    </row>
    <row r="830" spans="1:4" x14ac:dyDescent="0.35">
      <c r="A830" t="s">
        <v>2489</v>
      </c>
      <c r="B830">
        <v>-4142</v>
      </c>
      <c r="C830">
        <v>16777215</v>
      </c>
      <c r="D830">
        <v>0</v>
      </c>
    </row>
    <row r="831" spans="1:4" x14ac:dyDescent="0.35">
      <c r="A831" t="s">
        <v>2490</v>
      </c>
      <c r="B831">
        <v>-4142</v>
      </c>
      <c r="C831">
        <v>16777215</v>
      </c>
      <c r="D831">
        <v>0</v>
      </c>
    </row>
    <row r="832" spans="1:4" x14ac:dyDescent="0.35">
      <c r="A832" t="s">
        <v>2491</v>
      </c>
      <c r="B832">
        <v>-4142</v>
      </c>
      <c r="C832">
        <v>16777215</v>
      </c>
      <c r="D832">
        <v>0</v>
      </c>
    </row>
    <row r="833" spans="1:4" x14ac:dyDescent="0.35">
      <c r="A833" t="s">
        <v>2492</v>
      </c>
      <c r="B833">
        <v>-4142</v>
      </c>
      <c r="C833">
        <v>16777215</v>
      </c>
      <c r="D833">
        <v>0</v>
      </c>
    </row>
    <row r="834" spans="1:4" x14ac:dyDescent="0.35">
      <c r="A834" t="s">
        <v>2717</v>
      </c>
      <c r="B834">
        <v>-4142</v>
      </c>
      <c r="C834">
        <v>16777215</v>
      </c>
      <c r="D834">
        <v>0</v>
      </c>
    </row>
    <row r="835" spans="1:4" x14ac:dyDescent="0.35">
      <c r="A835" t="s">
        <v>2718</v>
      </c>
      <c r="B835">
        <v>-4142</v>
      </c>
      <c r="C835">
        <v>16777215</v>
      </c>
      <c r="D835">
        <v>0</v>
      </c>
    </row>
    <row r="836" spans="1:4" x14ac:dyDescent="0.35">
      <c r="A836" t="s">
        <v>2719</v>
      </c>
      <c r="B836">
        <v>-4142</v>
      </c>
      <c r="C836">
        <v>16777215</v>
      </c>
      <c r="D836">
        <v>0</v>
      </c>
    </row>
    <row r="837" spans="1:4" x14ac:dyDescent="0.35">
      <c r="A837" t="s">
        <v>2720</v>
      </c>
      <c r="B837">
        <v>-4142</v>
      </c>
      <c r="C837">
        <v>16777215</v>
      </c>
      <c r="D837">
        <v>0</v>
      </c>
    </row>
    <row r="838" spans="1:4" x14ac:dyDescent="0.35">
      <c r="A838" t="s">
        <v>2721</v>
      </c>
      <c r="B838">
        <v>-4142</v>
      </c>
      <c r="C838">
        <v>16777215</v>
      </c>
      <c r="D838">
        <v>0</v>
      </c>
    </row>
    <row r="839" spans="1:4" x14ac:dyDescent="0.35">
      <c r="A839" t="s">
        <v>2722</v>
      </c>
      <c r="B839">
        <v>-4142</v>
      </c>
      <c r="C839">
        <v>16777215</v>
      </c>
      <c r="D839">
        <v>0</v>
      </c>
    </row>
    <row r="840" spans="1:4" x14ac:dyDescent="0.35">
      <c r="A840" t="s">
        <v>2723</v>
      </c>
      <c r="B840">
        <v>-4142</v>
      </c>
      <c r="C840">
        <v>16777215</v>
      </c>
      <c r="D840">
        <v>0</v>
      </c>
    </row>
    <row r="841" spans="1:4" x14ac:dyDescent="0.35">
      <c r="A841" t="s">
        <v>2724</v>
      </c>
      <c r="B841">
        <v>-4142</v>
      </c>
      <c r="C841">
        <v>16777215</v>
      </c>
      <c r="D841">
        <v>0</v>
      </c>
    </row>
    <row r="842" spans="1:4" x14ac:dyDescent="0.35">
      <c r="A842" t="s">
        <v>2725</v>
      </c>
      <c r="B842">
        <v>-4142</v>
      </c>
      <c r="C842">
        <v>16777215</v>
      </c>
      <c r="D842">
        <v>0</v>
      </c>
    </row>
    <row r="843" spans="1:4" x14ac:dyDescent="0.35">
      <c r="A843" t="s">
        <v>2726</v>
      </c>
      <c r="B843">
        <v>-4142</v>
      </c>
      <c r="C843">
        <v>16777215</v>
      </c>
      <c r="D843">
        <v>0</v>
      </c>
    </row>
    <row r="844" spans="1:4" x14ac:dyDescent="0.35">
      <c r="A844" t="s">
        <v>2727</v>
      </c>
      <c r="B844">
        <v>-4142</v>
      </c>
      <c r="C844">
        <v>16777215</v>
      </c>
      <c r="D844">
        <v>0</v>
      </c>
    </row>
    <row r="845" spans="1:4" x14ac:dyDescent="0.35">
      <c r="A845" t="s">
        <v>2728</v>
      </c>
      <c r="B845">
        <v>-4142</v>
      </c>
      <c r="C845">
        <v>16777215</v>
      </c>
      <c r="D845">
        <v>0</v>
      </c>
    </row>
    <row r="846" spans="1:4" x14ac:dyDescent="0.35">
      <c r="A846" t="s">
        <v>2729</v>
      </c>
      <c r="B846">
        <v>-4142</v>
      </c>
      <c r="C846">
        <v>16777215</v>
      </c>
      <c r="D846">
        <v>0</v>
      </c>
    </row>
    <row r="847" spans="1:4" x14ac:dyDescent="0.35">
      <c r="A847" t="s">
        <v>2730</v>
      </c>
      <c r="B847">
        <v>-4142</v>
      </c>
      <c r="C847">
        <v>16777215</v>
      </c>
      <c r="D847">
        <v>0</v>
      </c>
    </row>
    <row r="848" spans="1:4" x14ac:dyDescent="0.35">
      <c r="A848" t="s">
        <v>2731</v>
      </c>
      <c r="B848">
        <v>-4142</v>
      </c>
      <c r="C848">
        <v>16777215</v>
      </c>
      <c r="D848">
        <v>0</v>
      </c>
    </row>
    <row r="849" spans="1:4" x14ac:dyDescent="0.35">
      <c r="A849" t="s">
        <v>2732</v>
      </c>
      <c r="B849">
        <v>-4142</v>
      </c>
      <c r="C849">
        <v>16777215</v>
      </c>
      <c r="D849">
        <v>0</v>
      </c>
    </row>
    <row r="850" spans="1:4" x14ac:dyDescent="0.35">
      <c r="A850" t="s">
        <v>2733</v>
      </c>
      <c r="B850">
        <v>-4142</v>
      </c>
      <c r="C850">
        <v>16777215</v>
      </c>
      <c r="D850">
        <v>0</v>
      </c>
    </row>
    <row r="851" spans="1:4" x14ac:dyDescent="0.35">
      <c r="A851" t="s">
        <v>2734</v>
      </c>
      <c r="B851">
        <v>-4142</v>
      </c>
      <c r="C851">
        <v>16777215</v>
      </c>
      <c r="D851">
        <v>0</v>
      </c>
    </row>
    <row r="852" spans="1:4" x14ac:dyDescent="0.35">
      <c r="A852" t="s">
        <v>2735</v>
      </c>
      <c r="B852">
        <v>-4142</v>
      </c>
      <c r="C852">
        <v>16777215</v>
      </c>
      <c r="D852">
        <v>0</v>
      </c>
    </row>
    <row r="853" spans="1:4" x14ac:dyDescent="0.35">
      <c r="A853" t="s">
        <v>2736</v>
      </c>
      <c r="B853">
        <v>-4142</v>
      </c>
      <c r="C853">
        <v>16777215</v>
      </c>
      <c r="D853">
        <v>0</v>
      </c>
    </row>
    <row r="854" spans="1:4" x14ac:dyDescent="0.35">
      <c r="A854" t="s">
        <v>2737</v>
      </c>
      <c r="B854">
        <v>-4142</v>
      </c>
      <c r="C854">
        <v>16777215</v>
      </c>
      <c r="D854">
        <v>0</v>
      </c>
    </row>
    <row r="855" spans="1:4" x14ac:dyDescent="0.35">
      <c r="A855" t="s">
        <v>2738</v>
      </c>
      <c r="B855">
        <v>-4142</v>
      </c>
      <c r="C855">
        <v>16777215</v>
      </c>
      <c r="D855">
        <v>0</v>
      </c>
    </row>
    <row r="856" spans="1:4" x14ac:dyDescent="0.35">
      <c r="A856" t="s">
        <v>2739</v>
      </c>
      <c r="B856">
        <v>-4142</v>
      </c>
      <c r="C856">
        <v>16777215</v>
      </c>
      <c r="D856">
        <v>0</v>
      </c>
    </row>
    <row r="857" spans="1:4" x14ac:dyDescent="0.35">
      <c r="A857" t="s">
        <v>2740</v>
      </c>
      <c r="B857">
        <v>-4142</v>
      </c>
      <c r="C857">
        <v>16777215</v>
      </c>
      <c r="D857">
        <v>0</v>
      </c>
    </row>
    <row r="858" spans="1:4" x14ac:dyDescent="0.35">
      <c r="A858" t="s">
        <v>2741</v>
      </c>
      <c r="B858">
        <v>-4142</v>
      </c>
      <c r="C858">
        <v>16777215</v>
      </c>
      <c r="D858">
        <v>0</v>
      </c>
    </row>
    <row r="859" spans="1:4" x14ac:dyDescent="0.35">
      <c r="A859" t="s">
        <v>2742</v>
      </c>
      <c r="B859">
        <v>-4142</v>
      </c>
      <c r="C859">
        <v>16777215</v>
      </c>
      <c r="D859">
        <v>0</v>
      </c>
    </row>
    <row r="860" spans="1:4" x14ac:dyDescent="0.35">
      <c r="A860" t="s">
        <v>2743</v>
      </c>
      <c r="B860">
        <v>-4142</v>
      </c>
      <c r="C860">
        <v>16777215</v>
      </c>
      <c r="D860">
        <v>0</v>
      </c>
    </row>
    <row r="861" spans="1:4" x14ac:dyDescent="0.35">
      <c r="A861" t="s">
        <v>2744</v>
      </c>
      <c r="B861">
        <v>-4142</v>
      </c>
      <c r="C861">
        <v>16777215</v>
      </c>
      <c r="D861">
        <v>0</v>
      </c>
    </row>
    <row r="862" spans="1:4" x14ac:dyDescent="0.35">
      <c r="A862" t="s">
        <v>2745</v>
      </c>
      <c r="B862">
        <v>-4142</v>
      </c>
      <c r="C862">
        <v>16777215</v>
      </c>
      <c r="D862">
        <v>0</v>
      </c>
    </row>
    <row r="863" spans="1:4" x14ac:dyDescent="0.35">
      <c r="A863" t="s">
        <v>2746</v>
      </c>
      <c r="B863">
        <v>-4142</v>
      </c>
      <c r="C863">
        <v>16777215</v>
      </c>
      <c r="D863">
        <v>0</v>
      </c>
    </row>
    <row r="864" spans="1:4" x14ac:dyDescent="0.35">
      <c r="A864" t="s">
        <v>2747</v>
      </c>
      <c r="B864">
        <v>-4142</v>
      </c>
      <c r="C864">
        <v>16777215</v>
      </c>
      <c r="D864">
        <v>0</v>
      </c>
    </row>
    <row r="865" spans="1:4" x14ac:dyDescent="0.35">
      <c r="A865" t="s">
        <v>2748</v>
      </c>
      <c r="B865">
        <v>-4142</v>
      </c>
      <c r="C865">
        <v>16777215</v>
      </c>
      <c r="D865">
        <v>0</v>
      </c>
    </row>
    <row r="866" spans="1:4" x14ac:dyDescent="0.35">
      <c r="A866" t="s">
        <v>2749</v>
      </c>
      <c r="B866">
        <v>-4142</v>
      </c>
      <c r="C866">
        <v>16777215</v>
      </c>
      <c r="D866">
        <v>0</v>
      </c>
    </row>
    <row r="867" spans="1:4" x14ac:dyDescent="0.35">
      <c r="A867" t="s">
        <v>2750</v>
      </c>
      <c r="B867">
        <v>-4142</v>
      </c>
      <c r="C867">
        <v>16777215</v>
      </c>
      <c r="D867">
        <v>0</v>
      </c>
    </row>
    <row r="868" spans="1:4" x14ac:dyDescent="0.35">
      <c r="A868" t="s">
        <v>2751</v>
      </c>
      <c r="B868">
        <v>-4142</v>
      </c>
      <c r="C868">
        <v>16777215</v>
      </c>
      <c r="D868">
        <v>0</v>
      </c>
    </row>
    <row r="869" spans="1:4" x14ac:dyDescent="0.35">
      <c r="A869" t="s">
        <v>2752</v>
      </c>
      <c r="B869">
        <v>-4142</v>
      </c>
      <c r="C869">
        <v>16777215</v>
      </c>
      <c r="D869">
        <v>0</v>
      </c>
    </row>
    <row r="870" spans="1:4" x14ac:dyDescent="0.35">
      <c r="A870" t="s">
        <v>2753</v>
      </c>
      <c r="B870">
        <v>-4142</v>
      </c>
      <c r="C870">
        <v>16777215</v>
      </c>
      <c r="D87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D290"/>
  <sheetViews>
    <sheetView showGridLines="0" topLeftCell="A2" zoomScale="70" zoomScaleNormal="70" zoomScaleSheetLayoutView="100" workbookViewId="0">
      <selection activeCell="J8" sqref="J8:T8"/>
    </sheetView>
  </sheetViews>
  <sheetFormatPr defaultColWidth="0" defaultRowHeight="18" customHeight="1" zeroHeight="1" x14ac:dyDescent="0.35"/>
  <cols>
    <col min="1" max="1" width="5.453125" style="38" customWidth="1"/>
    <col min="2" max="2" width="4.54296875" style="38" customWidth="1"/>
    <col min="3" max="3" width="8.54296875" style="38" customWidth="1"/>
    <col min="4" max="4" width="11" style="38" customWidth="1"/>
    <col min="5" max="5" width="7.54296875" style="38" customWidth="1"/>
    <col min="6" max="6" width="4.54296875" style="38" customWidth="1"/>
    <col min="7" max="7" width="8.1796875" style="46" customWidth="1"/>
    <col min="8" max="8" width="7.54296875" style="46" customWidth="1"/>
    <col min="9" max="9" width="7.81640625" style="46" customWidth="1"/>
    <col min="10" max="10" width="5.453125" style="43" customWidth="1"/>
    <col min="11" max="12" width="4.453125" style="38" customWidth="1"/>
    <col min="13" max="13" width="3.54296875" style="38" customWidth="1"/>
    <col min="14" max="14" width="4.54296875" style="38" customWidth="1"/>
    <col min="15" max="15" width="10" style="38" customWidth="1"/>
    <col min="16" max="16" width="5.453125" style="38" customWidth="1"/>
    <col min="17" max="17" width="5.81640625" style="38" customWidth="1"/>
    <col min="18" max="18" width="8.453125" style="38" bestFit="1" customWidth="1"/>
    <col min="19" max="19" width="7.453125" style="38" customWidth="1"/>
    <col min="20" max="20" width="56.1796875" style="44" customWidth="1"/>
    <col min="21" max="21" width="4.81640625" style="38" customWidth="1"/>
    <col min="22" max="22" width="8.81640625" style="38" hidden="1" customWidth="1"/>
    <col min="23" max="16357" width="0" style="38" hidden="1"/>
    <col min="16358" max="16358" width="0" style="50" hidden="1"/>
    <col min="16359" max="16384" width="8.81640625" style="38" hidden="1"/>
  </cols>
  <sheetData>
    <row r="1" spans="1:52" ht="19.75" hidden="1" customHeight="1" x14ac:dyDescent="0.35">
      <c r="A1" s="65"/>
      <c r="B1" s="65"/>
      <c r="C1" s="65"/>
      <c r="D1" s="65"/>
      <c r="E1" s="65"/>
      <c r="F1" s="70"/>
      <c r="G1" s="70"/>
      <c r="H1" s="70"/>
      <c r="I1" s="70"/>
      <c r="J1" s="70"/>
      <c r="K1" s="70"/>
      <c r="L1" s="70"/>
      <c r="M1" s="70"/>
      <c r="N1" s="70"/>
      <c r="O1" s="70"/>
      <c r="P1" s="70"/>
      <c r="Q1" s="70"/>
      <c r="R1" s="70"/>
      <c r="S1" s="70"/>
      <c r="T1" s="70"/>
      <c r="U1" s="70"/>
      <c r="V1" s="70"/>
      <c r="W1" s="70"/>
      <c r="X1" s="70"/>
      <c r="Y1" s="70"/>
      <c r="Z1" s="70"/>
      <c r="AA1" s="70"/>
      <c r="AB1" s="70"/>
      <c r="AC1" s="70"/>
    </row>
    <row r="2" spans="1:52" ht="6" customHeight="1" x14ac:dyDescent="0.35">
      <c r="A2" s="65"/>
      <c r="B2" s="65"/>
      <c r="C2" s="65"/>
      <c r="D2" s="65"/>
      <c r="E2" s="65"/>
      <c r="F2" s="70"/>
      <c r="G2" s="70"/>
      <c r="H2" s="70"/>
      <c r="I2" s="70"/>
      <c r="J2" s="70"/>
      <c r="K2" s="70"/>
      <c r="L2" s="70"/>
      <c r="M2" s="70"/>
      <c r="N2" s="70"/>
      <c r="O2" s="70"/>
      <c r="P2" s="70"/>
      <c r="Q2" s="70"/>
      <c r="R2" s="70"/>
      <c r="S2" s="70"/>
      <c r="T2" s="70"/>
      <c r="U2" s="70"/>
      <c r="V2" s="70"/>
      <c r="W2" s="70"/>
      <c r="X2" s="70"/>
      <c r="Y2" s="70"/>
      <c r="Z2" s="70"/>
      <c r="AA2" s="70"/>
      <c r="AB2" s="70"/>
      <c r="AC2" s="70"/>
    </row>
    <row r="3" spans="1:52" ht="18" customHeight="1" x14ac:dyDescent="0.35">
      <c r="A3" s="65"/>
      <c r="B3" s="65"/>
      <c r="C3" s="65"/>
      <c r="D3" s="65"/>
      <c r="E3" s="65"/>
      <c r="F3" s="70"/>
      <c r="G3" s="70"/>
      <c r="H3" s="70"/>
      <c r="I3" s="70"/>
      <c r="J3" s="70"/>
      <c r="K3" s="70"/>
      <c r="L3" s="70"/>
      <c r="M3" s="70"/>
      <c r="N3" s="70"/>
      <c r="O3" s="70"/>
      <c r="P3" s="70"/>
      <c r="Q3" s="70"/>
      <c r="R3" s="70"/>
      <c r="S3" s="70"/>
      <c r="T3" s="70"/>
      <c r="U3" s="70"/>
      <c r="V3" s="70"/>
      <c r="W3" s="70"/>
      <c r="X3" s="70"/>
      <c r="Y3" s="70"/>
      <c r="Z3" s="70"/>
      <c r="AA3" s="70"/>
      <c r="AB3" s="70"/>
      <c r="AC3" s="70"/>
    </row>
    <row r="4" spans="1:52" ht="25.4" customHeight="1" x14ac:dyDescent="0.4">
      <c r="A4" s="137"/>
      <c r="B4" s="151"/>
      <c r="C4" s="151"/>
      <c r="D4" s="151"/>
      <c r="E4" s="151"/>
      <c r="F4" s="71"/>
      <c r="G4" s="150"/>
      <c r="H4" s="150"/>
      <c r="I4" s="150"/>
      <c r="J4" s="150"/>
      <c r="K4" s="150"/>
      <c r="L4" s="150"/>
      <c r="M4" s="150"/>
      <c r="N4" s="150"/>
      <c r="O4" s="150"/>
      <c r="P4" s="150"/>
      <c r="Q4" s="150"/>
      <c r="R4" s="150"/>
      <c r="S4" s="150"/>
      <c r="T4" s="150"/>
      <c r="U4" s="70"/>
      <c r="V4" s="70"/>
      <c r="W4" s="70"/>
      <c r="X4" s="70"/>
      <c r="Y4" s="70"/>
      <c r="Z4" s="70"/>
      <c r="AA4" s="70"/>
      <c r="AB4" s="70"/>
      <c r="AC4" s="70"/>
    </row>
    <row r="5" spans="1:52" ht="18" customHeight="1" x14ac:dyDescent="0.4">
      <c r="A5" s="137"/>
      <c r="B5" s="66"/>
      <c r="C5" s="66"/>
      <c r="D5" s="66"/>
      <c r="E5" s="66"/>
      <c r="F5" s="71"/>
      <c r="G5" s="148" t="s">
        <v>0</v>
      </c>
      <c r="H5" s="149"/>
      <c r="I5" s="149"/>
      <c r="J5" s="145" t="s">
        <v>982</v>
      </c>
      <c r="K5" s="145"/>
      <c r="L5" s="145"/>
      <c r="M5" s="145"/>
      <c r="N5" s="145"/>
      <c r="O5" s="145"/>
      <c r="P5" s="145"/>
      <c r="Q5" s="145"/>
      <c r="R5" s="145"/>
      <c r="S5" s="145"/>
      <c r="T5" s="146"/>
      <c r="U5" s="70"/>
      <c r="V5" s="70"/>
      <c r="W5" s="70"/>
      <c r="X5" s="70"/>
      <c r="Y5" s="70"/>
      <c r="Z5" s="70"/>
      <c r="AA5" s="70"/>
      <c r="AB5" s="70"/>
      <c r="AC5" s="70"/>
    </row>
    <row r="6" spans="1:52" ht="18" customHeight="1" x14ac:dyDescent="0.4">
      <c r="A6" s="137"/>
      <c r="B6" s="66"/>
      <c r="C6" s="66"/>
      <c r="D6" s="66"/>
      <c r="E6" s="66"/>
      <c r="F6" s="71"/>
      <c r="G6" s="138" t="s">
        <v>1</v>
      </c>
      <c r="H6" s="139"/>
      <c r="I6" s="139"/>
      <c r="J6" s="154" t="s">
        <v>971</v>
      </c>
      <c r="K6" s="154"/>
      <c r="L6" s="154"/>
      <c r="M6" s="154"/>
      <c r="N6" s="154"/>
      <c r="O6" s="154"/>
      <c r="P6" s="154"/>
      <c r="Q6" s="154"/>
      <c r="R6" s="154"/>
      <c r="S6" s="154"/>
      <c r="T6" s="155"/>
      <c r="U6" s="70"/>
      <c r="V6" s="70"/>
      <c r="W6" s="70"/>
      <c r="X6" s="70"/>
      <c r="Y6" s="70"/>
      <c r="Z6" s="70"/>
      <c r="AA6" s="70"/>
      <c r="AB6" s="70"/>
      <c r="AC6" s="70"/>
    </row>
    <row r="7" spans="1:52" ht="18" customHeight="1" x14ac:dyDescent="0.4">
      <c r="A7" s="137"/>
      <c r="B7" s="66"/>
      <c r="C7" s="66"/>
      <c r="D7" s="66"/>
      <c r="E7" s="66"/>
      <c r="F7" s="71"/>
      <c r="G7" s="138" t="s">
        <v>2</v>
      </c>
      <c r="H7" s="139"/>
      <c r="I7" s="139"/>
      <c r="J7" s="154" t="s">
        <v>992</v>
      </c>
      <c r="K7" s="154"/>
      <c r="L7" s="154"/>
      <c r="M7" s="154"/>
      <c r="N7" s="154"/>
      <c r="O7" s="154"/>
      <c r="P7" s="154"/>
      <c r="Q7" s="154"/>
      <c r="R7" s="154"/>
      <c r="S7" s="154"/>
      <c r="T7" s="155"/>
      <c r="U7" s="70"/>
      <c r="V7" s="70"/>
      <c r="W7" s="70"/>
      <c r="X7" s="70"/>
      <c r="Y7" s="70"/>
      <c r="Z7" s="70"/>
      <c r="AA7" s="70"/>
      <c r="AB7" s="70"/>
      <c r="AC7" s="70"/>
    </row>
    <row r="8" spans="1:52" ht="21" customHeight="1" x14ac:dyDescent="0.4">
      <c r="A8" s="137"/>
      <c r="B8" s="66"/>
      <c r="C8" s="66"/>
      <c r="D8" s="66"/>
      <c r="E8" s="66"/>
      <c r="F8" s="71"/>
      <c r="G8" s="138" t="s">
        <v>3</v>
      </c>
      <c r="H8" s="139"/>
      <c r="I8" s="139"/>
      <c r="J8" s="179"/>
      <c r="K8" s="179"/>
      <c r="L8" s="179"/>
      <c r="M8" s="179"/>
      <c r="N8" s="179"/>
      <c r="O8" s="179"/>
      <c r="P8" s="179"/>
      <c r="Q8" s="179"/>
      <c r="R8" s="179"/>
      <c r="S8" s="179"/>
      <c r="T8" s="180"/>
      <c r="U8" s="70"/>
      <c r="V8" s="70"/>
      <c r="W8" s="70"/>
      <c r="X8" s="70"/>
      <c r="Y8" s="70"/>
      <c r="Z8" s="70"/>
      <c r="AA8" s="70"/>
      <c r="AB8" s="70"/>
      <c r="AC8" s="70"/>
    </row>
    <row r="9" spans="1:52" ht="18" customHeight="1" x14ac:dyDescent="0.4">
      <c r="A9" s="137"/>
      <c r="B9" s="66"/>
      <c r="C9" s="66"/>
      <c r="D9" s="66"/>
      <c r="E9" s="66"/>
      <c r="F9" s="71"/>
      <c r="G9" s="138" t="s">
        <v>4</v>
      </c>
      <c r="H9" s="139"/>
      <c r="I9" s="139"/>
      <c r="J9" s="154">
        <v>134941</v>
      </c>
      <c r="K9" s="154"/>
      <c r="L9" s="154"/>
      <c r="M9" s="154"/>
      <c r="N9" s="154"/>
      <c r="O9" s="154"/>
      <c r="P9" s="154"/>
      <c r="Q9" s="154"/>
      <c r="R9" s="154"/>
      <c r="S9" s="154"/>
      <c r="T9" s="155"/>
      <c r="U9" s="70"/>
      <c r="V9" s="70"/>
      <c r="W9" s="70"/>
      <c r="X9" s="70"/>
      <c r="Y9" s="70"/>
      <c r="Z9" s="70"/>
      <c r="AA9" s="70"/>
      <c r="AB9" s="70"/>
      <c r="AC9" s="70"/>
    </row>
    <row r="10" spans="1:52" ht="18" customHeight="1" x14ac:dyDescent="0.4">
      <c r="A10" s="137"/>
      <c r="B10" s="66"/>
      <c r="C10" s="66"/>
      <c r="D10" s="66"/>
      <c r="E10" s="66"/>
      <c r="F10" s="71"/>
      <c r="G10" s="161" t="s">
        <v>5</v>
      </c>
      <c r="H10" s="162"/>
      <c r="I10" s="162"/>
      <c r="J10" s="156" t="s">
        <v>1433</v>
      </c>
      <c r="K10" s="156"/>
      <c r="L10" s="156"/>
      <c r="M10" s="156"/>
      <c r="N10" s="156"/>
      <c r="O10" s="156"/>
      <c r="P10" s="156"/>
      <c r="Q10" s="156"/>
      <c r="R10" s="156"/>
      <c r="S10" s="156"/>
      <c r="T10" s="157"/>
      <c r="U10" s="70"/>
      <c r="V10" s="70"/>
      <c r="W10" s="70"/>
      <c r="X10" s="70"/>
      <c r="Y10" s="70"/>
      <c r="Z10" s="70"/>
      <c r="AA10" s="70"/>
      <c r="AB10" s="70"/>
      <c r="AC10" s="70"/>
    </row>
    <row r="11" spans="1:52" ht="18" customHeight="1" x14ac:dyDescent="0.4">
      <c r="A11" s="137"/>
      <c r="B11" s="66"/>
      <c r="C11" s="66"/>
      <c r="D11" s="66"/>
      <c r="E11" s="66"/>
      <c r="F11" s="71"/>
      <c r="G11" s="72"/>
      <c r="H11" s="72"/>
      <c r="I11" s="72"/>
      <c r="J11" s="73"/>
      <c r="K11" s="74"/>
      <c r="L11" s="74"/>
      <c r="M11" s="74"/>
      <c r="N11" s="74"/>
      <c r="O11" s="74"/>
      <c r="P11" s="74"/>
      <c r="Q11" s="74"/>
      <c r="R11" s="74"/>
      <c r="S11" s="74"/>
      <c r="T11" s="57"/>
      <c r="U11" s="70"/>
      <c r="V11" s="70"/>
      <c r="W11" s="70"/>
      <c r="X11" s="70"/>
      <c r="Y11" s="70"/>
      <c r="Z11" s="70"/>
      <c r="AA11" s="70"/>
      <c r="AB11" s="70"/>
      <c r="AC11" s="70"/>
    </row>
    <row r="12" spans="1:52" ht="32.5" customHeight="1" x14ac:dyDescent="0.4">
      <c r="A12" s="137"/>
      <c r="B12" s="66"/>
      <c r="C12" s="66"/>
      <c r="D12" s="66"/>
      <c r="E12" s="66"/>
      <c r="F12" s="71"/>
      <c r="G12" s="150"/>
      <c r="H12" s="150"/>
      <c r="I12" s="150"/>
      <c r="J12" s="150"/>
      <c r="K12" s="150"/>
      <c r="L12" s="150"/>
      <c r="M12" s="150"/>
      <c r="N12" s="150"/>
      <c r="O12" s="150"/>
      <c r="P12" s="150"/>
      <c r="Q12" s="150"/>
      <c r="R12" s="150"/>
      <c r="S12" s="150"/>
      <c r="T12" s="150"/>
      <c r="U12" s="70"/>
      <c r="V12" s="70"/>
      <c r="W12" s="70"/>
      <c r="X12" s="70"/>
      <c r="Y12" s="70"/>
      <c r="Z12" s="70"/>
      <c r="AA12" s="70"/>
      <c r="AB12" s="70"/>
      <c r="AC12" s="70"/>
    </row>
    <row r="13" spans="1:52" ht="18" customHeight="1" x14ac:dyDescent="0.4">
      <c r="A13" s="137"/>
      <c r="B13" s="66"/>
      <c r="C13" s="66"/>
      <c r="D13" s="66"/>
      <c r="E13" s="66"/>
      <c r="F13" s="71"/>
      <c r="G13" s="148" t="s">
        <v>6</v>
      </c>
      <c r="H13" s="149"/>
      <c r="I13" s="149"/>
      <c r="J13" s="145" t="s">
        <v>1434</v>
      </c>
      <c r="K13" s="145"/>
      <c r="L13" s="145"/>
      <c r="M13" s="145"/>
      <c r="N13" s="145"/>
      <c r="O13" s="145"/>
      <c r="P13" s="145"/>
      <c r="Q13" s="145"/>
      <c r="R13" s="145"/>
      <c r="S13" s="145"/>
      <c r="T13" s="146"/>
      <c r="U13" s="70"/>
      <c r="V13" s="70"/>
      <c r="W13" s="70"/>
      <c r="X13" s="70"/>
      <c r="Y13" s="70"/>
      <c r="Z13" s="70"/>
      <c r="AA13" s="70"/>
      <c r="AB13" s="70"/>
      <c r="AC13" s="70"/>
    </row>
    <row r="14" spans="1:52" ht="18" customHeight="1" x14ac:dyDescent="0.4">
      <c r="A14" s="137"/>
      <c r="B14" s="66"/>
      <c r="C14" s="66"/>
      <c r="D14" s="66"/>
      <c r="E14" s="66"/>
      <c r="F14" s="71"/>
      <c r="G14" s="161" t="s">
        <v>8</v>
      </c>
      <c r="H14" s="162"/>
      <c r="I14" s="162"/>
      <c r="J14" s="156" t="s">
        <v>3050</v>
      </c>
      <c r="K14" s="156"/>
      <c r="L14" s="156"/>
      <c r="M14" s="156"/>
      <c r="N14" s="156"/>
      <c r="O14" s="156"/>
      <c r="P14" s="156"/>
      <c r="Q14" s="156"/>
      <c r="R14" s="156"/>
      <c r="S14" s="156"/>
      <c r="T14" s="157"/>
      <c r="U14" s="70"/>
      <c r="V14" s="70"/>
      <c r="W14" s="70"/>
      <c r="X14" s="70"/>
      <c r="Y14" s="70"/>
      <c r="Z14" s="70"/>
      <c r="AA14" s="70"/>
      <c r="AB14" s="70"/>
      <c r="AC14" s="70"/>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row>
    <row r="15" spans="1:52" ht="18" customHeight="1" x14ac:dyDescent="0.4">
      <c r="A15" s="137"/>
      <c r="B15" s="65"/>
      <c r="C15" s="65"/>
      <c r="D15" s="65"/>
      <c r="E15" s="65"/>
      <c r="F15" s="71"/>
      <c r="G15" s="72"/>
      <c r="H15" s="72"/>
      <c r="I15" s="72"/>
      <c r="J15" s="73"/>
      <c r="K15" s="74"/>
      <c r="L15" s="74"/>
      <c r="M15" s="74"/>
      <c r="N15" s="74"/>
      <c r="O15" s="74"/>
      <c r="P15" s="74"/>
      <c r="Q15" s="74"/>
      <c r="R15" s="74"/>
      <c r="S15" s="74"/>
      <c r="T15" s="57"/>
      <c r="U15" s="70"/>
      <c r="V15" s="70"/>
      <c r="W15" s="70"/>
      <c r="X15" s="70"/>
      <c r="Y15" s="70"/>
      <c r="Z15" s="70"/>
      <c r="AA15" s="70"/>
      <c r="AB15" s="70"/>
      <c r="AC15" s="70"/>
      <c r="AD15" s="51"/>
      <c r="AE15" s="49"/>
      <c r="AF15" s="49"/>
      <c r="AG15" s="49"/>
      <c r="AH15" s="49"/>
      <c r="AI15" s="49"/>
      <c r="AJ15" s="49"/>
      <c r="AK15" s="49"/>
      <c r="AL15" s="49"/>
      <c r="AM15" s="49"/>
      <c r="AN15" s="49"/>
      <c r="AO15" s="49"/>
      <c r="AP15" s="49"/>
      <c r="AQ15" s="49"/>
      <c r="AR15" s="49"/>
      <c r="AS15" s="49"/>
      <c r="AT15" s="49"/>
      <c r="AU15" s="49"/>
      <c r="AV15" s="49"/>
      <c r="AW15" s="49"/>
      <c r="AX15" s="49"/>
      <c r="AY15" s="49"/>
      <c r="AZ15" s="49"/>
    </row>
    <row r="16" spans="1:52" ht="30.65" customHeight="1" x14ac:dyDescent="0.4">
      <c r="A16" s="137"/>
      <c r="B16" s="151"/>
      <c r="C16" s="151"/>
      <c r="D16" s="151"/>
      <c r="E16" s="151"/>
      <c r="F16" s="71"/>
      <c r="G16" s="150"/>
      <c r="H16" s="150"/>
      <c r="I16" s="150"/>
      <c r="J16" s="150"/>
      <c r="K16" s="150"/>
      <c r="L16" s="150"/>
      <c r="M16" s="150"/>
      <c r="N16" s="150"/>
      <c r="O16" s="150"/>
      <c r="P16" s="150"/>
      <c r="Q16" s="150"/>
      <c r="R16" s="150"/>
      <c r="S16" s="150"/>
      <c r="T16" s="150"/>
      <c r="U16" s="70"/>
      <c r="V16" s="70"/>
      <c r="W16" s="70"/>
      <c r="X16" s="70"/>
      <c r="Y16" s="70"/>
      <c r="Z16" s="70"/>
      <c r="AA16" s="70"/>
      <c r="AB16" s="70"/>
      <c r="AC16" s="70"/>
      <c r="AD16" s="51"/>
      <c r="AE16" s="49"/>
      <c r="AF16" s="49"/>
      <c r="AG16" s="49"/>
      <c r="AH16" s="49"/>
      <c r="AI16" s="49"/>
      <c r="AJ16" s="49"/>
      <c r="AK16" s="49"/>
      <c r="AL16" s="49"/>
      <c r="AM16" s="49"/>
      <c r="AN16" s="49"/>
      <c r="AO16" s="49"/>
      <c r="AP16" s="49"/>
      <c r="AQ16" s="49"/>
      <c r="AR16" s="49"/>
      <c r="AS16" s="49"/>
      <c r="AT16" s="49"/>
      <c r="AU16" s="49"/>
      <c r="AV16" s="49"/>
      <c r="AW16" s="49"/>
      <c r="AX16" s="49"/>
      <c r="AY16" s="49"/>
      <c r="AZ16" s="49"/>
    </row>
    <row r="17" spans="1:52 16358:16358" ht="18" customHeight="1" x14ac:dyDescent="0.4">
      <c r="A17" s="137"/>
      <c r="B17" s="67"/>
      <c r="C17" s="67"/>
      <c r="D17" s="67"/>
      <c r="E17" s="67"/>
      <c r="F17" s="71"/>
      <c r="G17" s="143" t="s">
        <v>9</v>
      </c>
      <c r="H17" s="144"/>
      <c r="I17" s="144"/>
      <c r="J17" s="165" t="s">
        <v>10</v>
      </c>
      <c r="K17" s="144"/>
      <c r="L17" s="144"/>
      <c r="M17" s="144"/>
      <c r="N17" s="144"/>
      <c r="O17" s="144"/>
      <c r="P17" s="144"/>
      <c r="Q17" s="144"/>
      <c r="R17" s="144"/>
      <c r="S17" s="144"/>
      <c r="T17" s="59" t="s">
        <v>11</v>
      </c>
      <c r="U17" s="70"/>
      <c r="V17" s="70"/>
      <c r="W17" s="70"/>
      <c r="X17" s="70"/>
      <c r="Y17" s="70"/>
      <c r="Z17" s="70"/>
      <c r="AA17" s="70"/>
      <c r="AB17" s="70"/>
      <c r="AC17" s="70"/>
      <c r="AD17" s="51"/>
      <c r="AE17" s="49"/>
      <c r="AF17" s="49"/>
      <c r="AG17" s="49"/>
      <c r="AH17" s="49"/>
      <c r="AI17" s="49"/>
      <c r="AJ17" s="49"/>
      <c r="AK17" s="49"/>
      <c r="AL17" s="49"/>
      <c r="AM17" s="49"/>
      <c r="AN17" s="49"/>
      <c r="AO17" s="49"/>
      <c r="AP17" s="49"/>
      <c r="AQ17" s="49"/>
      <c r="AR17" s="49"/>
      <c r="AS17" s="49"/>
      <c r="AT17" s="49"/>
      <c r="AU17" s="49"/>
      <c r="AV17" s="49"/>
      <c r="AW17" s="49"/>
      <c r="AX17" s="49"/>
      <c r="AY17" s="49"/>
      <c r="AZ17" s="49"/>
    </row>
    <row r="18" spans="1:52 16358:16358" ht="17.5" customHeight="1" x14ac:dyDescent="0.4">
      <c r="A18" s="137"/>
      <c r="B18" s="67"/>
      <c r="C18" s="67"/>
      <c r="D18" s="67"/>
      <c r="E18" s="67"/>
      <c r="F18" s="71"/>
      <c r="G18" s="138" t="s">
        <v>12</v>
      </c>
      <c r="H18" s="139"/>
      <c r="I18" s="139"/>
      <c r="J18" s="152"/>
      <c r="K18" s="152"/>
      <c r="L18" s="152"/>
      <c r="M18" s="152"/>
      <c r="N18" s="152"/>
      <c r="O18" s="152"/>
      <c r="P18" s="152"/>
      <c r="Q18" s="152"/>
      <c r="R18" s="152"/>
      <c r="S18" s="152"/>
      <c r="T18" s="61"/>
      <c r="U18" s="70"/>
      <c r="V18" s="70"/>
      <c r="W18" s="70"/>
      <c r="X18" s="70"/>
      <c r="Y18" s="70"/>
      <c r="Z18" s="70"/>
      <c r="AA18" s="70"/>
      <c r="AB18" s="70"/>
      <c r="AC18" s="70"/>
    </row>
    <row r="19" spans="1:52 16358:16358" ht="18" customHeight="1" x14ac:dyDescent="0.4">
      <c r="A19" s="137"/>
      <c r="B19" s="67"/>
      <c r="C19" s="67"/>
      <c r="D19" s="67"/>
      <c r="E19" s="67"/>
      <c r="F19" s="71"/>
      <c r="G19" s="138" t="s">
        <v>13</v>
      </c>
      <c r="H19" s="139"/>
      <c r="I19" s="139"/>
      <c r="J19" s="152"/>
      <c r="K19" s="152"/>
      <c r="L19" s="152"/>
      <c r="M19" s="152"/>
      <c r="N19" s="152"/>
      <c r="O19" s="152"/>
      <c r="P19" s="152"/>
      <c r="Q19" s="152"/>
      <c r="R19" s="152"/>
      <c r="S19" s="152"/>
      <c r="T19" s="61"/>
      <c r="U19" s="70"/>
      <c r="V19" s="70"/>
      <c r="W19" s="70"/>
      <c r="X19" s="70"/>
      <c r="Y19" s="70"/>
      <c r="Z19" s="70"/>
      <c r="AA19" s="70"/>
      <c r="AB19" s="70"/>
      <c r="AC19" s="70"/>
    </row>
    <row r="20" spans="1:52 16358:16358" ht="18" customHeight="1" x14ac:dyDescent="0.4">
      <c r="A20" s="137"/>
      <c r="B20" s="67"/>
      <c r="C20" s="67"/>
      <c r="D20" s="67"/>
      <c r="E20" s="67"/>
      <c r="F20" s="71"/>
      <c r="G20" s="138" t="s">
        <v>14</v>
      </c>
      <c r="H20" s="139"/>
      <c r="I20" s="139"/>
      <c r="J20" s="152"/>
      <c r="K20" s="152"/>
      <c r="L20" s="152"/>
      <c r="M20" s="152"/>
      <c r="N20" s="152"/>
      <c r="O20" s="152"/>
      <c r="P20" s="152"/>
      <c r="Q20" s="152"/>
      <c r="R20" s="152"/>
      <c r="S20" s="152"/>
      <c r="T20" s="61"/>
      <c r="U20" s="70"/>
      <c r="V20" s="70"/>
      <c r="W20" s="70"/>
      <c r="X20" s="70"/>
      <c r="Y20" s="70"/>
      <c r="Z20" s="70"/>
      <c r="AA20" s="70"/>
      <c r="AB20" s="70"/>
      <c r="AC20" s="70"/>
    </row>
    <row r="21" spans="1:52 16358:16358" ht="18" customHeight="1" x14ac:dyDescent="0.4">
      <c r="A21" s="137"/>
      <c r="B21" s="67"/>
      <c r="C21" s="67"/>
      <c r="D21" s="67"/>
      <c r="E21" s="67"/>
      <c r="F21" s="71"/>
      <c r="G21" s="138" t="s">
        <v>15</v>
      </c>
      <c r="H21" s="139"/>
      <c r="I21" s="139"/>
      <c r="J21" s="166"/>
      <c r="K21" s="166"/>
      <c r="L21" s="166"/>
      <c r="M21" s="166"/>
      <c r="N21" s="166"/>
      <c r="O21" s="166"/>
      <c r="P21" s="166"/>
      <c r="Q21" s="166"/>
      <c r="R21" s="166"/>
      <c r="S21" s="166"/>
      <c r="T21" s="61"/>
      <c r="U21" s="70"/>
      <c r="V21" s="70"/>
      <c r="W21" s="70"/>
      <c r="X21" s="70"/>
      <c r="Y21" s="70"/>
      <c r="Z21" s="70"/>
      <c r="AA21" s="70"/>
      <c r="AB21" s="70"/>
      <c r="AC21" s="70"/>
    </row>
    <row r="22" spans="1:52 16358:16358" ht="18" customHeight="1" x14ac:dyDescent="0.4">
      <c r="A22" s="137"/>
      <c r="B22" s="67"/>
      <c r="C22" s="67"/>
      <c r="D22" s="67"/>
      <c r="E22" s="67"/>
      <c r="F22" s="71"/>
      <c r="G22" s="138" t="s">
        <v>16</v>
      </c>
      <c r="H22" s="139"/>
      <c r="I22" s="139"/>
      <c r="J22" s="166"/>
      <c r="K22" s="166"/>
      <c r="L22" s="166"/>
      <c r="M22" s="166"/>
      <c r="N22" s="166"/>
      <c r="O22" s="166"/>
      <c r="P22" s="166"/>
      <c r="Q22" s="166"/>
      <c r="R22" s="166"/>
      <c r="S22" s="166"/>
      <c r="T22" s="61"/>
      <c r="U22" s="70"/>
      <c r="V22" s="70"/>
      <c r="W22" s="70"/>
      <c r="X22" s="70"/>
      <c r="Y22" s="70"/>
      <c r="Z22" s="70"/>
      <c r="AA22" s="70"/>
      <c r="AB22" s="70"/>
      <c r="AC22" s="70"/>
    </row>
    <row r="23" spans="1:52 16358:16358" ht="18" customHeight="1" x14ac:dyDescent="0.4">
      <c r="A23" s="137"/>
      <c r="B23" s="67"/>
      <c r="C23" s="67"/>
      <c r="D23" s="67"/>
      <c r="E23" s="67"/>
      <c r="F23" s="71"/>
      <c r="G23" s="161" t="s">
        <v>17</v>
      </c>
      <c r="H23" s="162"/>
      <c r="I23" s="162"/>
      <c r="J23" s="160"/>
      <c r="K23" s="160"/>
      <c r="L23" s="160"/>
      <c r="M23" s="160"/>
      <c r="N23" s="160"/>
      <c r="O23" s="160"/>
      <c r="P23" s="160"/>
      <c r="Q23" s="160"/>
      <c r="R23" s="160"/>
      <c r="S23" s="160"/>
      <c r="T23" s="60"/>
      <c r="U23" s="70"/>
      <c r="V23" s="70"/>
      <c r="W23" s="70"/>
      <c r="X23" s="70"/>
      <c r="Y23" s="70"/>
      <c r="Z23" s="70"/>
      <c r="AA23" s="70"/>
      <c r="AB23" s="70"/>
      <c r="AC23" s="70"/>
    </row>
    <row r="24" spans="1:52 16358:16358" ht="18" customHeight="1" x14ac:dyDescent="0.4">
      <c r="A24" s="137"/>
      <c r="B24" s="67"/>
      <c r="C24" s="67"/>
      <c r="D24" s="67"/>
      <c r="E24" s="67"/>
      <c r="F24" s="71"/>
      <c r="G24" s="72"/>
      <c r="H24" s="72"/>
      <c r="I24" s="72"/>
      <c r="J24" s="75"/>
      <c r="K24" s="75"/>
      <c r="L24" s="75"/>
      <c r="M24" s="75"/>
      <c r="N24" s="75"/>
      <c r="O24" s="75"/>
      <c r="P24" s="75"/>
      <c r="Q24" s="75"/>
      <c r="R24" s="75"/>
      <c r="S24" s="75"/>
      <c r="T24" s="54"/>
      <c r="U24" s="70"/>
      <c r="V24" s="70"/>
      <c r="W24" s="70"/>
      <c r="X24" s="70"/>
      <c r="Y24" s="70"/>
      <c r="Z24" s="70"/>
      <c r="AA24" s="70"/>
      <c r="AB24" s="70"/>
      <c r="AC24" s="70"/>
    </row>
    <row r="25" spans="1:52 16358:16358" ht="37.75" customHeight="1" x14ac:dyDescent="0.4">
      <c r="A25" s="137"/>
      <c r="B25" s="67"/>
      <c r="C25" s="67"/>
      <c r="D25" s="67"/>
      <c r="E25" s="67"/>
      <c r="F25" s="71"/>
      <c r="G25" s="76"/>
      <c r="H25" s="76"/>
      <c r="I25" s="76"/>
      <c r="J25" s="76"/>
      <c r="K25" s="76"/>
      <c r="L25" s="76"/>
      <c r="M25" s="76"/>
      <c r="N25" s="76"/>
      <c r="O25" s="76"/>
      <c r="P25" s="76"/>
      <c r="Q25" s="76"/>
      <c r="R25" s="76"/>
      <c r="S25" s="76"/>
      <c r="T25" s="58"/>
      <c r="U25" s="70"/>
      <c r="V25" s="70"/>
      <c r="W25" s="70"/>
      <c r="X25" s="70"/>
      <c r="Y25" s="70"/>
      <c r="Z25" s="70"/>
      <c r="AA25" s="70"/>
      <c r="AB25" s="70"/>
      <c r="AC25" s="70"/>
    </row>
    <row r="26" spans="1:52 16358:16358" ht="18" customHeight="1" x14ac:dyDescent="0.4">
      <c r="A26" s="137"/>
      <c r="B26" s="67"/>
      <c r="C26" s="67"/>
      <c r="D26" s="67"/>
      <c r="E26" s="67"/>
      <c r="F26" s="71"/>
      <c r="G26" s="163" t="s">
        <v>18</v>
      </c>
      <c r="H26" s="153"/>
      <c r="I26" s="153"/>
      <c r="J26" s="153"/>
      <c r="K26" s="153"/>
      <c r="L26" s="153" t="s">
        <v>19</v>
      </c>
      <c r="M26" s="153"/>
      <c r="N26" s="153"/>
      <c r="O26" s="69" t="s">
        <v>20</v>
      </c>
      <c r="P26" s="159" t="s">
        <v>21</v>
      </c>
      <c r="Q26" s="159"/>
      <c r="R26" s="153" t="s">
        <v>22</v>
      </c>
      <c r="S26" s="153"/>
      <c r="T26" s="62" t="s">
        <v>23</v>
      </c>
      <c r="U26" s="77"/>
      <c r="V26" s="70"/>
      <c r="W26" s="70"/>
      <c r="X26" s="70"/>
      <c r="Y26" s="70"/>
      <c r="Z26" s="70"/>
      <c r="AA26" s="70"/>
      <c r="AB26" s="70"/>
      <c r="AC26" s="70"/>
    </row>
    <row r="27" spans="1:52 16358:16358" ht="18" customHeight="1" x14ac:dyDescent="0.4">
      <c r="A27" s="137"/>
      <c r="B27" s="67"/>
      <c r="C27" s="67"/>
      <c r="D27" s="67"/>
      <c r="E27" s="67"/>
      <c r="F27" s="71"/>
      <c r="G27" s="141"/>
      <c r="H27" s="142"/>
      <c r="I27" s="142"/>
      <c r="J27" s="142"/>
      <c r="K27" s="142"/>
      <c r="L27" s="158"/>
      <c r="M27" s="158"/>
      <c r="N27" s="158"/>
      <c r="O27" s="63"/>
      <c r="P27" s="140" t="str">
        <f>_xlfn.XLOOKUP(G27,O37:O290,S37:S290, "")</f>
        <v/>
      </c>
      <c r="Q27" s="140"/>
      <c r="R27" s="140" t="str">
        <f>_xlfn.XLOOKUP(G27,O37:O290,T37:T290, "")</f>
        <v/>
      </c>
      <c r="S27" s="140"/>
      <c r="T27" s="64" t="str">
        <f>_xlfn.XLOOKUP(G27,O37:O290,R37:R290, "")</f>
        <v/>
      </c>
      <c r="U27" s="70"/>
      <c r="V27" s="70"/>
      <c r="W27" s="70"/>
      <c r="X27" s="70"/>
      <c r="Y27" s="70"/>
      <c r="Z27" s="70"/>
      <c r="AA27" s="70"/>
      <c r="AB27" s="70"/>
      <c r="AC27" s="70"/>
    </row>
    <row r="28" spans="1:52 16358:16358" ht="17.399999999999999" customHeight="1" x14ac:dyDescent="0.4">
      <c r="A28" s="137"/>
      <c r="B28" s="67"/>
      <c r="C28" s="67"/>
      <c r="D28" s="67"/>
      <c r="E28" s="67"/>
      <c r="F28" s="71"/>
      <c r="G28" s="78"/>
      <c r="H28" s="78"/>
      <c r="I28" s="78"/>
      <c r="J28" s="78"/>
      <c r="K28" s="78"/>
      <c r="L28" s="79"/>
      <c r="M28" s="79"/>
      <c r="N28" s="79"/>
      <c r="O28" s="79"/>
      <c r="P28" s="80"/>
      <c r="Q28" s="80"/>
      <c r="R28" s="80"/>
      <c r="S28" s="80"/>
      <c r="T28" s="53"/>
      <c r="U28" s="70"/>
      <c r="V28" s="70"/>
      <c r="W28" s="70"/>
      <c r="X28" s="70"/>
      <c r="Y28" s="70"/>
      <c r="Z28" s="70"/>
      <c r="AA28" s="70"/>
      <c r="AB28" s="70"/>
      <c r="AC28" s="70"/>
    </row>
    <row r="29" spans="1:52 16358:16358" s="45" customFormat="1" ht="15.65" hidden="1" customHeight="1" x14ac:dyDescent="0.4">
      <c r="A29" s="137"/>
      <c r="B29" s="68"/>
      <c r="C29" s="68"/>
      <c r="D29" s="68"/>
      <c r="E29" s="68"/>
      <c r="F29" s="71"/>
      <c r="G29" s="147"/>
      <c r="H29" s="147"/>
      <c r="I29" s="147"/>
      <c r="J29" s="147"/>
      <c r="K29" s="147"/>
      <c r="L29" s="147"/>
      <c r="M29" s="147"/>
      <c r="N29" s="147"/>
      <c r="O29" s="147"/>
      <c r="P29" s="147"/>
      <c r="Q29" s="147"/>
      <c r="R29" s="147"/>
      <c r="S29" s="147"/>
      <c r="T29" s="55"/>
      <c r="U29" s="81"/>
      <c r="V29" s="81"/>
      <c r="W29" s="81"/>
      <c r="X29" s="81"/>
      <c r="Y29" s="81"/>
      <c r="Z29" s="81"/>
      <c r="AA29" s="81"/>
      <c r="AB29" s="81"/>
      <c r="AC29" s="81"/>
      <c r="XED29" s="52"/>
    </row>
    <row r="30" spans="1:52 16358:16358" ht="18" hidden="1" customHeight="1" x14ac:dyDescent="0.35">
      <c r="A30" s="82"/>
      <c r="B30" s="82"/>
      <c r="C30" s="82"/>
      <c r="D30" s="82"/>
      <c r="E30" s="82"/>
      <c r="F30" s="82"/>
      <c r="G30" s="171"/>
      <c r="H30" s="172"/>
      <c r="I30" s="172"/>
      <c r="J30" s="171"/>
      <c r="K30" s="173"/>
      <c r="L30" s="173"/>
      <c r="M30" s="173"/>
      <c r="N30" s="173"/>
      <c r="O30" s="173"/>
      <c r="P30" s="173"/>
      <c r="Q30" s="173"/>
      <c r="R30" s="173"/>
      <c r="S30" s="173"/>
      <c r="T30" s="56"/>
      <c r="U30" s="70"/>
      <c r="V30" s="70"/>
      <c r="W30" s="70"/>
      <c r="X30" s="70"/>
      <c r="Y30" s="70"/>
      <c r="Z30" s="70"/>
      <c r="AA30" s="70"/>
      <c r="AB30" s="70"/>
      <c r="AC30" s="70"/>
    </row>
    <row r="31" spans="1:52 16358:16358" ht="18" hidden="1" customHeight="1" x14ac:dyDescent="0.35">
      <c r="A31" s="43"/>
      <c r="B31" s="43"/>
      <c r="C31" s="43"/>
      <c r="D31" s="43"/>
      <c r="E31" s="43"/>
      <c r="F31" s="43"/>
      <c r="G31" s="170"/>
      <c r="H31" s="168"/>
      <c r="I31" s="168"/>
      <c r="J31" s="170"/>
      <c r="K31" s="167"/>
      <c r="L31" s="167"/>
      <c r="M31" s="167"/>
      <c r="N31" s="167"/>
      <c r="O31" s="167"/>
      <c r="P31" s="167"/>
      <c r="Q31" s="167"/>
      <c r="R31" s="167"/>
      <c r="S31" s="167"/>
    </row>
    <row r="32" spans="1:52 16358:16358" ht="18" hidden="1" customHeight="1" x14ac:dyDescent="0.35">
      <c r="A32" s="43"/>
      <c r="B32" s="43"/>
      <c r="C32" s="43"/>
      <c r="D32" s="43"/>
      <c r="E32" s="43"/>
      <c r="F32" s="43"/>
      <c r="G32" s="170"/>
      <c r="H32" s="168"/>
      <c r="I32" s="168"/>
      <c r="J32" s="170"/>
      <c r="K32" s="167"/>
      <c r="L32" s="167"/>
      <c r="M32" s="167"/>
      <c r="N32" s="167"/>
      <c r="O32" s="167"/>
      <c r="P32" s="167"/>
      <c r="Q32" s="167"/>
      <c r="R32" s="167"/>
      <c r="S32" s="167"/>
    </row>
    <row r="33" spans="1:20" ht="18" hidden="1" customHeight="1" x14ac:dyDescent="0.35">
      <c r="G33" s="170"/>
      <c r="H33" s="168"/>
      <c r="I33" s="168"/>
      <c r="J33" s="170"/>
      <c r="K33" s="167"/>
      <c r="L33" s="167"/>
      <c r="M33" s="167"/>
      <c r="N33" s="167"/>
      <c r="O33" s="167"/>
      <c r="P33" s="167"/>
      <c r="Q33" s="167"/>
      <c r="R33" s="167"/>
      <c r="S33" s="167"/>
    </row>
    <row r="34" spans="1:20" ht="18" hidden="1" customHeight="1" x14ac:dyDescent="0.35">
      <c r="G34" s="170"/>
      <c r="H34" s="168"/>
      <c r="I34" s="168"/>
      <c r="J34" s="170"/>
      <c r="K34" s="167"/>
      <c r="L34" s="167"/>
      <c r="M34" s="167"/>
      <c r="N34" s="167"/>
      <c r="O34" s="167"/>
      <c r="P34" s="167"/>
      <c r="Q34" s="167"/>
      <c r="R34" s="167"/>
      <c r="S34" s="167"/>
    </row>
    <row r="35" spans="1:20" ht="18" hidden="1" customHeight="1" x14ac:dyDescent="0.35">
      <c r="A35" s="167"/>
      <c r="B35" s="167"/>
      <c r="C35" s="167"/>
      <c r="D35" s="167"/>
      <c r="E35" s="167"/>
      <c r="F35" s="167"/>
      <c r="G35" s="168"/>
      <c r="H35" s="168"/>
      <c r="I35" s="168"/>
      <c r="J35" s="169"/>
      <c r="K35" s="167"/>
      <c r="L35" s="167"/>
      <c r="M35" s="167"/>
      <c r="N35" s="167"/>
      <c r="O35" s="167"/>
      <c r="P35" s="167"/>
      <c r="Q35" s="167"/>
      <c r="R35" s="167"/>
      <c r="S35" s="167"/>
      <c r="T35" s="169"/>
    </row>
    <row r="36" spans="1:20" ht="18" hidden="1" customHeight="1" x14ac:dyDescent="0.35">
      <c r="O36" s="47" t="s">
        <v>27</v>
      </c>
      <c r="P36" s="47" t="s">
        <v>28</v>
      </c>
      <c r="Q36" s="47" t="s">
        <v>29</v>
      </c>
      <c r="R36" s="47" t="s">
        <v>30</v>
      </c>
      <c r="S36" s="47" t="s">
        <v>31</v>
      </c>
      <c r="T36" s="47" t="s">
        <v>32</v>
      </c>
    </row>
    <row r="37" spans="1:20" ht="18" hidden="1" customHeight="1" x14ac:dyDescent="0.35">
      <c r="O37" s="48" t="s">
        <v>33</v>
      </c>
      <c r="P37" s="48" t="s">
        <v>34</v>
      </c>
      <c r="Q37" s="48" t="s">
        <v>35</v>
      </c>
      <c r="R37" s="48" t="s">
        <v>36</v>
      </c>
      <c r="S37" s="48">
        <v>100</v>
      </c>
      <c r="T37" s="48" t="s">
        <v>36</v>
      </c>
    </row>
    <row r="38" spans="1:20" ht="18" hidden="1" customHeight="1" x14ac:dyDescent="0.35">
      <c r="O38" s="48" t="s">
        <v>37</v>
      </c>
      <c r="P38" s="48" t="s">
        <v>38</v>
      </c>
      <c r="Q38" s="48"/>
      <c r="R38" s="48" t="s">
        <v>39</v>
      </c>
      <c r="S38" s="48">
        <v>39</v>
      </c>
      <c r="T38" s="48" t="s">
        <v>40</v>
      </c>
    </row>
    <row r="39" spans="1:20" ht="18" hidden="1" customHeight="1" x14ac:dyDescent="0.35">
      <c r="O39" s="48" t="s">
        <v>41</v>
      </c>
      <c r="P39" s="48" t="s">
        <v>42</v>
      </c>
      <c r="Q39" s="48" t="s">
        <v>43</v>
      </c>
      <c r="R39" s="48" t="s">
        <v>44</v>
      </c>
      <c r="S39" s="48">
        <v>65</v>
      </c>
      <c r="T39" s="48" t="s">
        <v>44</v>
      </c>
    </row>
    <row r="40" spans="1:20" ht="18" hidden="1" customHeight="1" x14ac:dyDescent="0.35">
      <c r="O40" s="48" t="s">
        <v>45</v>
      </c>
      <c r="P40" s="48" t="s">
        <v>46</v>
      </c>
      <c r="Q40" s="48" t="s">
        <v>47</v>
      </c>
      <c r="R40" s="48" t="s">
        <v>44</v>
      </c>
      <c r="S40" s="48">
        <v>80</v>
      </c>
      <c r="T40" s="48" t="s">
        <v>44</v>
      </c>
    </row>
    <row r="41" spans="1:20" ht="18" hidden="1" customHeight="1" x14ac:dyDescent="0.35">
      <c r="O41" s="48" t="s">
        <v>48</v>
      </c>
      <c r="P41" s="48" t="s">
        <v>49</v>
      </c>
      <c r="Q41" s="48" t="s">
        <v>50</v>
      </c>
      <c r="R41" s="48" t="s">
        <v>39</v>
      </c>
      <c r="S41" s="48">
        <v>41</v>
      </c>
      <c r="T41" s="48" t="s">
        <v>40</v>
      </c>
    </row>
    <row r="42" spans="1:20" ht="18" hidden="1" customHeight="1" x14ac:dyDescent="0.35">
      <c r="O42" s="48" t="s">
        <v>51</v>
      </c>
      <c r="P42" s="48" t="s">
        <v>52</v>
      </c>
      <c r="Q42" s="48" t="s">
        <v>53</v>
      </c>
      <c r="R42" s="48" t="s">
        <v>39</v>
      </c>
      <c r="S42" s="48">
        <v>40</v>
      </c>
      <c r="T42" s="48" t="s">
        <v>40</v>
      </c>
    </row>
    <row r="43" spans="1:20" ht="18" hidden="1" customHeight="1" x14ac:dyDescent="0.35">
      <c r="O43" s="48" t="s">
        <v>54</v>
      </c>
      <c r="P43" s="48" t="s">
        <v>55</v>
      </c>
      <c r="Q43" s="48" t="s">
        <v>56</v>
      </c>
      <c r="R43" s="48" t="s">
        <v>44</v>
      </c>
      <c r="S43" s="48">
        <v>80</v>
      </c>
      <c r="T43" s="48" t="s">
        <v>44</v>
      </c>
    </row>
    <row r="44" spans="1:20" ht="18" hidden="1" customHeight="1" x14ac:dyDescent="0.35">
      <c r="O44" s="48" t="s">
        <v>57</v>
      </c>
      <c r="P44" s="48" t="s">
        <v>58</v>
      </c>
      <c r="Q44" s="48" t="s">
        <v>56</v>
      </c>
      <c r="R44" s="48" t="s">
        <v>39</v>
      </c>
      <c r="S44" s="48">
        <v>50</v>
      </c>
      <c r="T44" s="48" t="s">
        <v>40</v>
      </c>
    </row>
    <row r="45" spans="1:20" ht="18" hidden="1" customHeight="1" x14ac:dyDescent="0.35">
      <c r="O45" s="48" t="s">
        <v>59</v>
      </c>
      <c r="P45" s="48" t="s">
        <v>60</v>
      </c>
      <c r="Q45" s="48" t="s">
        <v>61</v>
      </c>
      <c r="R45" s="48" t="s">
        <v>62</v>
      </c>
      <c r="S45" s="48">
        <v>30</v>
      </c>
      <c r="T45" s="48" t="s">
        <v>36</v>
      </c>
    </row>
    <row r="46" spans="1:20" ht="18" hidden="1" customHeight="1" x14ac:dyDescent="0.35">
      <c r="O46" s="48" t="s">
        <v>63</v>
      </c>
      <c r="P46" s="48" t="s">
        <v>64</v>
      </c>
      <c r="Q46" s="48" t="s">
        <v>65</v>
      </c>
      <c r="R46" s="48" t="s">
        <v>44</v>
      </c>
      <c r="S46" s="48">
        <v>61</v>
      </c>
      <c r="T46" s="48" t="s">
        <v>44</v>
      </c>
    </row>
    <row r="47" spans="1:20" ht="18" hidden="1" customHeight="1" x14ac:dyDescent="0.35">
      <c r="O47" s="48" t="s">
        <v>66</v>
      </c>
      <c r="P47" s="48" t="s">
        <v>67</v>
      </c>
      <c r="Q47" s="48" t="s">
        <v>68</v>
      </c>
      <c r="R47" s="48" t="s">
        <v>39</v>
      </c>
      <c r="S47" s="48">
        <v>51</v>
      </c>
      <c r="T47" s="48" t="s">
        <v>40</v>
      </c>
    </row>
    <row r="48" spans="1:20" ht="18" hidden="1" customHeight="1" x14ac:dyDescent="0.35">
      <c r="O48" s="48" t="s">
        <v>69</v>
      </c>
      <c r="P48" s="48" t="s">
        <v>70</v>
      </c>
      <c r="Q48" s="48" t="s">
        <v>71</v>
      </c>
      <c r="R48" s="48" t="s">
        <v>39</v>
      </c>
      <c r="S48" s="48">
        <v>50</v>
      </c>
      <c r="T48" s="48" t="s">
        <v>40</v>
      </c>
    </row>
    <row r="49" spans="15:20" ht="18" hidden="1" customHeight="1" x14ac:dyDescent="0.35">
      <c r="O49" s="48" t="s">
        <v>72</v>
      </c>
      <c r="P49" s="48" t="s">
        <v>73</v>
      </c>
      <c r="Q49" s="48" t="s">
        <v>74</v>
      </c>
      <c r="R49" s="48" t="s">
        <v>39</v>
      </c>
      <c r="S49" s="48">
        <v>45</v>
      </c>
      <c r="T49" s="48" t="s">
        <v>40</v>
      </c>
    </row>
    <row r="50" spans="15:20" ht="18" hidden="1" customHeight="1" x14ac:dyDescent="0.35">
      <c r="O50" s="48" t="s">
        <v>75</v>
      </c>
      <c r="P50" s="48" t="s">
        <v>76</v>
      </c>
      <c r="Q50" s="48" t="s">
        <v>74</v>
      </c>
      <c r="R50" s="48" t="s">
        <v>62</v>
      </c>
      <c r="S50" s="48">
        <v>27</v>
      </c>
      <c r="T50" s="48" t="s">
        <v>40</v>
      </c>
    </row>
    <row r="51" spans="15:20" ht="18" hidden="1" customHeight="1" x14ac:dyDescent="0.35">
      <c r="O51" s="48" t="s">
        <v>77</v>
      </c>
      <c r="P51" s="48" t="s">
        <v>78</v>
      </c>
      <c r="Q51" s="48" t="s">
        <v>79</v>
      </c>
      <c r="R51" s="48" t="s">
        <v>62</v>
      </c>
      <c r="S51" s="48">
        <v>30</v>
      </c>
      <c r="T51" s="48" t="s">
        <v>40</v>
      </c>
    </row>
    <row r="52" spans="15:20" ht="18" hidden="1" customHeight="1" x14ac:dyDescent="0.35">
      <c r="O52" s="48" t="s">
        <v>80</v>
      </c>
      <c r="P52" s="48" t="s">
        <v>81</v>
      </c>
      <c r="Q52" s="48" t="s">
        <v>82</v>
      </c>
      <c r="R52" s="48" t="s">
        <v>39</v>
      </c>
      <c r="S52" s="48">
        <v>53</v>
      </c>
      <c r="T52" s="48" t="s">
        <v>40</v>
      </c>
    </row>
    <row r="53" spans="15:20" ht="18" hidden="1" customHeight="1" x14ac:dyDescent="0.35">
      <c r="O53" s="48" t="s">
        <v>83</v>
      </c>
      <c r="P53" s="48" t="s">
        <v>84</v>
      </c>
      <c r="Q53" s="48" t="s">
        <v>85</v>
      </c>
      <c r="R53" s="48" t="s">
        <v>44</v>
      </c>
      <c r="S53" s="48">
        <v>80</v>
      </c>
      <c r="T53" s="48" t="s">
        <v>44</v>
      </c>
    </row>
    <row r="54" spans="15:20" ht="18" hidden="1" customHeight="1" x14ac:dyDescent="0.35">
      <c r="O54" s="48" t="s">
        <v>86</v>
      </c>
      <c r="P54" s="48" t="s">
        <v>87</v>
      </c>
      <c r="Q54" s="48" t="s">
        <v>88</v>
      </c>
      <c r="R54" s="48" t="s">
        <v>39</v>
      </c>
      <c r="S54" s="48">
        <v>48</v>
      </c>
      <c r="T54" s="48" t="s">
        <v>40</v>
      </c>
    </row>
    <row r="55" spans="15:20" ht="18" hidden="1" customHeight="1" x14ac:dyDescent="0.35">
      <c r="O55" s="48" t="s">
        <v>89</v>
      </c>
      <c r="P55" s="48" t="s">
        <v>90</v>
      </c>
      <c r="Q55" s="48" t="s">
        <v>91</v>
      </c>
      <c r="R55" s="48" t="s">
        <v>44</v>
      </c>
      <c r="S55" s="48">
        <v>72</v>
      </c>
      <c r="T55" s="48" t="s">
        <v>44</v>
      </c>
    </row>
    <row r="56" spans="15:20" ht="18" hidden="1" customHeight="1" x14ac:dyDescent="0.35">
      <c r="O56" s="48" t="s">
        <v>92</v>
      </c>
      <c r="P56" s="48" t="s">
        <v>93</v>
      </c>
      <c r="Q56" s="48" t="s">
        <v>94</v>
      </c>
      <c r="R56" s="48" t="s">
        <v>39</v>
      </c>
      <c r="S56" s="48">
        <v>51</v>
      </c>
      <c r="T56" s="48" t="s">
        <v>40</v>
      </c>
    </row>
    <row r="57" spans="15:20" ht="18" hidden="1" customHeight="1" x14ac:dyDescent="0.35">
      <c r="O57" s="48" t="s">
        <v>95</v>
      </c>
      <c r="P57" s="48" t="s">
        <v>96</v>
      </c>
      <c r="Q57" s="48" t="s">
        <v>97</v>
      </c>
      <c r="R57" s="48" t="s">
        <v>44</v>
      </c>
      <c r="S57" s="48">
        <v>73</v>
      </c>
      <c r="T57" s="48" t="s">
        <v>44</v>
      </c>
    </row>
    <row r="58" spans="15:20" ht="18" hidden="1" customHeight="1" x14ac:dyDescent="0.35">
      <c r="O58" s="48" t="s">
        <v>98</v>
      </c>
      <c r="P58" s="48" t="s">
        <v>99</v>
      </c>
      <c r="Q58" s="48" t="s">
        <v>100</v>
      </c>
      <c r="R58" s="48" t="s">
        <v>62</v>
      </c>
      <c r="S58" s="48">
        <v>30</v>
      </c>
      <c r="T58" s="48" t="s">
        <v>40</v>
      </c>
    </row>
    <row r="59" spans="15:20" ht="18" hidden="1" customHeight="1" x14ac:dyDescent="0.35">
      <c r="O59" s="48" t="s">
        <v>101</v>
      </c>
      <c r="P59" s="48" t="s">
        <v>102</v>
      </c>
      <c r="Q59" s="48" t="s">
        <v>103</v>
      </c>
      <c r="R59" s="48" t="s">
        <v>44</v>
      </c>
      <c r="S59" s="48">
        <v>80</v>
      </c>
      <c r="T59" s="48" t="s">
        <v>44</v>
      </c>
    </row>
    <row r="60" spans="15:20" ht="18" hidden="1" customHeight="1" x14ac:dyDescent="0.35">
      <c r="O60" s="48" t="s">
        <v>104</v>
      </c>
      <c r="P60" s="48" t="s">
        <v>105</v>
      </c>
      <c r="Q60" s="48" t="s">
        <v>106</v>
      </c>
      <c r="R60" s="48" t="s">
        <v>44</v>
      </c>
      <c r="S60" s="48">
        <v>62</v>
      </c>
      <c r="T60" s="48" t="s">
        <v>44</v>
      </c>
    </row>
    <row r="61" spans="15:20" ht="18" hidden="1" customHeight="1" x14ac:dyDescent="0.35">
      <c r="O61" s="48" t="s">
        <v>107</v>
      </c>
      <c r="P61" s="48" t="s">
        <v>108</v>
      </c>
      <c r="Q61" s="48" t="s">
        <v>109</v>
      </c>
      <c r="R61" s="48" t="s">
        <v>39</v>
      </c>
      <c r="S61" s="48">
        <v>48</v>
      </c>
      <c r="T61" s="48" t="s">
        <v>40</v>
      </c>
    </row>
    <row r="62" spans="15:20" ht="18" hidden="1" customHeight="1" x14ac:dyDescent="0.35">
      <c r="O62" s="48" t="s">
        <v>110</v>
      </c>
      <c r="P62" s="48" t="s">
        <v>111</v>
      </c>
      <c r="Q62" s="48" t="s">
        <v>112</v>
      </c>
      <c r="R62" s="48" t="s">
        <v>39</v>
      </c>
      <c r="S62" s="48">
        <v>40</v>
      </c>
      <c r="T62" s="48" t="s">
        <v>40</v>
      </c>
    </row>
    <row r="63" spans="15:20" ht="18" hidden="1" customHeight="1" x14ac:dyDescent="0.35">
      <c r="O63" s="48" t="s">
        <v>113</v>
      </c>
      <c r="P63" s="48" t="s">
        <v>114</v>
      </c>
      <c r="Q63" s="48" t="s">
        <v>115</v>
      </c>
      <c r="R63" s="48" t="s">
        <v>44</v>
      </c>
      <c r="S63" s="48">
        <v>80</v>
      </c>
      <c r="T63" s="48" t="s">
        <v>44</v>
      </c>
    </row>
    <row r="64" spans="15:20" ht="18" hidden="1" customHeight="1" x14ac:dyDescent="0.35">
      <c r="O64" s="48" t="s">
        <v>116</v>
      </c>
      <c r="P64" s="48" t="s">
        <v>117</v>
      </c>
      <c r="Q64" s="48"/>
      <c r="R64" s="48" t="s">
        <v>39</v>
      </c>
      <c r="S64" s="48">
        <v>38</v>
      </c>
      <c r="T64" s="48" t="s">
        <v>40</v>
      </c>
    </row>
    <row r="65" spans="15:20" ht="18" hidden="1" customHeight="1" x14ac:dyDescent="0.35">
      <c r="O65" s="48" t="s">
        <v>118</v>
      </c>
      <c r="P65" s="48" t="s">
        <v>119</v>
      </c>
      <c r="Q65" s="48" t="s">
        <v>120</v>
      </c>
      <c r="R65" s="48" t="s">
        <v>44</v>
      </c>
      <c r="S65" s="48">
        <v>64</v>
      </c>
      <c r="T65" s="48" t="s">
        <v>44</v>
      </c>
    </row>
    <row r="66" spans="15:20" ht="18" hidden="1" customHeight="1" x14ac:dyDescent="0.35">
      <c r="O66" s="48" t="s">
        <v>121</v>
      </c>
      <c r="P66" s="48" t="s">
        <v>122</v>
      </c>
      <c r="Q66" s="48" t="s">
        <v>123</v>
      </c>
      <c r="R66" s="48" t="s">
        <v>39</v>
      </c>
      <c r="S66" s="48">
        <v>39</v>
      </c>
      <c r="T66" s="48" t="s">
        <v>40</v>
      </c>
    </row>
    <row r="67" spans="15:20" ht="18" hidden="1" customHeight="1" x14ac:dyDescent="0.35">
      <c r="O67" s="48" t="s">
        <v>124</v>
      </c>
      <c r="P67" s="48" t="s">
        <v>125</v>
      </c>
      <c r="Q67" s="48" t="s">
        <v>126</v>
      </c>
      <c r="R67" s="48" t="s">
        <v>62</v>
      </c>
      <c r="S67" s="48">
        <v>30</v>
      </c>
      <c r="T67" s="48" t="s">
        <v>36</v>
      </c>
    </row>
    <row r="68" spans="15:20" ht="18" hidden="1" customHeight="1" x14ac:dyDescent="0.35">
      <c r="O68" s="48" t="s">
        <v>127</v>
      </c>
      <c r="P68" s="48" t="s">
        <v>128</v>
      </c>
      <c r="Q68" s="48"/>
      <c r="R68" s="48" t="s">
        <v>39</v>
      </c>
      <c r="S68" s="48">
        <v>37</v>
      </c>
      <c r="T68" s="48" t="s">
        <v>40</v>
      </c>
    </row>
    <row r="69" spans="15:20" ht="18" hidden="1" customHeight="1" x14ac:dyDescent="0.35">
      <c r="O69" s="48" t="s">
        <v>129</v>
      </c>
      <c r="P69" s="48" t="s">
        <v>130</v>
      </c>
      <c r="Q69" s="48" t="s">
        <v>131</v>
      </c>
      <c r="R69" s="48" t="s">
        <v>39</v>
      </c>
      <c r="S69" s="48">
        <v>54</v>
      </c>
      <c r="T69" s="48" t="s">
        <v>44</v>
      </c>
    </row>
    <row r="70" spans="15:20" ht="18" hidden="1" customHeight="1" x14ac:dyDescent="0.35">
      <c r="O70" s="48" t="s">
        <v>132</v>
      </c>
      <c r="P70" s="48" t="s">
        <v>133</v>
      </c>
      <c r="Q70" s="48" t="s">
        <v>134</v>
      </c>
      <c r="R70" s="48" t="s">
        <v>39</v>
      </c>
      <c r="S70" s="48">
        <v>46</v>
      </c>
      <c r="T70" s="48" t="s">
        <v>40</v>
      </c>
    </row>
    <row r="71" spans="15:20" ht="18" hidden="1" customHeight="1" x14ac:dyDescent="0.35">
      <c r="O71" s="48" t="s">
        <v>135</v>
      </c>
      <c r="P71" s="48" t="s">
        <v>136</v>
      </c>
      <c r="Q71" s="48" t="s">
        <v>137</v>
      </c>
      <c r="R71" s="48" t="s">
        <v>39</v>
      </c>
      <c r="S71" s="48">
        <v>38</v>
      </c>
      <c r="T71" s="48" t="s">
        <v>40</v>
      </c>
    </row>
    <row r="72" spans="15:20" ht="18" hidden="1" customHeight="1" x14ac:dyDescent="0.35">
      <c r="O72" s="48" t="s">
        <v>138</v>
      </c>
      <c r="P72" s="48" t="s">
        <v>139</v>
      </c>
      <c r="Q72" s="48" t="s">
        <v>140</v>
      </c>
      <c r="R72" s="48" t="s">
        <v>44</v>
      </c>
      <c r="S72" s="48">
        <v>73</v>
      </c>
      <c r="T72" s="48" t="s">
        <v>44</v>
      </c>
    </row>
    <row r="73" spans="15:20" ht="18" hidden="1" customHeight="1" x14ac:dyDescent="0.35">
      <c r="O73" s="48" t="s">
        <v>141</v>
      </c>
      <c r="P73" s="48" t="s">
        <v>142</v>
      </c>
      <c r="Q73" s="48" t="s">
        <v>143</v>
      </c>
      <c r="R73" s="48" t="s">
        <v>44</v>
      </c>
      <c r="S73" s="48">
        <v>66</v>
      </c>
      <c r="T73" s="48" t="s">
        <v>44</v>
      </c>
    </row>
    <row r="74" spans="15:20" ht="18" hidden="1" customHeight="1" x14ac:dyDescent="0.35">
      <c r="O74" s="48" t="s">
        <v>144</v>
      </c>
      <c r="P74" s="48" t="s">
        <v>145</v>
      </c>
      <c r="Q74" s="48" t="s">
        <v>146</v>
      </c>
      <c r="R74" s="48" t="s">
        <v>44</v>
      </c>
      <c r="S74" s="48">
        <v>80</v>
      </c>
      <c r="T74" s="48" t="s">
        <v>44</v>
      </c>
    </row>
    <row r="75" spans="15:20" ht="18" hidden="1" customHeight="1" x14ac:dyDescent="0.35">
      <c r="O75" s="48" t="s">
        <v>147</v>
      </c>
      <c r="P75" s="48" t="s">
        <v>148</v>
      </c>
      <c r="Q75" s="48" t="s">
        <v>149</v>
      </c>
      <c r="R75" s="48" t="s">
        <v>44</v>
      </c>
      <c r="S75" s="48">
        <v>62</v>
      </c>
      <c r="T75" s="48" t="s">
        <v>44</v>
      </c>
    </row>
    <row r="76" spans="15:20" ht="18" hidden="1" customHeight="1" x14ac:dyDescent="0.35">
      <c r="O76" s="48" t="s">
        <v>150</v>
      </c>
      <c r="P76" s="48" t="s">
        <v>151</v>
      </c>
      <c r="Q76" s="48" t="s">
        <v>152</v>
      </c>
      <c r="R76" s="48" t="s">
        <v>62</v>
      </c>
      <c r="S76" s="48">
        <v>27</v>
      </c>
      <c r="T76" s="48" t="s">
        <v>40</v>
      </c>
    </row>
    <row r="77" spans="15:20" ht="18" hidden="1" customHeight="1" x14ac:dyDescent="0.35">
      <c r="O77" s="48" t="s">
        <v>153</v>
      </c>
      <c r="P77" s="48" t="s">
        <v>154</v>
      </c>
      <c r="Q77" s="48" t="s">
        <v>155</v>
      </c>
      <c r="R77" s="48" t="s">
        <v>39</v>
      </c>
      <c r="S77" s="48">
        <v>42</v>
      </c>
      <c r="T77" s="48" t="s">
        <v>40</v>
      </c>
    </row>
    <row r="78" spans="15:20" ht="18" hidden="1" customHeight="1" x14ac:dyDescent="0.35">
      <c r="O78" s="48" t="s">
        <v>156</v>
      </c>
      <c r="P78" s="48" t="s">
        <v>157</v>
      </c>
      <c r="Q78" s="48" t="s">
        <v>158</v>
      </c>
      <c r="R78" s="48" t="s">
        <v>44</v>
      </c>
      <c r="S78" s="48">
        <v>62</v>
      </c>
      <c r="T78" s="48" t="s">
        <v>44</v>
      </c>
    </row>
    <row r="79" spans="15:20" ht="18" hidden="1" customHeight="1" x14ac:dyDescent="0.35">
      <c r="O79" s="48" t="s">
        <v>159</v>
      </c>
      <c r="P79" s="48" t="s">
        <v>160</v>
      </c>
      <c r="Q79" s="48" t="s">
        <v>161</v>
      </c>
      <c r="R79" s="48" t="s">
        <v>44</v>
      </c>
      <c r="S79" s="48">
        <v>71</v>
      </c>
      <c r="T79" s="48" t="s">
        <v>44</v>
      </c>
    </row>
    <row r="80" spans="15:20" ht="18" hidden="1" customHeight="1" x14ac:dyDescent="0.35">
      <c r="O80" s="48" t="s">
        <v>162</v>
      </c>
      <c r="P80" s="48" t="s">
        <v>163</v>
      </c>
      <c r="Q80" s="48" t="s">
        <v>164</v>
      </c>
      <c r="R80" s="48" t="s">
        <v>44</v>
      </c>
      <c r="S80" s="48">
        <v>67</v>
      </c>
      <c r="T80" s="48" t="s">
        <v>44</v>
      </c>
    </row>
    <row r="81" spans="15:20" ht="18" hidden="1" customHeight="1" x14ac:dyDescent="0.35">
      <c r="O81" s="48" t="s">
        <v>165</v>
      </c>
      <c r="P81" s="48" t="s">
        <v>166</v>
      </c>
      <c r="Q81" s="48" t="s">
        <v>167</v>
      </c>
      <c r="R81" s="48" t="s">
        <v>39</v>
      </c>
      <c r="S81" s="48">
        <v>45</v>
      </c>
      <c r="T81" s="48" t="s">
        <v>40</v>
      </c>
    </row>
    <row r="82" spans="15:20" ht="18" hidden="1" customHeight="1" x14ac:dyDescent="0.35">
      <c r="O82" s="48" t="s">
        <v>168</v>
      </c>
      <c r="P82" s="48" t="s">
        <v>169</v>
      </c>
      <c r="Q82" s="48" t="s">
        <v>170</v>
      </c>
      <c r="R82" s="48" t="s">
        <v>39</v>
      </c>
      <c r="S82" s="48">
        <v>48</v>
      </c>
      <c r="T82" s="48" t="s">
        <v>44</v>
      </c>
    </row>
    <row r="83" spans="15:20" ht="18" hidden="1" customHeight="1" x14ac:dyDescent="0.35">
      <c r="O83" s="48" t="s">
        <v>171</v>
      </c>
      <c r="P83" s="48" t="s">
        <v>172</v>
      </c>
      <c r="Q83" s="48" t="s">
        <v>173</v>
      </c>
      <c r="R83" s="48" t="s">
        <v>39</v>
      </c>
      <c r="S83" s="48">
        <v>39</v>
      </c>
      <c r="T83" s="48" t="s">
        <v>40</v>
      </c>
    </row>
    <row r="84" spans="15:20" ht="18" hidden="1" customHeight="1" x14ac:dyDescent="0.35">
      <c r="O84" s="48" t="s">
        <v>174</v>
      </c>
      <c r="P84" s="48" t="s">
        <v>175</v>
      </c>
      <c r="Q84" s="48" t="s">
        <v>176</v>
      </c>
      <c r="R84" s="48" t="s">
        <v>39</v>
      </c>
      <c r="S84" s="48">
        <v>37</v>
      </c>
      <c r="T84" s="48" t="s">
        <v>40</v>
      </c>
    </row>
    <row r="85" spans="15:20" ht="18" hidden="1" customHeight="1" x14ac:dyDescent="0.35">
      <c r="O85" s="48" t="s">
        <v>177</v>
      </c>
      <c r="P85" s="48" t="s">
        <v>178</v>
      </c>
      <c r="Q85" s="48" t="s">
        <v>179</v>
      </c>
      <c r="R85" s="48" t="s">
        <v>44</v>
      </c>
      <c r="S85" s="48">
        <v>68</v>
      </c>
      <c r="T85" s="48" t="s">
        <v>44</v>
      </c>
    </row>
    <row r="86" spans="15:20" ht="18" hidden="1" customHeight="1" x14ac:dyDescent="0.35">
      <c r="O86" s="48" t="s">
        <v>180</v>
      </c>
      <c r="P86" s="48" t="s">
        <v>181</v>
      </c>
      <c r="Q86" s="48" t="s">
        <v>182</v>
      </c>
      <c r="R86" s="48" t="s">
        <v>39</v>
      </c>
      <c r="S86" s="48">
        <v>52</v>
      </c>
      <c r="T86" s="48" t="s">
        <v>40</v>
      </c>
    </row>
    <row r="87" spans="15:20" ht="18" hidden="1" customHeight="1" x14ac:dyDescent="0.35">
      <c r="O87" s="48" t="s">
        <v>183</v>
      </c>
      <c r="P87" s="48" t="s">
        <v>184</v>
      </c>
      <c r="Q87" s="48" t="s">
        <v>185</v>
      </c>
      <c r="R87" s="48" t="s">
        <v>44</v>
      </c>
      <c r="S87" s="48">
        <v>76</v>
      </c>
      <c r="T87" s="48" t="s">
        <v>44</v>
      </c>
    </row>
    <row r="88" spans="15:20" ht="18" hidden="1" customHeight="1" x14ac:dyDescent="0.35">
      <c r="O88" s="48" t="s">
        <v>186</v>
      </c>
      <c r="P88" s="48" t="s">
        <v>187</v>
      </c>
      <c r="Q88" s="48" t="s">
        <v>188</v>
      </c>
      <c r="R88" s="48" t="s">
        <v>44</v>
      </c>
      <c r="S88" s="48">
        <v>76</v>
      </c>
      <c r="T88" s="48" t="s">
        <v>44</v>
      </c>
    </row>
    <row r="89" spans="15:20" ht="18" hidden="1" customHeight="1" x14ac:dyDescent="0.35">
      <c r="O89" s="48" t="s">
        <v>189</v>
      </c>
      <c r="P89" s="48" t="s">
        <v>190</v>
      </c>
      <c r="Q89" s="48" t="s">
        <v>191</v>
      </c>
      <c r="R89" s="48" t="s">
        <v>44</v>
      </c>
      <c r="S89" s="48">
        <v>80</v>
      </c>
      <c r="T89" s="48" t="s">
        <v>44</v>
      </c>
    </row>
    <row r="90" spans="15:20" ht="18" hidden="1" customHeight="1" x14ac:dyDescent="0.35">
      <c r="O90" s="48" t="s">
        <v>192</v>
      </c>
      <c r="P90" s="48" t="s">
        <v>193</v>
      </c>
      <c r="Q90" s="48" t="s">
        <v>194</v>
      </c>
      <c r="R90" s="48" t="s">
        <v>39</v>
      </c>
      <c r="S90" s="48">
        <v>48</v>
      </c>
      <c r="T90" s="48" t="s">
        <v>40</v>
      </c>
    </row>
    <row r="91" spans="15:20" ht="18" hidden="1" customHeight="1" x14ac:dyDescent="0.35">
      <c r="O91" s="48" t="s">
        <v>195</v>
      </c>
      <c r="P91" s="48" t="s">
        <v>196</v>
      </c>
      <c r="Q91" s="48" t="s">
        <v>197</v>
      </c>
      <c r="R91" s="48" t="s">
        <v>39</v>
      </c>
      <c r="S91" s="48">
        <v>52</v>
      </c>
      <c r="T91" s="48" t="s">
        <v>40</v>
      </c>
    </row>
    <row r="92" spans="15:20" ht="18" hidden="1" customHeight="1" x14ac:dyDescent="0.35">
      <c r="O92" s="48" t="s">
        <v>198</v>
      </c>
      <c r="P92" s="48" t="s">
        <v>199</v>
      </c>
      <c r="Q92" s="48" t="s">
        <v>200</v>
      </c>
      <c r="R92" s="48" t="s">
        <v>39</v>
      </c>
      <c r="S92" s="48">
        <v>40</v>
      </c>
      <c r="T92" s="48" t="s">
        <v>40</v>
      </c>
    </row>
    <row r="93" spans="15:20" ht="18" hidden="1" customHeight="1" x14ac:dyDescent="0.35">
      <c r="O93" s="48" t="s">
        <v>201</v>
      </c>
      <c r="P93" s="48" t="s">
        <v>202</v>
      </c>
      <c r="Q93" s="48" t="s">
        <v>203</v>
      </c>
      <c r="R93" s="48" t="s">
        <v>36</v>
      </c>
      <c r="S93" s="48">
        <v>100</v>
      </c>
      <c r="T93" s="48" t="s">
        <v>36</v>
      </c>
    </row>
    <row r="94" spans="15:20" ht="18" hidden="1" customHeight="1" x14ac:dyDescent="0.35">
      <c r="O94" s="48" t="s">
        <v>204</v>
      </c>
      <c r="P94" s="48" t="s">
        <v>205</v>
      </c>
      <c r="Q94" s="48" t="s">
        <v>206</v>
      </c>
      <c r="R94" s="48" t="s">
        <v>39</v>
      </c>
      <c r="S94" s="48">
        <v>49</v>
      </c>
      <c r="T94" s="48" t="s">
        <v>40</v>
      </c>
    </row>
    <row r="95" spans="15:20" ht="18" hidden="1" customHeight="1" x14ac:dyDescent="0.35">
      <c r="O95" s="48" t="s">
        <v>207</v>
      </c>
      <c r="P95" s="48" t="s">
        <v>208</v>
      </c>
      <c r="Q95" s="48" t="s">
        <v>209</v>
      </c>
      <c r="R95" s="48" t="s">
        <v>44</v>
      </c>
      <c r="S95" s="48">
        <v>62</v>
      </c>
      <c r="T95" s="48" t="s">
        <v>44</v>
      </c>
    </row>
    <row r="96" spans="15:20" ht="18" hidden="1" customHeight="1" x14ac:dyDescent="0.35">
      <c r="O96" s="48" t="s">
        <v>210</v>
      </c>
      <c r="P96" s="48" t="s">
        <v>211</v>
      </c>
      <c r="Q96" s="48" t="s">
        <v>212</v>
      </c>
      <c r="R96" s="48" t="s">
        <v>39</v>
      </c>
      <c r="S96" s="48">
        <v>41</v>
      </c>
      <c r="T96" s="48" t="s">
        <v>40</v>
      </c>
    </row>
    <row r="97" spans="15:20" ht="18" hidden="1" customHeight="1" x14ac:dyDescent="0.35">
      <c r="O97" s="48" t="s">
        <v>213</v>
      </c>
      <c r="P97" s="48" t="s">
        <v>214</v>
      </c>
      <c r="Q97" s="48" t="s">
        <v>215</v>
      </c>
      <c r="R97" s="48" t="s">
        <v>62</v>
      </c>
      <c r="S97" s="48">
        <v>21</v>
      </c>
      <c r="T97" s="48" t="s">
        <v>40</v>
      </c>
    </row>
    <row r="98" spans="15:20" ht="18" hidden="1" customHeight="1" x14ac:dyDescent="0.35">
      <c r="O98" s="48" t="s">
        <v>216</v>
      </c>
      <c r="P98" s="48" t="s">
        <v>217</v>
      </c>
      <c r="Q98" s="48" t="s">
        <v>218</v>
      </c>
      <c r="R98" s="48" t="s">
        <v>39</v>
      </c>
      <c r="S98" s="48">
        <v>54</v>
      </c>
      <c r="T98" s="48" t="s">
        <v>40</v>
      </c>
    </row>
    <row r="99" spans="15:20" ht="18" hidden="1" customHeight="1" x14ac:dyDescent="0.35">
      <c r="O99" s="48" t="s">
        <v>219</v>
      </c>
      <c r="P99" s="48" t="s">
        <v>220</v>
      </c>
      <c r="Q99" s="48" t="s">
        <v>221</v>
      </c>
      <c r="R99" s="48" t="s">
        <v>39</v>
      </c>
      <c r="S99" s="48">
        <v>60</v>
      </c>
      <c r="T99" s="48" t="s">
        <v>44</v>
      </c>
    </row>
    <row r="100" spans="15:20" ht="18" hidden="1" customHeight="1" x14ac:dyDescent="0.35">
      <c r="O100" s="48" t="s">
        <v>222</v>
      </c>
      <c r="P100" s="48" t="s">
        <v>223</v>
      </c>
      <c r="Q100" s="48" t="s">
        <v>224</v>
      </c>
      <c r="R100" s="48" t="s">
        <v>44</v>
      </c>
      <c r="S100" s="48">
        <v>80</v>
      </c>
      <c r="T100" s="48" t="s">
        <v>44</v>
      </c>
    </row>
    <row r="101" spans="15:20" ht="18" hidden="1" customHeight="1" x14ac:dyDescent="0.35">
      <c r="O101" s="48" t="s">
        <v>225</v>
      </c>
      <c r="P101" s="48" t="s">
        <v>226</v>
      </c>
      <c r="Q101" s="48" t="s">
        <v>227</v>
      </c>
      <c r="R101" s="48" t="s">
        <v>44</v>
      </c>
      <c r="S101" s="48">
        <v>62</v>
      </c>
      <c r="T101" s="48" t="s">
        <v>44</v>
      </c>
    </row>
    <row r="102" spans="15:20" ht="18" hidden="1" customHeight="1" x14ac:dyDescent="0.35">
      <c r="O102" s="48" t="s">
        <v>228</v>
      </c>
      <c r="P102" s="48" t="s">
        <v>229</v>
      </c>
      <c r="Q102" s="48" t="s">
        <v>230</v>
      </c>
      <c r="R102" s="48" t="s">
        <v>44</v>
      </c>
      <c r="S102" s="48">
        <v>64</v>
      </c>
      <c r="T102" s="48" t="s">
        <v>44</v>
      </c>
    </row>
    <row r="103" spans="15:20" ht="18" hidden="1" customHeight="1" x14ac:dyDescent="0.35">
      <c r="O103" s="48" t="s">
        <v>231</v>
      </c>
      <c r="P103" s="48" t="s">
        <v>232</v>
      </c>
      <c r="Q103" s="48" t="s">
        <v>233</v>
      </c>
      <c r="R103" s="48" t="s">
        <v>44</v>
      </c>
      <c r="S103" s="48">
        <v>61</v>
      </c>
      <c r="T103" s="48" t="s">
        <v>44</v>
      </c>
    </row>
    <row r="104" spans="15:20" ht="18" hidden="1" customHeight="1" x14ac:dyDescent="0.35">
      <c r="O104" s="48" t="s">
        <v>234</v>
      </c>
      <c r="P104" s="48" t="s">
        <v>235</v>
      </c>
      <c r="Q104" s="48" t="s">
        <v>236</v>
      </c>
      <c r="R104" s="48" t="s">
        <v>44</v>
      </c>
      <c r="S104" s="48">
        <v>72</v>
      </c>
      <c r="T104" s="48" t="s">
        <v>44</v>
      </c>
    </row>
    <row r="105" spans="15:20" ht="18" hidden="1" customHeight="1" x14ac:dyDescent="0.35">
      <c r="O105" s="48" t="s">
        <v>237</v>
      </c>
      <c r="P105" s="48" t="s">
        <v>238</v>
      </c>
      <c r="Q105" s="48" t="s">
        <v>239</v>
      </c>
      <c r="R105" s="48" t="s">
        <v>36</v>
      </c>
      <c r="S105" s="48">
        <v>100</v>
      </c>
      <c r="T105" s="48" t="s">
        <v>36</v>
      </c>
    </row>
    <row r="106" spans="15:20" ht="18" hidden="1" customHeight="1" x14ac:dyDescent="0.35">
      <c r="O106" s="48" t="s">
        <v>240</v>
      </c>
      <c r="P106" s="48" t="s">
        <v>241</v>
      </c>
      <c r="Q106" s="48" t="s">
        <v>242</v>
      </c>
      <c r="R106" s="48" t="s">
        <v>39</v>
      </c>
      <c r="S106" s="48">
        <v>39</v>
      </c>
      <c r="T106" s="48" t="s">
        <v>40</v>
      </c>
    </row>
    <row r="107" spans="15:20" ht="18" hidden="1" customHeight="1" x14ac:dyDescent="0.35">
      <c r="O107" s="48" t="s">
        <v>243</v>
      </c>
      <c r="P107" s="48" t="s">
        <v>244</v>
      </c>
      <c r="Q107" s="48" t="s">
        <v>245</v>
      </c>
      <c r="R107" s="48" t="s">
        <v>44</v>
      </c>
      <c r="S107" s="48">
        <v>74</v>
      </c>
      <c r="T107" s="48" t="s">
        <v>44</v>
      </c>
    </row>
    <row r="108" spans="15:20" ht="18" hidden="1" customHeight="1" x14ac:dyDescent="0.35">
      <c r="O108" s="48" t="s">
        <v>246</v>
      </c>
      <c r="P108" s="48" t="s">
        <v>247</v>
      </c>
      <c r="Q108" s="48" t="s">
        <v>248</v>
      </c>
      <c r="R108" s="48" t="s">
        <v>62</v>
      </c>
      <c r="S108" s="48">
        <v>28</v>
      </c>
      <c r="T108" s="48" t="s">
        <v>40</v>
      </c>
    </row>
    <row r="109" spans="15:20" ht="18" hidden="1" customHeight="1" x14ac:dyDescent="0.35">
      <c r="O109" s="48" t="s">
        <v>249</v>
      </c>
      <c r="P109" s="48" t="s">
        <v>250</v>
      </c>
      <c r="Q109" s="48" t="s">
        <v>251</v>
      </c>
      <c r="R109" s="48" t="s">
        <v>62</v>
      </c>
      <c r="S109" s="48">
        <v>30</v>
      </c>
      <c r="T109" s="48" t="s">
        <v>40</v>
      </c>
    </row>
    <row r="110" spans="15:20" ht="18" hidden="1" customHeight="1" x14ac:dyDescent="0.35">
      <c r="O110" s="48" t="s">
        <v>252</v>
      </c>
      <c r="P110" s="48" t="s">
        <v>253</v>
      </c>
      <c r="Q110" s="48" t="s">
        <v>254</v>
      </c>
      <c r="R110" s="48" t="s">
        <v>39</v>
      </c>
      <c r="S110" s="48">
        <v>51</v>
      </c>
      <c r="T110" s="48" t="s">
        <v>40</v>
      </c>
    </row>
    <row r="111" spans="15:20" ht="18" hidden="1" customHeight="1" x14ac:dyDescent="0.35">
      <c r="O111" s="48" t="s">
        <v>255</v>
      </c>
      <c r="P111" s="48" t="s">
        <v>256</v>
      </c>
      <c r="Q111" s="48" t="s">
        <v>257</v>
      </c>
      <c r="R111" s="48" t="s">
        <v>62</v>
      </c>
      <c r="S111" s="48">
        <v>21</v>
      </c>
      <c r="T111" s="48" t="s">
        <v>40</v>
      </c>
    </row>
    <row r="112" spans="15:20" ht="18" hidden="1" customHeight="1" x14ac:dyDescent="0.35">
      <c r="O112" s="48" t="s">
        <v>258</v>
      </c>
      <c r="P112" s="48" t="s">
        <v>259</v>
      </c>
      <c r="Q112" s="48" t="s">
        <v>260</v>
      </c>
      <c r="R112" s="48" t="s">
        <v>39</v>
      </c>
      <c r="S112" s="48">
        <v>47</v>
      </c>
      <c r="T112" s="48" t="s">
        <v>40</v>
      </c>
    </row>
    <row r="113" spans="15:20" ht="18" hidden="1" customHeight="1" x14ac:dyDescent="0.35">
      <c r="O113" s="48" t="s">
        <v>261</v>
      </c>
      <c r="P113" s="48" t="s">
        <v>262</v>
      </c>
      <c r="Q113" s="48" t="s">
        <v>263</v>
      </c>
      <c r="R113" s="48" t="s">
        <v>39</v>
      </c>
      <c r="S113" s="48">
        <v>49</v>
      </c>
      <c r="T113" s="48" t="s">
        <v>40</v>
      </c>
    </row>
    <row r="114" spans="15:20" ht="18" hidden="1" customHeight="1" x14ac:dyDescent="0.35">
      <c r="O114" s="48" t="s">
        <v>264</v>
      </c>
      <c r="P114" s="48" t="s">
        <v>265</v>
      </c>
      <c r="Q114" s="48" t="s">
        <v>266</v>
      </c>
      <c r="R114" s="48" t="s">
        <v>62</v>
      </c>
      <c r="S114" s="48">
        <v>30</v>
      </c>
      <c r="T114" s="48" t="s">
        <v>40</v>
      </c>
    </row>
    <row r="115" spans="15:20" ht="18" hidden="1" customHeight="1" x14ac:dyDescent="0.35">
      <c r="O115" s="48" t="s">
        <v>267</v>
      </c>
      <c r="P115" s="48" t="s">
        <v>268</v>
      </c>
      <c r="Q115" s="48" t="s">
        <v>269</v>
      </c>
      <c r="R115" s="48" t="s">
        <v>39</v>
      </c>
      <c r="S115" s="48">
        <v>42</v>
      </c>
      <c r="T115" s="48" t="s">
        <v>40</v>
      </c>
    </row>
    <row r="116" spans="15:20" ht="18" hidden="1" customHeight="1" x14ac:dyDescent="0.35">
      <c r="O116" s="48" t="s">
        <v>270</v>
      </c>
      <c r="P116" s="48" t="s">
        <v>271</v>
      </c>
      <c r="Q116" s="48" t="s">
        <v>272</v>
      </c>
      <c r="R116" s="48" t="s">
        <v>44</v>
      </c>
      <c r="S116" s="48">
        <v>80</v>
      </c>
      <c r="T116" s="48" t="s">
        <v>44</v>
      </c>
    </row>
    <row r="117" spans="15:20" ht="18" hidden="1" customHeight="1" x14ac:dyDescent="0.35">
      <c r="O117" s="48" t="s">
        <v>273</v>
      </c>
      <c r="P117" s="48" t="s">
        <v>274</v>
      </c>
      <c r="Q117" s="48" t="s">
        <v>275</v>
      </c>
      <c r="R117" s="48" t="s">
        <v>44</v>
      </c>
      <c r="S117" s="48">
        <v>80</v>
      </c>
      <c r="T117" s="48" t="s">
        <v>44</v>
      </c>
    </row>
    <row r="118" spans="15:20" ht="18" hidden="1" customHeight="1" x14ac:dyDescent="0.35">
      <c r="O118" s="48" t="s">
        <v>276</v>
      </c>
      <c r="P118" s="48" t="s">
        <v>277</v>
      </c>
      <c r="Q118" s="48" t="s">
        <v>278</v>
      </c>
      <c r="R118" s="48" t="s">
        <v>44</v>
      </c>
      <c r="S118" s="48">
        <v>80</v>
      </c>
      <c r="T118" s="48" t="s">
        <v>44</v>
      </c>
    </row>
    <row r="119" spans="15:20" ht="18" hidden="1" customHeight="1" x14ac:dyDescent="0.35">
      <c r="O119" s="48" t="s">
        <v>279</v>
      </c>
      <c r="P119" s="48" t="s">
        <v>280</v>
      </c>
      <c r="Q119" s="48" t="s">
        <v>281</v>
      </c>
      <c r="R119" s="48" t="s">
        <v>62</v>
      </c>
      <c r="S119" s="48">
        <v>29</v>
      </c>
      <c r="T119" s="48" t="s">
        <v>40</v>
      </c>
    </row>
    <row r="120" spans="15:20" ht="18" hidden="1" customHeight="1" x14ac:dyDescent="0.35">
      <c r="O120" s="48" t="s">
        <v>282</v>
      </c>
      <c r="P120" s="48" t="s">
        <v>283</v>
      </c>
      <c r="Q120" s="48" t="s">
        <v>284</v>
      </c>
      <c r="R120" s="48" t="s">
        <v>44</v>
      </c>
      <c r="S120" s="48">
        <v>80</v>
      </c>
      <c r="T120" s="48" t="s">
        <v>44</v>
      </c>
    </row>
    <row r="121" spans="15:20" ht="18" hidden="1" customHeight="1" x14ac:dyDescent="0.35">
      <c r="O121" s="48" t="s">
        <v>285</v>
      </c>
      <c r="P121" s="48" t="s">
        <v>286</v>
      </c>
      <c r="Q121" s="48" t="s">
        <v>287</v>
      </c>
      <c r="R121" s="48" t="s">
        <v>39</v>
      </c>
      <c r="S121" s="48">
        <v>39</v>
      </c>
      <c r="T121" s="48" t="s">
        <v>40</v>
      </c>
    </row>
    <row r="122" spans="15:20" ht="18" hidden="1" customHeight="1" x14ac:dyDescent="0.35">
      <c r="O122" s="48" t="s">
        <v>288</v>
      </c>
      <c r="P122" s="48" t="s">
        <v>289</v>
      </c>
      <c r="Q122" s="48" t="s">
        <v>290</v>
      </c>
      <c r="R122" s="48" t="s">
        <v>39</v>
      </c>
      <c r="S122" s="48">
        <v>43</v>
      </c>
      <c r="T122" s="48" t="s">
        <v>40</v>
      </c>
    </row>
    <row r="123" spans="15:20" ht="18" hidden="1" customHeight="1" x14ac:dyDescent="0.35">
      <c r="O123" s="48" t="s">
        <v>291</v>
      </c>
      <c r="P123" s="48" t="s">
        <v>292</v>
      </c>
      <c r="Q123" s="48" t="s">
        <v>293</v>
      </c>
      <c r="R123" s="48" t="s">
        <v>39</v>
      </c>
      <c r="S123" s="48">
        <v>38</v>
      </c>
      <c r="T123" s="48" t="s">
        <v>40</v>
      </c>
    </row>
    <row r="124" spans="15:20" ht="18" hidden="1" customHeight="1" x14ac:dyDescent="0.35">
      <c r="O124" s="48" t="s">
        <v>294</v>
      </c>
      <c r="P124" s="48" t="s">
        <v>295</v>
      </c>
      <c r="Q124" s="48" t="s">
        <v>296</v>
      </c>
      <c r="R124" s="48" t="s">
        <v>39</v>
      </c>
      <c r="S124" s="48">
        <v>50</v>
      </c>
      <c r="T124" s="48" t="s">
        <v>40</v>
      </c>
    </row>
    <row r="125" spans="15:20" ht="18" hidden="1" customHeight="1" x14ac:dyDescent="0.35">
      <c r="O125" s="48" t="s">
        <v>297</v>
      </c>
      <c r="P125" s="48" t="s">
        <v>298</v>
      </c>
      <c r="Q125" s="48" t="s">
        <v>299</v>
      </c>
      <c r="R125" s="48" t="s">
        <v>39</v>
      </c>
      <c r="S125" s="48">
        <v>60</v>
      </c>
      <c r="T125" s="48" t="s">
        <v>40</v>
      </c>
    </row>
    <row r="126" spans="15:20" ht="18" hidden="1" customHeight="1" x14ac:dyDescent="0.35">
      <c r="O126" s="48" t="s">
        <v>300</v>
      </c>
      <c r="P126" s="48" t="s">
        <v>301</v>
      </c>
      <c r="Q126" s="48" t="s">
        <v>302</v>
      </c>
      <c r="R126" s="48" t="s">
        <v>39</v>
      </c>
      <c r="S126" s="48">
        <v>36</v>
      </c>
      <c r="T126" s="48" t="s">
        <v>40</v>
      </c>
    </row>
    <row r="127" spans="15:20" ht="18" hidden="1" customHeight="1" x14ac:dyDescent="0.35">
      <c r="O127" s="48" t="s">
        <v>303</v>
      </c>
      <c r="P127" s="48" t="s">
        <v>304</v>
      </c>
      <c r="Q127" s="48" t="s">
        <v>305</v>
      </c>
      <c r="R127" s="48" t="s">
        <v>44</v>
      </c>
      <c r="S127" s="48">
        <v>80</v>
      </c>
      <c r="T127" s="48" t="s">
        <v>44</v>
      </c>
    </row>
    <row r="128" spans="15:20" ht="18" hidden="1" customHeight="1" x14ac:dyDescent="0.35">
      <c r="O128" s="48" t="s">
        <v>306</v>
      </c>
      <c r="P128" s="48" t="s">
        <v>307</v>
      </c>
      <c r="Q128" s="48"/>
      <c r="R128" s="48" t="s">
        <v>39</v>
      </c>
      <c r="S128" s="48">
        <v>41</v>
      </c>
      <c r="T128" s="48" t="s">
        <v>40</v>
      </c>
    </row>
    <row r="129" spans="15:20" ht="18" hidden="1" customHeight="1" x14ac:dyDescent="0.35">
      <c r="O129" s="48" t="s">
        <v>308</v>
      </c>
      <c r="P129" s="48" t="s">
        <v>309</v>
      </c>
      <c r="Q129" s="48" t="s">
        <v>310</v>
      </c>
      <c r="R129" s="48" t="s">
        <v>44</v>
      </c>
      <c r="S129" s="48">
        <v>61</v>
      </c>
      <c r="T129" s="48" t="s">
        <v>44</v>
      </c>
    </row>
    <row r="130" spans="15:20" ht="18" hidden="1" customHeight="1" x14ac:dyDescent="0.35">
      <c r="O130" s="48" t="s">
        <v>311</v>
      </c>
      <c r="P130" s="48" t="s">
        <v>312</v>
      </c>
      <c r="Q130" s="48" t="s">
        <v>313</v>
      </c>
      <c r="R130" s="48" t="s">
        <v>36</v>
      </c>
      <c r="S130" s="48">
        <v>100</v>
      </c>
      <c r="T130" s="48" t="s">
        <v>36</v>
      </c>
    </row>
    <row r="131" spans="15:20" ht="18" hidden="1" customHeight="1" x14ac:dyDescent="0.35">
      <c r="O131" s="48" t="s">
        <v>314</v>
      </c>
      <c r="P131" s="48" t="s">
        <v>315</v>
      </c>
      <c r="Q131" s="48" t="s">
        <v>316</v>
      </c>
      <c r="R131" s="48" t="s">
        <v>39</v>
      </c>
      <c r="S131" s="48">
        <v>54</v>
      </c>
      <c r="T131" s="48" t="s">
        <v>40</v>
      </c>
    </row>
    <row r="132" spans="15:20" ht="18" hidden="1" customHeight="1" x14ac:dyDescent="0.35">
      <c r="O132" s="48" t="s">
        <v>317</v>
      </c>
      <c r="P132" s="48" t="s">
        <v>318</v>
      </c>
      <c r="Q132" s="48" t="s">
        <v>319</v>
      </c>
      <c r="R132" s="48" t="s">
        <v>44</v>
      </c>
      <c r="S132" s="48">
        <v>80</v>
      </c>
      <c r="T132" s="48" t="s">
        <v>44</v>
      </c>
    </row>
    <row r="133" spans="15:20" ht="18" hidden="1" customHeight="1" x14ac:dyDescent="0.35">
      <c r="O133" s="48" t="s">
        <v>320</v>
      </c>
      <c r="P133" s="48" t="s">
        <v>321</v>
      </c>
      <c r="Q133" s="48" t="s">
        <v>322</v>
      </c>
      <c r="R133" s="48" t="s">
        <v>62</v>
      </c>
      <c r="S133" s="48">
        <v>30</v>
      </c>
      <c r="T133" s="48" t="s">
        <v>36</v>
      </c>
    </row>
    <row r="134" spans="15:20" ht="18" hidden="1" customHeight="1" x14ac:dyDescent="0.35">
      <c r="O134" s="48" t="s">
        <v>323</v>
      </c>
      <c r="P134" s="48" t="s">
        <v>324</v>
      </c>
      <c r="Q134" s="48" t="s">
        <v>325</v>
      </c>
      <c r="R134" s="48" t="s">
        <v>44</v>
      </c>
      <c r="S134" s="48">
        <v>64</v>
      </c>
      <c r="T134" s="48" t="s">
        <v>44</v>
      </c>
    </row>
    <row r="135" spans="15:20" ht="18" hidden="1" customHeight="1" x14ac:dyDescent="0.35">
      <c r="O135" s="48" t="s">
        <v>326</v>
      </c>
      <c r="P135" s="48" t="s">
        <v>327</v>
      </c>
      <c r="Q135" s="48" t="s">
        <v>328</v>
      </c>
      <c r="R135" s="48" t="s">
        <v>39</v>
      </c>
      <c r="S135" s="48">
        <v>39</v>
      </c>
      <c r="T135" s="48" t="s">
        <v>44</v>
      </c>
    </row>
    <row r="136" spans="15:20" ht="18" hidden="1" customHeight="1" x14ac:dyDescent="0.35">
      <c r="O136" s="48" t="s">
        <v>329</v>
      </c>
      <c r="P136" s="48" t="s">
        <v>330</v>
      </c>
      <c r="Q136" s="48" t="s">
        <v>331</v>
      </c>
      <c r="R136" s="48" t="s">
        <v>39</v>
      </c>
      <c r="S136" s="48">
        <v>38</v>
      </c>
      <c r="T136" s="48" t="s">
        <v>40</v>
      </c>
    </row>
    <row r="137" spans="15:20" ht="18" hidden="1" customHeight="1" x14ac:dyDescent="0.35">
      <c r="O137" s="48" t="s">
        <v>332</v>
      </c>
      <c r="P137" s="48" t="s">
        <v>333</v>
      </c>
      <c r="Q137" s="48" t="s">
        <v>334</v>
      </c>
      <c r="R137" s="48" t="s">
        <v>62</v>
      </c>
      <c r="S137" s="48">
        <v>30</v>
      </c>
      <c r="T137" s="48" t="s">
        <v>40</v>
      </c>
    </row>
    <row r="138" spans="15:20" ht="18" hidden="1" customHeight="1" x14ac:dyDescent="0.35">
      <c r="O138" s="48" t="s">
        <v>24</v>
      </c>
      <c r="P138" s="48" t="s">
        <v>25</v>
      </c>
      <c r="Q138" s="48" t="s">
        <v>26</v>
      </c>
      <c r="R138" s="48" t="s">
        <v>39</v>
      </c>
      <c r="S138" s="48">
        <v>45</v>
      </c>
      <c r="T138" s="48" t="s">
        <v>40</v>
      </c>
    </row>
    <row r="139" spans="15:20" ht="18" hidden="1" customHeight="1" x14ac:dyDescent="0.35">
      <c r="O139" s="48" t="s">
        <v>335</v>
      </c>
      <c r="P139" s="48" t="s">
        <v>336</v>
      </c>
      <c r="Q139" s="48" t="s">
        <v>337</v>
      </c>
      <c r="R139" s="48" t="s">
        <v>39</v>
      </c>
      <c r="S139" s="48">
        <v>51</v>
      </c>
      <c r="T139" s="48" t="s">
        <v>40</v>
      </c>
    </row>
    <row r="140" spans="15:20" ht="18" hidden="1" customHeight="1" x14ac:dyDescent="0.35">
      <c r="O140" s="48" t="s">
        <v>338</v>
      </c>
      <c r="P140" s="48" t="s">
        <v>339</v>
      </c>
      <c r="Q140" s="48" t="s">
        <v>340</v>
      </c>
      <c r="R140" s="48"/>
      <c r="S140" s="48">
        <v>100</v>
      </c>
      <c r="T140" s="48" t="s">
        <v>40</v>
      </c>
    </row>
    <row r="141" spans="15:20" ht="18" hidden="1" customHeight="1" x14ac:dyDescent="0.35">
      <c r="O141" s="48" t="s">
        <v>341</v>
      </c>
      <c r="P141" s="48" t="s">
        <v>342</v>
      </c>
      <c r="Q141" s="48" t="s">
        <v>343</v>
      </c>
      <c r="R141" s="48" t="s">
        <v>36</v>
      </c>
      <c r="S141" s="48">
        <v>100</v>
      </c>
      <c r="T141" s="48" t="s">
        <v>36</v>
      </c>
    </row>
    <row r="142" spans="15:20" ht="18" hidden="1" customHeight="1" x14ac:dyDescent="0.35">
      <c r="O142" s="48" t="s">
        <v>344</v>
      </c>
      <c r="P142" s="48" t="s">
        <v>345</v>
      </c>
      <c r="Q142" s="48" t="s">
        <v>346</v>
      </c>
      <c r="R142" s="48" t="s">
        <v>36</v>
      </c>
      <c r="S142" s="48">
        <v>100</v>
      </c>
      <c r="T142" s="48" t="s">
        <v>36</v>
      </c>
    </row>
    <row r="143" spans="15:20" ht="18" hidden="1" customHeight="1" x14ac:dyDescent="0.35">
      <c r="O143" s="48" t="s">
        <v>347</v>
      </c>
      <c r="P143" s="48" t="s">
        <v>348</v>
      </c>
      <c r="Q143" s="48" t="s">
        <v>349</v>
      </c>
      <c r="R143" s="48" t="s">
        <v>39</v>
      </c>
      <c r="S143" s="48">
        <v>60</v>
      </c>
      <c r="T143" s="48" t="s">
        <v>40</v>
      </c>
    </row>
    <row r="144" spans="15:20" ht="18" hidden="1" customHeight="1" x14ac:dyDescent="0.35">
      <c r="O144" s="48" t="s">
        <v>350</v>
      </c>
      <c r="P144" s="48" t="s">
        <v>351</v>
      </c>
      <c r="Q144" s="48" t="s">
        <v>352</v>
      </c>
      <c r="R144" s="48" t="s">
        <v>39</v>
      </c>
      <c r="S144" s="48">
        <v>39</v>
      </c>
      <c r="T144" s="48" t="s">
        <v>40</v>
      </c>
    </row>
    <row r="145" spans="15:20" ht="18" hidden="1" customHeight="1" x14ac:dyDescent="0.35">
      <c r="O145" s="48" t="s">
        <v>353</v>
      </c>
      <c r="P145" s="48" t="s">
        <v>354</v>
      </c>
      <c r="Q145" s="48" t="s">
        <v>355</v>
      </c>
      <c r="R145" s="48" t="s">
        <v>39</v>
      </c>
      <c r="S145" s="48">
        <v>54</v>
      </c>
      <c r="T145" s="48" t="s">
        <v>44</v>
      </c>
    </row>
    <row r="146" spans="15:20" ht="18" hidden="1" customHeight="1" x14ac:dyDescent="0.35">
      <c r="O146" s="48" t="s">
        <v>356</v>
      </c>
      <c r="P146" s="48" t="s">
        <v>357</v>
      </c>
      <c r="Q146" s="48" t="s">
        <v>358</v>
      </c>
      <c r="R146" s="48" t="s">
        <v>39</v>
      </c>
      <c r="S146" s="48">
        <v>60</v>
      </c>
      <c r="T146" s="48" t="s">
        <v>40</v>
      </c>
    </row>
    <row r="147" spans="15:20" ht="18" hidden="1" customHeight="1" x14ac:dyDescent="0.35">
      <c r="O147" s="48" t="s">
        <v>359</v>
      </c>
      <c r="P147" s="48" t="s">
        <v>360</v>
      </c>
      <c r="Q147" s="48" t="s">
        <v>361</v>
      </c>
      <c r="R147" s="48" t="s">
        <v>44</v>
      </c>
      <c r="S147" s="48">
        <v>61</v>
      </c>
      <c r="T147" s="48" t="s">
        <v>44</v>
      </c>
    </row>
    <row r="148" spans="15:20" ht="18" hidden="1" customHeight="1" x14ac:dyDescent="0.35">
      <c r="O148" s="48" t="s">
        <v>362</v>
      </c>
      <c r="P148" s="48" t="s">
        <v>363</v>
      </c>
      <c r="Q148" s="48" t="s">
        <v>364</v>
      </c>
      <c r="R148" s="48" t="s">
        <v>62</v>
      </c>
      <c r="S148" s="48">
        <v>30</v>
      </c>
      <c r="T148" s="48" t="s">
        <v>40</v>
      </c>
    </row>
    <row r="149" spans="15:20" ht="18" hidden="1" customHeight="1" x14ac:dyDescent="0.35">
      <c r="O149" s="48" t="s">
        <v>365</v>
      </c>
      <c r="P149" s="48" t="s">
        <v>366</v>
      </c>
      <c r="Q149" s="48" t="s">
        <v>367</v>
      </c>
      <c r="R149" s="48" t="s">
        <v>39</v>
      </c>
      <c r="S149" s="48">
        <v>41</v>
      </c>
      <c r="T149" s="48" t="s">
        <v>40</v>
      </c>
    </row>
    <row r="150" spans="15:20" ht="18" hidden="1" customHeight="1" x14ac:dyDescent="0.35">
      <c r="O150" s="48" t="s">
        <v>368</v>
      </c>
      <c r="P150" s="48" t="s">
        <v>369</v>
      </c>
      <c r="Q150" s="48" t="s">
        <v>370</v>
      </c>
      <c r="R150" s="48" t="s">
        <v>39</v>
      </c>
      <c r="S150" s="48">
        <v>60</v>
      </c>
      <c r="T150" s="48" t="s">
        <v>44</v>
      </c>
    </row>
    <row r="151" spans="15:20" ht="18" hidden="1" customHeight="1" x14ac:dyDescent="0.35">
      <c r="O151" s="48" t="s">
        <v>371</v>
      </c>
      <c r="P151" s="48" t="s">
        <v>372</v>
      </c>
      <c r="Q151" s="48" t="s">
        <v>373</v>
      </c>
      <c r="R151" s="48" t="s">
        <v>44</v>
      </c>
      <c r="S151" s="48">
        <v>80</v>
      </c>
      <c r="T151" s="48" t="s">
        <v>44</v>
      </c>
    </row>
    <row r="152" spans="15:20" ht="18" hidden="1" customHeight="1" x14ac:dyDescent="0.35">
      <c r="O152" s="48" t="s">
        <v>374</v>
      </c>
      <c r="P152" s="48" t="s">
        <v>375</v>
      </c>
      <c r="Q152" s="48" t="s">
        <v>376</v>
      </c>
      <c r="R152" s="48" t="s">
        <v>39</v>
      </c>
      <c r="S152" s="48">
        <v>54</v>
      </c>
      <c r="T152" s="48" t="s">
        <v>44</v>
      </c>
    </row>
    <row r="153" spans="15:20" ht="18" hidden="1" customHeight="1" x14ac:dyDescent="0.35">
      <c r="O153" s="48" t="s">
        <v>377</v>
      </c>
      <c r="P153" s="48" t="s">
        <v>378</v>
      </c>
      <c r="Q153" s="48" t="s">
        <v>379</v>
      </c>
      <c r="R153" s="48" t="s">
        <v>39</v>
      </c>
      <c r="S153" s="48">
        <v>43</v>
      </c>
      <c r="T153" s="48" t="s">
        <v>40</v>
      </c>
    </row>
    <row r="154" spans="15:20" ht="18" hidden="1" customHeight="1" x14ac:dyDescent="0.35">
      <c r="O154" s="48" t="s">
        <v>380</v>
      </c>
      <c r="P154" s="48" t="s">
        <v>381</v>
      </c>
      <c r="Q154" s="48" t="s">
        <v>382</v>
      </c>
      <c r="R154" s="48" t="s">
        <v>36</v>
      </c>
      <c r="S154" s="48">
        <v>100</v>
      </c>
      <c r="T154" s="48" t="s">
        <v>36</v>
      </c>
    </row>
    <row r="155" spans="15:20" ht="18" hidden="1" customHeight="1" x14ac:dyDescent="0.35">
      <c r="O155" s="48" t="s">
        <v>383</v>
      </c>
      <c r="P155" s="48" t="s">
        <v>384</v>
      </c>
      <c r="Q155" s="48" t="s">
        <v>385</v>
      </c>
      <c r="R155" s="48" t="s">
        <v>62</v>
      </c>
      <c r="S155" s="48">
        <v>30</v>
      </c>
      <c r="T155" s="48" t="s">
        <v>40</v>
      </c>
    </row>
    <row r="156" spans="15:20" ht="18" hidden="1" customHeight="1" x14ac:dyDescent="0.35">
      <c r="O156" s="48" t="s">
        <v>386</v>
      </c>
      <c r="P156" s="48" t="s">
        <v>387</v>
      </c>
      <c r="Q156" s="48"/>
      <c r="R156" s="48" t="s">
        <v>44</v>
      </c>
      <c r="S156" s="48">
        <v>100</v>
      </c>
      <c r="T156" s="48" t="s">
        <v>40</v>
      </c>
    </row>
    <row r="157" spans="15:20" ht="18" hidden="1" customHeight="1" x14ac:dyDescent="0.35">
      <c r="O157" s="48" t="s">
        <v>386</v>
      </c>
      <c r="P157" s="48" t="s">
        <v>388</v>
      </c>
      <c r="Q157" s="48" t="s">
        <v>389</v>
      </c>
      <c r="R157" s="48" t="s">
        <v>39</v>
      </c>
      <c r="S157" s="48">
        <v>53</v>
      </c>
      <c r="T157" s="48" t="s">
        <v>40</v>
      </c>
    </row>
    <row r="158" spans="15:20" ht="18" hidden="1" customHeight="1" x14ac:dyDescent="0.35">
      <c r="O158" s="48" t="s">
        <v>390</v>
      </c>
      <c r="P158" s="48" t="s">
        <v>391</v>
      </c>
      <c r="Q158" s="48" t="s">
        <v>392</v>
      </c>
      <c r="R158" s="48" t="s">
        <v>39</v>
      </c>
      <c r="S158" s="48">
        <v>47</v>
      </c>
      <c r="T158" s="48" t="s">
        <v>40</v>
      </c>
    </row>
    <row r="159" spans="15:20" ht="18" hidden="1" customHeight="1" x14ac:dyDescent="0.35">
      <c r="O159" s="48" t="s">
        <v>393</v>
      </c>
      <c r="P159" s="48" t="s">
        <v>394</v>
      </c>
      <c r="Q159" s="48" t="s">
        <v>395</v>
      </c>
      <c r="R159" s="48" t="s">
        <v>44</v>
      </c>
      <c r="S159" s="48">
        <v>65</v>
      </c>
      <c r="T159" s="48" t="s">
        <v>44</v>
      </c>
    </row>
    <row r="160" spans="15:20" ht="18" hidden="1" customHeight="1" x14ac:dyDescent="0.35">
      <c r="O160" s="48" t="s">
        <v>396</v>
      </c>
      <c r="P160" s="48" t="s">
        <v>397</v>
      </c>
      <c r="Q160" s="48" t="s">
        <v>396</v>
      </c>
      <c r="R160" s="48" t="s">
        <v>44</v>
      </c>
      <c r="S160" s="48">
        <v>63</v>
      </c>
      <c r="T160" s="48" t="s">
        <v>44</v>
      </c>
    </row>
    <row r="161" spans="15:20" ht="18" hidden="1" customHeight="1" x14ac:dyDescent="0.35">
      <c r="O161" s="48" t="s">
        <v>398</v>
      </c>
      <c r="P161" s="48" t="s">
        <v>399</v>
      </c>
      <c r="Q161" s="48" t="s">
        <v>400</v>
      </c>
      <c r="R161" s="48" t="s">
        <v>39</v>
      </c>
      <c r="S161" s="48">
        <v>46</v>
      </c>
      <c r="T161" s="48" t="s">
        <v>40</v>
      </c>
    </row>
    <row r="162" spans="15:20" ht="18" hidden="1" customHeight="1" x14ac:dyDescent="0.35">
      <c r="O162" s="48" t="s">
        <v>401</v>
      </c>
      <c r="P162" s="48" t="s">
        <v>402</v>
      </c>
      <c r="Q162" s="48" t="s">
        <v>403</v>
      </c>
      <c r="R162" s="48" t="s">
        <v>44</v>
      </c>
      <c r="S162" s="48">
        <v>71</v>
      </c>
      <c r="T162" s="48" t="s">
        <v>44</v>
      </c>
    </row>
    <row r="163" spans="15:20" ht="18" hidden="1" customHeight="1" x14ac:dyDescent="0.35">
      <c r="O163" s="48" t="s">
        <v>404</v>
      </c>
      <c r="P163" s="48" t="s">
        <v>405</v>
      </c>
      <c r="Q163" s="48" t="s">
        <v>406</v>
      </c>
      <c r="R163" s="48" t="s">
        <v>39</v>
      </c>
      <c r="S163" s="48">
        <v>52</v>
      </c>
      <c r="T163" s="48" t="s">
        <v>40</v>
      </c>
    </row>
    <row r="164" spans="15:20" ht="18" hidden="1" customHeight="1" x14ac:dyDescent="0.35">
      <c r="O164" s="48" t="s">
        <v>407</v>
      </c>
      <c r="P164" s="48" t="s">
        <v>408</v>
      </c>
      <c r="Q164" s="48" t="s">
        <v>409</v>
      </c>
      <c r="R164" s="48" t="s">
        <v>44</v>
      </c>
      <c r="S164" s="48">
        <v>64</v>
      </c>
      <c r="T164" s="48" t="s">
        <v>44</v>
      </c>
    </row>
    <row r="165" spans="15:20" ht="18" hidden="1" customHeight="1" x14ac:dyDescent="0.35">
      <c r="O165" s="48" t="s">
        <v>410</v>
      </c>
      <c r="P165" s="48" t="s">
        <v>411</v>
      </c>
      <c r="Q165" s="48" t="s">
        <v>412</v>
      </c>
      <c r="R165" s="48" t="s">
        <v>36</v>
      </c>
      <c r="S165" s="48">
        <v>100</v>
      </c>
      <c r="T165" s="48" t="s">
        <v>36</v>
      </c>
    </row>
    <row r="166" spans="15:20" ht="18" hidden="1" customHeight="1" x14ac:dyDescent="0.35">
      <c r="O166" s="48" t="s">
        <v>413</v>
      </c>
      <c r="P166" s="48" t="s">
        <v>414</v>
      </c>
      <c r="Q166" s="48" t="s">
        <v>415</v>
      </c>
      <c r="R166" s="48" t="s">
        <v>62</v>
      </c>
      <c r="S166" s="48">
        <v>30</v>
      </c>
      <c r="T166" s="48" t="s">
        <v>40</v>
      </c>
    </row>
    <row r="167" spans="15:20" ht="18" hidden="1" customHeight="1" x14ac:dyDescent="0.35">
      <c r="O167" s="48" t="s">
        <v>416</v>
      </c>
      <c r="P167" s="48" t="s">
        <v>417</v>
      </c>
      <c r="Q167" s="48" t="s">
        <v>418</v>
      </c>
      <c r="R167" s="48" t="s">
        <v>39</v>
      </c>
      <c r="S167" s="48">
        <v>40</v>
      </c>
      <c r="T167" s="48" t="s">
        <v>40</v>
      </c>
    </row>
    <row r="168" spans="15:20" ht="18" hidden="1" customHeight="1" x14ac:dyDescent="0.35">
      <c r="O168" s="48" t="s">
        <v>419</v>
      </c>
      <c r="P168" s="48" t="s">
        <v>420</v>
      </c>
      <c r="Q168" s="48" t="s">
        <v>421</v>
      </c>
      <c r="R168" s="48" t="s">
        <v>62</v>
      </c>
      <c r="S168" s="48">
        <v>30</v>
      </c>
      <c r="T168" s="48" t="s">
        <v>40</v>
      </c>
    </row>
    <row r="169" spans="15:20" ht="18" hidden="1" customHeight="1" x14ac:dyDescent="0.35">
      <c r="O169" s="48" t="s">
        <v>422</v>
      </c>
      <c r="P169" s="48" t="s">
        <v>423</v>
      </c>
      <c r="Q169" s="48" t="s">
        <v>424</v>
      </c>
      <c r="R169" s="48" t="s">
        <v>39</v>
      </c>
      <c r="S169" s="48">
        <v>47</v>
      </c>
      <c r="T169" s="48" t="s">
        <v>40</v>
      </c>
    </row>
    <row r="170" spans="15:20" ht="18" hidden="1" customHeight="1" x14ac:dyDescent="0.35">
      <c r="O170" s="48" t="s">
        <v>425</v>
      </c>
      <c r="P170" s="48" t="s">
        <v>426</v>
      </c>
      <c r="Q170" s="48" t="s">
        <v>427</v>
      </c>
      <c r="R170" s="48" t="s">
        <v>39</v>
      </c>
      <c r="S170" s="48">
        <v>53</v>
      </c>
      <c r="T170" s="48" t="s">
        <v>40</v>
      </c>
    </row>
    <row r="171" spans="15:20" ht="18" hidden="1" customHeight="1" x14ac:dyDescent="0.35">
      <c r="O171" s="48" t="s">
        <v>428</v>
      </c>
      <c r="P171" s="48" t="s">
        <v>429</v>
      </c>
      <c r="Q171" s="48" t="s">
        <v>430</v>
      </c>
      <c r="R171" s="48" t="s">
        <v>39</v>
      </c>
      <c r="S171" s="48">
        <v>50</v>
      </c>
      <c r="T171" s="48" t="s">
        <v>40</v>
      </c>
    </row>
    <row r="172" spans="15:20" ht="18" hidden="1" customHeight="1" x14ac:dyDescent="0.35">
      <c r="O172" s="48" t="s">
        <v>431</v>
      </c>
      <c r="P172" s="48" t="s">
        <v>432</v>
      </c>
      <c r="Q172" s="48" t="s">
        <v>433</v>
      </c>
      <c r="R172" s="48" t="s">
        <v>44</v>
      </c>
      <c r="S172" s="48">
        <v>80</v>
      </c>
      <c r="T172" s="48" t="s">
        <v>44</v>
      </c>
    </row>
    <row r="173" spans="15:20" ht="18" hidden="1" customHeight="1" x14ac:dyDescent="0.35">
      <c r="O173" s="48" t="s">
        <v>434</v>
      </c>
      <c r="P173" s="48" t="s">
        <v>435</v>
      </c>
      <c r="Q173" s="48" t="s">
        <v>436</v>
      </c>
      <c r="R173" s="48" t="s">
        <v>39</v>
      </c>
      <c r="S173" s="48">
        <v>52</v>
      </c>
      <c r="T173" s="48" t="s">
        <v>40</v>
      </c>
    </row>
    <row r="174" spans="15:20" ht="18" hidden="1" customHeight="1" x14ac:dyDescent="0.35">
      <c r="O174" s="48" t="s">
        <v>437</v>
      </c>
      <c r="P174" s="48" t="s">
        <v>438</v>
      </c>
      <c r="Q174" s="48" t="s">
        <v>439</v>
      </c>
      <c r="R174" s="48" t="s">
        <v>39</v>
      </c>
      <c r="S174" s="48">
        <v>47</v>
      </c>
      <c r="T174" s="48" t="s">
        <v>40</v>
      </c>
    </row>
    <row r="175" spans="15:20" ht="18" hidden="1" customHeight="1" x14ac:dyDescent="0.35">
      <c r="O175" s="48" t="s">
        <v>440</v>
      </c>
      <c r="P175" s="48" t="s">
        <v>441</v>
      </c>
      <c r="Q175" s="48" t="s">
        <v>442</v>
      </c>
      <c r="R175" s="48" t="s">
        <v>44</v>
      </c>
      <c r="S175" s="48">
        <v>73</v>
      </c>
      <c r="T175" s="48" t="s">
        <v>44</v>
      </c>
    </row>
    <row r="176" spans="15:20" ht="18" hidden="1" customHeight="1" x14ac:dyDescent="0.35">
      <c r="O176" s="48" t="s">
        <v>443</v>
      </c>
      <c r="P176" s="48" t="s">
        <v>444</v>
      </c>
      <c r="Q176" s="48" t="s">
        <v>445</v>
      </c>
      <c r="R176" s="48" t="s">
        <v>39</v>
      </c>
      <c r="S176" s="48">
        <v>42</v>
      </c>
      <c r="T176" s="48" t="s">
        <v>40</v>
      </c>
    </row>
    <row r="177" spans="15:20" ht="18" hidden="1" customHeight="1" x14ac:dyDescent="0.35">
      <c r="O177" s="48" t="s">
        <v>446</v>
      </c>
      <c r="P177" s="48" t="s">
        <v>447</v>
      </c>
      <c r="Q177" s="48" t="s">
        <v>448</v>
      </c>
      <c r="R177" s="48" t="s">
        <v>39</v>
      </c>
      <c r="S177" s="48">
        <v>50</v>
      </c>
      <c r="T177" s="48" t="s">
        <v>40</v>
      </c>
    </row>
    <row r="178" spans="15:20" ht="18" hidden="1" customHeight="1" x14ac:dyDescent="0.35">
      <c r="O178" s="48" t="s">
        <v>449</v>
      </c>
      <c r="P178" s="48" t="s">
        <v>450</v>
      </c>
      <c r="Q178" s="48" t="s">
        <v>451</v>
      </c>
      <c r="R178" s="48" t="s">
        <v>39</v>
      </c>
      <c r="S178" s="48">
        <v>38</v>
      </c>
      <c r="T178" s="48" t="s">
        <v>40</v>
      </c>
    </row>
    <row r="179" spans="15:20" ht="18" hidden="1" customHeight="1" x14ac:dyDescent="0.35">
      <c r="O179" s="48" t="s">
        <v>452</v>
      </c>
      <c r="P179" s="48" t="s">
        <v>453</v>
      </c>
      <c r="Q179" s="48" t="s">
        <v>454</v>
      </c>
      <c r="R179" s="48" t="s">
        <v>44</v>
      </c>
      <c r="S179" s="48">
        <v>68</v>
      </c>
      <c r="T179" s="48" t="s">
        <v>44</v>
      </c>
    </row>
    <row r="180" spans="15:20" ht="18" hidden="1" customHeight="1" x14ac:dyDescent="0.35">
      <c r="O180" s="48" t="s">
        <v>455</v>
      </c>
      <c r="P180" s="48" t="s">
        <v>456</v>
      </c>
      <c r="Q180" s="48" t="s">
        <v>457</v>
      </c>
      <c r="R180" s="48" t="s">
        <v>44</v>
      </c>
      <c r="S180" s="48">
        <v>80</v>
      </c>
      <c r="T180" s="48" t="s">
        <v>44</v>
      </c>
    </row>
    <row r="181" spans="15:20" ht="18" hidden="1" customHeight="1" x14ac:dyDescent="0.35">
      <c r="O181" s="48" t="s">
        <v>458</v>
      </c>
      <c r="P181" s="48" t="s">
        <v>459</v>
      </c>
      <c r="Q181" s="48" t="s">
        <v>460</v>
      </c>
      <c r="R181" s="48" t="s">
        <v>62</v>
      </c>
      <c r="S181" s="48">
        <v>30</v>
      </c>
      <c r="T181" s="48" t="s">
        <v>40</v>
      </c>
    </row>
    <row r="182" spans="15:20" ht="18" hidden="1" customHeight="1" x14ac:dyDescent="0.35">
      <c r="O182" s="48" t="s">
        <v>461</v>
      </c>
      <c r="P182" s="48" t="s">
        <v>462</v>
      </c>
      <c r="Q182" s="48" t="s">
        <v>463</v>
      </c>
      <c r="R182" s="48" t="s">
        <v>44</v>
      </c>
      <c r="S182" s="48">
        <v>68</v>
      </c>
      <c r="T182" s="48" t="s">
        <v>44</v>
      </c>
    </row>
    <row r="183" spans="15:20" ht="18" hidden="1" customHeight="1" x14ac:dyDescent="0.35">
      <c r="O183" s="48" t="s">
        <v>464</v>
      </c>
      <c r="P183" s="48" t="s">
        <v>465</v>
      </c>
      <c r="Q183" s="48" t="s">
        <v>466</v>
      </c>
      <c r="R183" s="48" t="s">
        <v>39</v>
      </c>
      <c r="S183" s="48">
        <v>39</v>
      </c>
      <c r="T183" s="48" t="s">
        <v>40</v>
      </c>
    </row>
    <row r="184" spans="15:20" ht="18" hidden="1" customHeight="1" x14ac:dyDescent="0.35">
      <c r="O184" s="48" t="s">
        <v>467</v>
      </c>
      <c r="P184" s="48" t="s">
        <v>468</v>
      </c>
      <c r="Q184" s="48" t="s">
        <v>469</v>
      </c>
      <c r="R184" s="48" t="s">
        <v>39</v>
      </c>
      <c r="S184" s="48">
        <v>60</v>
      </c>
      <c r="T184" s="48" t="s">
        <v>44</v>
      </c>
    </row>
    <row r="185" spans="15:20" ht="18" hidden="1" customHeight="1" x14ac:dyDescent="0.35">
      <c r="O185" s="48" t="s">
        <v>470</v>
      </c>
      <c r="P185" s="48" t="s">
        <v>471</v>
      </c>
      <c r="Q185" s="48" t="s">
        <v>472</v>
      </c>
      <c r="R185" s="48" t="s">
        <v>39</v>
      </c>
      <c r="S185" s="48">
        <v>40</v>
      </c>
      <c r="T185" s="48" t="s">
        <v>40</v>
      </c>
    </row>
    <row r="186" spans="15:20" ht="18" hidden="1" customHeight="1" x14ac:dyDescent="0.35">
      <c r="O186" s="48" t="s">
        <v>473</v>
      </c>
      <c r="P186" s="48" t="s">
        <v>474</v>
      </c>
      <c r="Q186" s="48" t="s">
        <v>475</v>
      </c>
      <c r="R186" s="48" t="s">
        <v>39</v>
      </c>
      <c r="S186" s="48">
        <v>53</v>
      </c>
      <c r="T186" s="48" t="s">
        <v>40</v>
      </c>
    </row>
    <row r="187" spans="15:20" ht="18" hidden="1" customHeight="1" x14ac:dyDescent="0.35">
      <c r="O187" s="48" t="s">
        <v>476</v>
      </c>
      <c r="P187" s="48" t="s">
        <v>477</v>
      </c>
      <c r="Q187" s="48" t="s">
        <v>478</v>
      </c>
      <c r="R187" s="48" t="s">
        <v>39</v>
      </c>
      <c r="S187" s="48">
        <v>41</v>
      </c>
      <c r="T187" s="48" t="s">
        <v>40</v>
      </c>
    </row>
    <row r="188" spans="15:20" ht="18" hidden="1" customHeight="1" x14ac:dyDescent="0.35">
      <c r="O188" s="48" t="s">
        <v>479</v>
      </c>
      <c r="P188" s="48" t="s">
        <v>480</v>
      </c>
      <c r="Q188" s="48" t="s">
        <v>481</v>
      </c>
      <c r="R188" s="48" t="s">
        <v>39</v>
      </c>
      <c r="S188" s="48">
        <v>60</v>
      </c>
      <c r="T188" s="48" t="s">
        <v>44</v>
      </c>
    </row>
    <row r="189" spans="15:20" ht="18" hidden="1" customHeight="1" x14ac:dyDescent="0.35">
      <c r="O189" s="48" t="s">
        <v>482</v>
      </c>
      <c r="P189" s="48" t="s">
        <v>483</v>
      </c>
      <c r="Q189" s="48" t="s">
        <v>484</v>
      </c>
      <c r="R189" s="48" t="s">
        <v>44</v>
      </c>
      <c r="S189" s="48">
        <v>80</v>
      </c>
      <c r="T189" s="48" t="s">
        <v>44</v>
      </c>
    </row>
    <row r="190" spans="15:20" ht="18" hidden="1" customHeight="1" x14ac:dyDescent="0.35">
      <c r="O190" s="48" t="s">
        <v>485</v>
      </c>
      <c r="P190" s="48" t="s">
        <v>486</v>
      </c>
      <c r="Q190" s="48" t="s">
        <v>487</v>
      </c>
      <c r="R190" s="48" t="s">
        <v>44</v>
      </c>
      <c r="S190" s="48">
        <v>61</v>
      </c>
      <c r="T190" s="48" t="s">
        <v>44</v>
      </c>
    </row>
    <row r="191" spans="15:20" ht="18" hidden="1" customHeight="1" x14ac:dyDescent="0.35">
      <c r="O191" s="48" t="s">
        <v>488</v>
      </c>
      <c r="P191" s="48" t="s">
        <v>489</v>
      </c>
      <c r="Q191" s="48" t="s">
        <v>490</v>
      </c>
      <c r="R191" s="48" t="s">
        <v>44</v>
      </c>
      <c r="S191" s="48">
        <v>80</v>
      </c>
      <c r="T191" s="48" t="s">
        <v>36</v>
      </c>
    </row>
    <row r="192" spans="15:20" ht="18" hidden="1" customHeight="1" x14ac:dyDescent="0.35">
      <c r="O192" s="48" t="s">
        <v>491</v>
      </c>
      <c r="P192" s="48" t="s">
        <v>492</v>
      </c>
      <c r="Q192" s="48" t="s">
        <v>493</v>
      </c>
      <c r="R192" s="48" t="s">
        <v>62</v>
      </c>
      <c r="S192" s="48">
        <v>30</v>
      </c>
      <c r="T192" s="48" t="s">
        <v>40</v>
      </c>
    </row>
    <row r="193" spans="15:20" ht="18" hidden="1" customHeight="1" x14ac:dyDescent="0.35">
      <c r="O193" s="48" t="s">
        <v>494</v>
      </c>
      <c r="P193" s="48" t="s">
        <v>495</v>
      </c>
      <c r="Q193" s="48" t="s">
        <v>496</v>
      </c>
      <c r="R193" s="48" t="s">
        <v>39</v>
      </c>
      <c r="S193" s="48">
        <v>48</v>
      </c>
      <c r="T193" s="48" t="s">
        <v>44</v>
      </c>
    </row>
    <row r="194" spans="15:20" ht="18" hidden="1" customHeight="1" x14ac:dyDescent="0.35">
      <c r="O194" s="48" t="s">
        <v>497</v>
      </c>
      <c r="P194" s="48" t="s">
        <v>498</v>
      </c>
      <c r="Q194" s="48" t="s">
        <v>499</v>
      </c>
      <c r="R194" s="48" t="s">
        <v>39</v>
      </c>
      <c r="S194" s="48">
        <v>47</v>
      </c>
      <c r="T194" s="48" t="s">
        <v>40</v>
      </c>
    </row>
    <row r="195" spans="15:20" ht="18" hidden="1" customHeight="1" x14ac:dyDescent="0.35">
      <c r="O195" s="48" t="s">
        <v>500</v>
      </c>
      <c r="P195" s="48" t="s">
        <v>501</v>
      </c>
      <c r="Q195" s="48" t="s">
        <v>502</v>
      </c>
      <c r="R195" s="48" t="s">
        <v>39</v>
      </c>
      <c r="S195" s="48">
        <v>54</v>
      </c>
      <c r="T195" s="48" t="s">
        <v>44</v>
      </c>
    </row>
    <row r="196" spans="15:20" ht="18" hidden="1" customHeight="1" x14ac:dyDescent="0.35">
      <c r="O196" s="48" t="s">
        <v>503</v>
      </c>
      <c r="P196" s="48" t="s">
        <v>504</v>
      </c>
      <c r="Q196" s="48" t="s">
        <v>505</v>
      </c>
      <c r="R196" s="48" t="s">
        <v>62</v>
      </c>
      <c r="S196" s="48">
        <v>29</v>
      </c>
      <c r="T196" s="48" t="s">
        <v>40</v>
      </c>
    </row>
    <row r="197" spans="15:20" ht="18" hidden="1" customHeight="1" x14ac:dyDescent="0.35">
      <c r="O197" s="48" t="s">
        <v>506</v>
      </c>
      <c r="P197" s="48" t="s">
        <v>507</v>
      </c>
      <c r="Q197" s="48"/>
      <c r="R197" s="48"/>
      <c r="S197" s="48">
        <v>100</v>
      </c>
      <c r="T197" s="48" t="s">
        <v>40</v>
      </c>
    </row>
    <row r="198" spans="15:20" ht="18" hidden="1" customHeight="1" x14ac:dyDescent="0.35">
      <c r="O198" s="48" t="s">
        <v>508</v>
      </c>
      <c r="P198" s="48" t="s">
        <v>509</v>
      </c>
      <c r="Q198" s="48" t="s">
        <v>510</v>
      </c>
      <c r="R198" s="48" t="s">
        <v>62</v>
      </c>
      <c r="S198" s="48">
        <v>29</v>
      </c>
      <c r="T198" s="48" t="s">
        <v>40</v>
      </c>
    </row>
    <row r="199" spans="15:20" ht="18" hidden="1" customHeight="1" x14ac:dyDescent="0.35">
      <c r="O199" s="48" t="s">
        <v>511</v>
      </c>
      <c r="P199" s="48" t="s">
        <v>512</v>
      </c>
      <c r="Q199" s="48" t="s">
        <v>513</v>
      </c>
      <c r="R199" s="48" t="s">
        <v>44</v>
      </c>
      <c r="S199" s="48">
        <v>63</v>
      </c>
      <c r="T199" s="48" t="s">
        <v>44</v>
      </c>
    </row>
    <row r="200" spans="15:20" ht="18" hidden="1" customHeight="1" x14ac:dyDescent="0.35">
      <c r="O200" s="48" t="s">
        <v>514</v>
      </c>
      <c r="P200" s="48" t="s">
        <v>515</v>
      </c>
      <c r="Q200" s="48" t="s">
        <v>516</v>
      </c>
      <c r="R200" s="48" t="s">
        <v>44</v>
      </c>
      <c r="S200" s="48">
        <v>72</v>
      </c>
      <c r="T200" s="48" t="s">
        <v>44</v>
      </c>
    </row>
    <row r="201" spans="15:20" ht="18" hidden="1" customHeight="1" x14ac:dyDescent="0.35">
      <c r="O201" s="48" t="s">
        <v>517</v>
      </c>
      <c r="P201" s="48" t="s">
        <v>518</v>
      </c>
      <c r="Q201" s="48" t="s">
        <v>519</v>
      </c>
      <c r="R201" s="48" t="s">
        <v>44</v>
      </c>
      <c r="S201" s="48">
        <v>66</v>
      </c>
      <c r="T201" s="48" t="s">
        <v>44</v>
      </c>
    </row>
    <row r="202" spans="15:20" ht="18" hidden="1" customHeight="1" x14ac:dyDescent="0.35">
      <c r="O202" s="48" t="s">
        <v>520</v>
      </c>
      <c r="P202" s="48" t="s">
        <v>521</v>
      </c>
      <c r="Q202" s="48" t="s">
        <v>522</v>
      </c>
      <c r="R202" s="48" t="s">
        <v>39</v>
      </c>
      <c r="S202" s="48">
        <v>45</v>
      </c>
      <c r="T202" s="48" t="s">
        <v>40</v>
      </c>
    </row>
    <row r="203" spans="15:20" ht="18" hidden="1" customHeight="1" x14ac:dyDescent="0.35">
      <c r="O203" s="48" t="s">
        <v>523</v>
      </c>
      <c r="P203" s="48" t="s">
        <v>524</v>
      </c>
      <c r="Q203" s="48" t="s">
        <v>525</v>
      </c>
      <c r="R203" s="48" t="s">
        <v>39</v>
      </c>
      <c r="S203" s="48">
        <v>37</v>
      </c>
      <c r="T203" s="48" t="s">
        <v>40</v>
      </c>
    </row>
    <row r="204" spans="15:20" ht="18" hidden="1" customHeight="1" x14ac:dyDescent="0.35">
      <c r="O204" s="48" t="s">
        <v>526</v>
      </c>
      <c r="P204" s="48" t="s">
        <v>527</v>
      </c>
      <c r="Q204" s="48" t="s">
        <v>528</v>
      </c>
      <c r="R204" s="48" t="s">
        <v>62</v>
      </c>
      <c r="S204" s="48">
        <v>26</v>
      </c>
      <c r="T204" s="48" t="s">
        <v>40</v>
      </c>
    </row>
    <row r="205" spans="15:20" ht="18" hidden="1" customHeight="1" x14ac:dyDescent="0.35">
      <c r="O205" s="48" t="s">
        <v>529</v>
      </c>
      <c r="P205" s="48" t="s">
        <v>529</v>
      </c>
      <c r="Q205" s="48" t="s">
        <v>530</v>
      </c>
      <c r="R205" s="48" t="s">
        <v>62</v>
      </c>
      <c r="S205" s="48">
        <v>26</v>
      </c>
      <c r="T205" s="48" t="s">
        <v>40</v>
      </c>
    </row>
    <row r="206" spans="15:20" ht="18" hidden="1" customHeight="1" x14ac:dyDescent="0.35">
      <c r="O206" s="48" t="s">
        <v>531</v>
      </c>
      <c r="P206" s="48" t="s">
        <v>532</v>
      </c>
      <c r="Q206" s="48" t="s">
        <v>533</v>
      </c>
      <c r="R206" s="48" t="s">
        <v>39</v>
      </c>
      <c r="S206" s="48">
        <v>52</v>
      </c>
      <c r="T206" s="48" t="s">
        <v>40</v>
      </c>
    </row>
    <row r="207" spans="15:20" ht="18" hidden="1" customHeight="1" x14ac:dyDescent="0.35">
      <c r="O207" s="48" t="s">
        <v>534</v>
      </c>
      <c r="P207" s="48" t="s">
        <v>535</v>
      </c>
      <c r="Q207" s="48" t="s">
        <v>536</v>
      </c>
      <c r="R207" s="48" t="s">
        <v>44</v>
      </c>
      <c r="S207" s="48">
        <v>76</v>
      </c>
      <c r="T207" s="48" t="s">
        <v>44</v>
      </c>
    </row>
    <row r="208" spans="15:20" ht="18" hidden="1" customHeight="1" x14ac:dyDescent="0.35">
      <c r="O208" s="48" t="s">
        <v>537</v>
      </c>
      <c r="P208" s="48" t="s">
        <v>538</v>
      </c>
      <c r="Q208" s="48" t="s">
        <v>539</v>
      </c>
      <c r="R208" s="48" t="s">
        <v>39</v>
      </c>
      <c r="S208" s="48">
        <v>48</v>
      </c>
      <c r="T208" s="48" t="s">
        <v>40</v>
      </c>
    </row>
    <row r="209" spans="15:20" ht="18" hidden="1" customHeight="1" x14ac:dyDescent="0.35">
      <c r="O209" s="48" t="s">
        <v>540</v>
      </c>
      <c r="P209" s="48" t="s">
        <v>541</v>
      </c>
      <c r="Q209" s="48" t="s">
        <v>542</v>
      </c>
      <c r="R209" s="48" t="s">
        <v>44</v>
      </c>
      <c r="S209" s="48">
        <v>80</v>
      </c>
      <c r="T209" s="48" t="s">
        <v>44</v>
      </c>
    </row>
    <row r="210" spans="15:20" ht="18" hidden="1" customHeight="1" x14ac:dyDescent="0.35">
      <c r="O210" s="48" t="s">
        <v>543</v>
      </c>
      <c r="P210" s="48" t="s">
        <v>544</v>
      </c>
      <c r="Q210" s="48" t="s">
        <v>545</v>
      </c>
      <c r="R210" s="48" t="s">
        <v>39</v>
      </c>
      <c r="S210" s="48">
        <v>52</v>
      </c>
      <c r="T210" s="48" t="s">
        <v>40</v>
      </c>
    </row>
    <row r="211" spans="15:20" ht="18" hidden="1" customHeight="1" x14ac:dyDescent="0.35">
      <c r="O211" s="48" t="s">
        <v>546</v>
      </c>
      <c r="P211" s="48" t="s">
        <v>547</v>
      </c>
      <c r="Q211" s="48" t="s">
        <v>548</v>
      </c>
      <c r="R211" s="48" t="s">
        <v>44</v>
      </c>
      <c r="S211" s="48">
        <v>80</v>
      </c>
      <c r="T211" s="48" t="s">
        <v>44</v>
      </c>
    </row>
    <row r="212" spans="15:20" ht="18" hidden="1" customHeight="1" x14ac:dyDescent="0.35">
      <c r="O212" s="48" t="s">
        <v>549</v>
      </c>
      <c r="P212" s="48" t="s">
        <v>550</v>
      </c>
      <c r="Q212" s="48" t="s">
        <v>551</v>
      </c>
      <c r="R212" s="48" t="s">
        <v>39</v>
      </c>
      <c r="S212" s="48">
        <v>49</v>
      </c>
      <c r="T212" s="48" t="s">
        <v>40</v>
      </c>
    </row>
    <row r="213" spans="15:20" ht="18" hidden="1" customHeight="1" x14ac:dyDescent="0.35">
      <c r="O213" s="48" t="s">
        <v>552</v>
      </c>
      <c r="P213" s="48" t="s">
        <v>553</v>
      </c>
      <c r="Q213" s="48" t="s">
        <v>554</v>
      </c>
      <c r="R213" s="48" t="s">
        <v>39</v>
      </c>
      <c r="S213" s="48">
        <v>60</v>
      </c>
      <c r="T213" s="48" t="s">
        <v>44</v>
      </c>
    </row>
    <row r="214" spans="15:20" ht="18" hidden="1" customHeight="1" x14ac:dyDescent="0.35">
      <c r="O214" s="48" t="s">
        <v>555</v>
      </c>
      <c r="P214" s="48" t="s">
        <v>556</v>
      </c>
      <c r="Q214" s="48" t="s">
        <v>557</v>
      </c>
      <c r="R214" s="48" t="s">
        <v>62</v>
      </c>
      <c r="S214" s="48">
        <v>28</v>
      </c>
      <c r="T214" s="48" t="s">
        <v>40</v>
      </c>
    </row>
    <row r="215" spans="15:20" ht="18" hidden="1" customHeight="1" x14ac:dyDescent="0.35">
      <c r="O215" s="48" t="s">
        <v>558</v>
      </c>
      <c r="P215" s="48" t="s">
        <v>559</v>
      </c>
      <c r="Q215" s="48" t="s">
        <v>560</v>
      </c>
      <c r="R215" s="48" t="s">
        <v>39</v>
      </c>
      <c r="S215" s="48">
        <v>60</v>
      </c>
      <c r="T215" s="48" t="s">
        <v>40</v>
      </c>
    </row>
    <row r="216" spans="15:20" ht="18" hidden="1" customHeight="1" x14ac:dyDescent="0.35">
      <c r="O216" s="48" t="s">
        <v>561</v>
      </c>
      <c r="P216" s="48" t="s">
        <v>562</v>
      </c>
      <c r="Q216" s="48" t="s">
        <v>563</v>
      </c>
      <c r="R216" s="48" t="s">
        <v>62</v>
      </c>
      <c r="S216" s="48">
        <v>30</v>
      </c>
      <c r="T216" s="48" t="s">
        <v>40</v>
      </c>
    </row>
    <row r="217" spans="15:20" ht="18" hidden="1" customHeight="1" x14ac:dyDescent="0.35">
      <c r="O217" s="48" t="s">
        <v>564</v>
      </c>
      <c r="P217" s="48" t="s">
        <v>565</v>
      </c>
      <c r="Q217" s="48" t="s">
        <v>566</v>
      </c>
      <c r="R217" s="48" t="s">
        <v>39</v>
      </c>
      <c r="S217" s="48">
        <v>48</v>
      </c>
      <c r="T217" s="48" t="s">
        <v>40</v>
      </c>
    </row>
    <row r="218" spans="15:20" ht="18" hidden="1" customHeight="1" x14ac:dyDescent="0.35">
      <c r="O218" s="48" t="s">
        <v>567</v>
      </c>
      <c r="P218" s="48" t="s">
        <v>568</v>
      </c>
      <c r="Q218" s="48" t="s">
        <v>569</v>
      </c>
      <c r="R218" s="48" t="s">
        <v>39</v>
      </c>
      <c r="S218" s="48">
        <v>45</v>
      </c>
      <c r="T218" s="48" t="s">
        <v>40</v>
      </c>
    </row>
    <row r="219" spans="15:20" ht="18" hidden="1" customHeight="1" x14ac:dyDescent="0.35">
      <c r="O219" s="48" t="s">
        <v>570</v>
      </c>
      <c r="P219" s="48" t="s">
        <v>571</v>
      </c>
      <c r="Q219" s="48" t="s">
        <v>572</v>
      </c>
      <c r="R219" s="48" t="s">
        <v>39</v>
      </c>
      <c r="S219" s="48">
        <v>38</v>
      </c>
      <c r="T219" s="48" t="s">
        <v>40</v>
      </c>
    </row>
    <row r="220" spans="15:20" ht="18" hidden="1" customHeight="1" x14ac:dyDescent="0.35">
      <c r="O220" s="48" t="s">
        <v>573</v>
      </c>
      <c r="P220" s="48" t="s">
        <v>574</v>
      </c>
      <c r="Q220" s="48" t="s">
        <v>575</v>
      </c>
      <c r="R220" s="48" t="s">
        <v>39</v>
      </c>
      <c r="S220" s="48">
        <v>37</v>
      </c>
      <c r="T220" s="48" t="s">
        <v>40</v>
      </c>
    </row>
    <row r="221" spans="15:20" ht="18" hidden="1" customHeight="1" x14ac:dyDescent="0.35">
      <c r="O221" s="48" t="s">
        <v>576</v>
      </c>
      <c r="P221" s="48" t="s">
        <v>577</v>
      </c>
      <c r="Q221" s="48" t="s">
        <v>578</v>
      </c>
      <c r="R221" s="48" t="s">
        <v>44</v>
      </c>
      <c r="S221" s="48">
        <v>80</v>
      </c>
      <c r="T221" s="48" t="s">
        <v>36</v>
      </c>
    </row>
    <row r="222" spans="15:20" ht="18" hidden="1" customHeight="1" x14ac:dyDescent="0.35">
      <c r="O222" s="48" t="s">
        <v>579</v>
      </c>
      <c r="P222" s="48" t="s">
        <v>580</v>
      </c>
      <c r="Q222" s="48" t="s">
        <v>581</v>
      </c>
      <c r="R222" s="48" t="s">
        <v>39</v>
      </c>
      <c r="S222" s="48">
        <v>42</v>
      </c>
      <c r="T222" s="48" t="s">
        <v>40</v>
      </c>
    </row>
    <row r="223" spans="15:20" ht="18" hidden="1" customHeight="1" x14ac:dyDescent="0.35">
      <c r="O223" s="48" t="s">
        <v>582</v>
      </c>
      <c r="P223" s="48" t="s">
        <v>583</v>
      </c>
      <c r="Q223" s="48" t="s">
        <v>584</v>
      </c>
      <c r="R223" s="48" t="s">
        <v>39</v>
      </c>
      <c r="S223" s="48">
        <v>47</v>
      </c>
      <c r="T223" s="48" t="s">
        <v>40</v>
      </c>
    </row>
    <row r="224" spans="15:20" ht="18" hidden="1" customHeight="1" x14ac:dyDescent="0.35">
      <c r="O224" s="48" t="s">
        <v>585</v>
      </c>
      <c r="P224" s="48" t="s">
        <v>586</v>
      </c>
      <c r="Q224" s="48"/>
      <c r="R224" s="48" t="s">
        <v>39</v>
      </c>
      <c r="S224" s="48">
        <v>38</v>
      </c>
      <c r="T224" s="48" t="s">
        <v>40</v>
      </c>
    </row>
    <row r="225" spans="15:20" ht="18" hidden="1" customHeight="1" x14ac:dyDescent="0.35">
      <c r="O225" s="48" t="s">
        <v>587</v>
      </c>
      <c r="P225" s="48" t="s">
        <v>588</v>
      </c>
      <c r="Q225" s="48" t="s">
        <v>589</v>
      </c>
      <c r="R225" s="48" t="s">
        <v>39</v>
      </c>
      <c r="S225" s="48">
        <v>46</v>
      </c>
      <c r="T225" s="48" t="s">
        <v>40</v>
      </c>
    </row>
    <row r="226" spans="15:20" ht="18" hidden="1" customHeight="1" x14ac:dyDescent="0.35">
      <c r="O226" s="48" t="s">
        <v>590</v>
      </c>
      <c r="P226" s="48" t="s">
        <v>591</v>
      </c>
      <c r="Q226" s="48" t="s">
        <v>592</v>
      </c>
      <c r="R226" s="48" t="s">
        <v>39</v>
      </c>
      <c r="S226" s="48">
        <v>44</v>
      </c>
      <c r="T226" s="48" t="s">
        <v>40</v>
      </c>
    </row>
    <row r="227" spans="15:20" ht="18" hidden="1" customHeight="1" x14ac:dyDescent="0.35">
      <c r="O227" s="48" t="s">
        <v>593</v>
      </c>
      <c r="P227" s="48" t="s">
        <v>594</v>
      </c>
      <c r="Q227" s="48" t="s">
        <v>595</v>
      </c>
      <c r="R227" s="48" t="s">
        <v>39</v>
      </c>
      <c r="S227" s="48">
        <v>44</v>
      </c>
      <c r="T227" s="48" t="s">
        <v>40</v>
      </c>
    </row>
    <row r="228" spans="15:20" ht="18" hidden="1" customHeight="1" x14ac:dyDescent="0.35">
      <c r="O228" s="48" t="s">
        <v>596</v>
      </c>
      <c r="P228" s="48" t="s">
        <v>597</v>
      </c>
      <c r="Q228" s="48" t="s">
        <v>598</v>
      </c>
      <c r="R228" s="48" t="s">
        <v>39</v>
      </c>
      <c r="S228" s="48">
        <v>47</v>
      </c>
      <c r="T228" s="48" t="s">
        <v>40</v>
      </c>
    </row>
    <row r="229" spans="15:20" ht="18" hidden="1" customHeight="1" x14ac:dyDescent="0.35">
      <c r="O229" s="48" t="s">
        <v>599</v>
      </c>
      <c r="P229" s="48" t="s">
        <v>600</v>
      </c>
      <c r="Q229" s="48" t="s">
        <v>601</v>
      </c>
      <c r="R229" s="48" t="s">
        <v>39</v>
      </c>
      <c r="S229" s="48">
        <v>54</v>
      </c>
      <c r="T229" s="48" t="s">
        <v>40</v>
      </c>
    </row>
    <row r="230" spans="15:20" ht="18" hidden="1" customHeight="1" x14ac:dyDescent="0.35">
      <c r="O230" s="48" t="s">
        <v>602</v>
      </c>
      <c r="P230" s="48" t="s">
        <v>603</v>
      </c>
      <c r="Q230" s="48" t="s">
        <v>604</v>
      </c>
      <c r="R230" s="48" t="s">
        <v>39</v>
      </c>
      <c r="S230" s="48">
        <v>52</v>
      </c>
      <c r="T230" s="48" t="s">
        <v>40</v>
      </c>
    </row>
    <row r="231" spans="15:20" ht="18" hidden="1" customHeight="1" x14ac:dyDescent="0.35">
      <c r="O231" s="48" t="s">
        <v>605</v>
      </c>
      <c r="P231" s="48" t="s">
        <v>606</v>
      </c>
      <c r="Q231" s="48" t="s">
        <v>607</v>
      </c>
      <c r="R231" s="48" t="s">
        <v>36</v>
      </c>
      <c r="S231" s="48">
        <v>100</v>
      </c>
      <c r="T231" s="48" t="s">
        <v>36</v>
      </c>
    </row>
    <row r="232" spans="15:20" ht="18" hidden="1" customHeight="1" x14ac:dyDescent="0.35">
      <c r="O232" s="48" t="s">
        <v>608</v>
      </c>
      <c r="P232" s="48" t="s">
        <v>609</v>
      </c>
      <c r="Q232" s="48" t="s">
        <v>610</v>
      </c>
      <c r="R232" s="48" t="s">
        <v>39</v>
      </c>
      <c r="S232" s="48">
        <v>52</v>
      </c>
      <c r="T232" s="48" t="s">
        <v>40</v>
      </c>
    </row>
    <row r="233" spans="15:20" ht="18" hidden="1" customHeight="1" x14ac:dyDescent="0.35">
      <c r="O233" s="48" t="s">
        <v>611</v>
      </c>
      <c r="P233" s="48" t="s">
        <v>612</v>
      </c>
      <c r="Q233" s="48" t="s">
        <v>613</v>
      </c>
      <c r="R233" s="48" t="s">
        <v>44</v>
      </c>
      <c r="S233" s="48">
        <v>64</v>
      </c>
      <c r="T233" s="48" t="s">
        <v>44</v>
      </c>
    </row>
    <row r="234" spans="15:20" ht="18" hidden="1" customHeight="1" x14ac:dyDescent="0.35">
      <c r="O234" s="48" t="s">
        <v>614</v>
      </c>
      <c r="P234" s="48" t="s">
        <v>615</v>
      </c>
      <c r="Q234" s="48" t="s">
        <v>616</v>
      </c>
      <c r="R234" s="48" t="s">
        <v>62</v>
      </c>
      <c r="S234" s="48">
        <v>26</v>
      </c>
      <c r="T234" s="48" t="s">
        <v>40</v>
      </c>
    </row>
    <row r="235" spans="15:20" ht="18" hidden="1" customHeight="1" x14ac:dyDescent="0.35">
      <c r="O235" s="48" t="s">
        <v>617</v>
      </c>
      <c r="P235" s="48" t="s">
        <v>618</v>
      </c>
      <c r="Q235" s="48" t="s">
        <v>619</v>
      </c>
      <c r="R235" s="48" t="s">
        <v>39</v>
      </c>
      <c r="S235" s="48">
        <v>45</v>
      </c>
      <c r="T235" s="48" t="s">
        <v>40</v>
      </c>
    </row>
    <row r="236" spans="15:20" ht="18" hidden="1" customHeight="1" x14ac:dyDescent="0.35">
      <c r="O236" s="48" t="s">
        <v>620</v>
      </c>
      <c r="P236" s="48" t="s">
        <v>621</v>
      </c>
      <c r="Q236" s="48" t="s">
        <v>622</v>
      </c>
      <c r="R236" s="48" t="s">
        <v>39</v>
      </c>
      <c r="S236" s="48">
        <v>39</v>
      </c>
      <c r="T236" s="48" t="s">
        <v>40</v>
      </c>
    </row>
    <row r="237" spans="15:20" ht="18" hidden="1" customHeight="1" x14ac:dyDescent="0.35">
      <c r="O237" s="48" t="s">
        <v>623</v>
      </c>
      <c r="P237" s="48" t="s">
        <v>624</v>
      </c>
      <c r="Q237" s="48" t="s">
        <v>625</v>
      </c>
      <c r="R237" s="48" t="s">
        <v>39</v>
      </c>
      <c r="S237" s="48">
        <v>43</v>
      </c>
      <c r="T237" s="48" t="s">
        <v>40</v>
      </c>
    </row>
    <row r="238" spans="15:20" ht="18" hidden="1" customHeight="1" x14ac:dyDescent="0.35">
      <c r="O238" s="48" t="s">
        <v>626</v>
      </c>
      <c r="P238" s="48" t="s">
        <v>627</v>
      </c>
      <c r="Q238" s="48" t="s">
        <v>628</v>
      </c>
      <c r="R238" s="48" t="s">
        <v>44</v>
      </c>
      <c r="S238" s="48">
        <v>80</v>
      </c>
      <c r="T238" s="48" t="s">
        <v>44</v>
      </c>
    </row>
    <row r="239" spans="15:20" ht="18" hidden="1" customHeight="1" x14ac:dyDescent="0.35">
      <c r="O239" s="48" t="s">
        <v>629</v>
      </c>
      <c r="P239" s="48" t="s">
        <v>630</v>
      </c>
      <c r="Q239" s="48" t="s">
        <v>631</v>
      </c>
      <c r="R239" s="48" t="s">
        <v>36</v>
      </c>
      <c r="S239" s="48">
        <v>100</v>
      </c>
      <c r="T239" s="48" t="s">
        <v>36</v>
      </c>
    </row>
    <row r="240" spans="15:20" ht="18" hidden="1" customHeight="1" x14ac:dyDescent="0.35">
      <c r="O240" s="48" t="s">
        <v>632</v>
      </c>
      <c r="P240" s="48" t="s">
        <v>633</v>
      </c>
      <c r="Q240" s="48" t="s">
        <v>634</v>
      </c>
      <c r="R240" s="48" t="s">
        <v>44</v>
      </c>
      <c r="S240" s="48">
        <v>63</v>
      </c>
      <c r="T240" s="48" t="s">
        <v>44</v>
      </c>
    </row>
    <row r="241" spans="15:20" ht="18" hidden="1" customHeight="1" x14ac:dyDescent="0.35">
      <c r="O241" s="48" t="s">
        <v>635</v>
      </c>
      <c r="P241" s="48" t="s">
        <v>636</v>
      </c>
      <c r="Q241" s="48" t="s">
        <v>637</v>
      </c>
      <c r="R241" s="48" t="s">
        <v>36</v>
      </c>
      <c r="S241" s="48">
        <v>100</v>
      </c>
      <c r="T241" s="48" t="s">
        <v>36</v>
      </c>
    </row>
    <row r="242" spans="15:20" ht="18" hidden="1" customHeight="1" x14ac:dyDescent="0.35">
      <c r="O242" s="48" t="s">
        <v>638</v>
      </c>
      <c r="P242" s="48" t="s">
        <v>639</v>
      </c>
      <c r="Q242" s="48" t="s">
        <v>640</v>
      </c>
      <c r="R242" s="48" t="s">
        <v>39</v>
      </c>
      <c r="S242" s="48">
        <v>60</v>
      </c>
      <c r="T242" s="48" t="s">
        <v>40</v>
      </c>
    </row>
    <row r="243" spans="15:20" ht="18" hidden="1" customHeight="1" x14ac:dyDescent="0.35">
      <c r="O243" s="48" t="s">
        <v>641</v>
      </c>
      <c r="P243" s="48" t="s">
        <v>642</v>
      </c>
      <c r="Q243" s="48" t="s">
        <v>643</v>
      </c>
      <c r="R243" s="48" t="s">
        <v>44</v>
      </c>
      <c r="S243" s="48">
        <v>80</v>
      </c>
      <c r="T243" s="48" t="s">
        <v>44</v>
      </c>
    </row>
    <row r="244" spans="15:20" ht="18" hidden="1" customHeight="1" x14ac:dyDescent="0.35">
      <c r="O244" s="48" t="s">
        <v>644</v>
      </c>
      <c r="P244" s="48" t="s">
        <v>645</v>
      </c>
      <c r="Q244" s="48" t="s">
        <v>646</v>
      </c>
      <c r="R244" s="48" t="s">
        <v>62</v>
      </c>
      <c r="S244" s="48">
        <v>30</v>
      </c>
      <c r="T244" s="48" t="s">
        <v>40</v>
      </c>
    </row>
    <row r="245" spans="15:20" ht="18" hidden="1" customHeight="1" x14ac:dyDescent="0.35">
      <c r="O245" s="48" t="s">
        <v>647</v>
      </c>
      <c r="P245" s="48" t="s">
        <v>648</v>
      </c>
      <c r="Q245" s="48" t="s">
        <v>649</v>
      </c>
      <c r="R245" s="48" t="s">
        <v>39</v>
      </c>
      <c r="S245" s="48">
        <v>44</v>
      </c>
      <c r="T245" s="48" t="s">
        <v>40</v>
      </c>
    </row>
    <row r="246" spans="15:20" ht="18" hidden="1" customHeight="1" x14ac:dyDescent="0.35">
      <c r="O246" s="48" t="s">
        <v>650</v>
      </c>
      <c r="P246" s="48" t="s">
        <v>651</v>
      </c>
      <c r="Q246" s="48" t="s">
        <v>652</v>
      </c>
      <c r="R246" s="48" t="s">
        <v>39</v>
      </c>
      <c r="S246" s="48">
        <v>44</v>
      </c>
      <c r="T246" s="48" t="s">
        <v>40</v>
      </c>
    </row>
    <row r="247" spans="15:20" ht="18" hidden="1" customHeight="1" x14ac:dyDescent="0.35">
      <c r="O247" s="48" t="s">
        <v>653</v>
      </c>
      <c r="P247" s="48" t="s">
        <v>654</v>
      </c>
      <c r="Q247" s="48" t="s">
        <v>655</v>
      </c>
      <c r="R247" s="48" t="s">
        <v>39</v>
      </c>
      <c r="S247" s="48">
        <v>42</v>
      </c>
      <c r="T247" s="48" t="s">
        <v>40</v>
      </c>
    </row>
    <row r="248" spans="15:20" ht="18" hidden="1" customHeight="1" x14ac:dyDescent="0.35">
      <c r="O248" s="48" t="s">
        <v>656</v>
      </c>
      <c r="P248" s="48" t="s">
        <v>657</v>
      </c>
      <c r="Q248" s="48" t="s">
        <v>658</v>
      </c>
      <c r="R248" s="48" t="s">
        <v>39</v>
      </c>
      <c r="S248" s="48">
        <v>45</v>
      </c>
      <c r="T248" s="48" t="s">
        <v>40</v>
      </c>
    </row>
    <row r="249" spans="15:20" ht="18" hidden="1" customHeight="1" x14ac:dyDescent="0.35">
      <c r="O249" s="48" t="s">
        <v>659</v>
      </c>
      <c r="P249" s="48" t="s">
        <v>660</v>
      </c>
      <c r="Q249" s="48" t="s">
        <v>661</v>
      </c>
      <c r="R249" s="48" t="s">
        <v>44</v>
      </c>
      <c r="S249" s="48">
        <v>74</v>
      </c>
      <c r="T249" s="48" t="s">
        <v>44</v>
      </c>
    </row>
    <row r="250" spans="15:20" ht="18" hidden="1" customHeight="1" x14ac:dyDescent="0.35">
      <c r="O250" s="48" t="s">
        <v>662</v>
      </c>
      <c r="P250" s="48" t="s">
        <v>663</v>
      </c>
      <c r="Q250" s="48" t="s">
        <v>664</v>
      </c>
      <c r="R250" s="48" t="s">
        <v>36</v>
      </c>
      <c r="S250" s="48">
        <v>100</v>
      </c>
      <c r="T250" s="48" t="s">
        <v>36</v>
      </c>
    </row>
    <row r="251" spans="15:20" ht="18" hidden="1" customHeight="1" x14ac:dyDescent="0.35">
      <c r="O251" s="48" t="s">
        <v>665</v>
      </c>
      <c r="P251" s="48" t="s">
        <v>666</v>
      </c>
      <c r="Q251" s="48" t="s">
        <v>667</v>
      </c>
      <c r="R251" s="48" t="s">
        <v>39</v>
      </c>
      <c r="S251" s="48">
        <v>53</v>
      </c>
      <c r="T251" s="48" t="s">
        <v>40</v>
      </c>
    </row>
    <row r="252" spans="15:20" ht="18" hidden="1" customHeight="1" x14ac:dyDescent="0.35">
      <c r="O252" s="48" t="s">
        <v>668</v>
      </c>
      <c r="P252" s="48" t="s">
        <v>669</v>
      </c>
      <c r="Q252" s="48" t="s">
        <v>670</v>
      </c>
      <c r="R252" s="48" t="s">
        <v>39</v>
      </c>
      <c r="S252" s="48">
        <v>41</v>
      </c>
      <c r="T252" s="48" t="s">
        <v>40</v>
      </c>
    </row>
    <row r="253" spans="15:20" ht="18" hidden="1" customHeight="1" x14ac:dyDescent="0.35">
      <c r="O253" s="48" t="s">
        <v>671</v>
      </c>
      <c r="P253" s="48" t="s">
        <v>672</v>
      </c>
      <c r="Q253" s="48" t="s">
        <v>673</v>
      </c>
      <c r="R253" s="48" t="s">
        <v>39</v>
      </c>
      <c r="S253" s="48">
        <v>47</v>
      </c>
      <c r="T253" s="48" t="s">
        <v>40</v>
      </c>
    </row>
    <row r="254" spans="15:20" ht="18" hidden="1" customHeight="1" x14ac:dyDescent="0.35">
      <c r="O254" s="48" t="s">
        <v>674</v>
      </c>
      <c r="P254" s="48" t="s">
        <v>675</v>
      </c>
      <c r="Q254" s="48" t="s">
        <v>676</v>
      </c>
      <c r="R254" s="48" t="s">
        <v>62</v>
      </c>
      <c r="S254" s="48">
        <v>29</v>
      </c>
      <c r="T254" s="48" t="s">
        <v>40</v>
      </c>
    </row>
    <row r="255" spans="15:20" ht="18" hidden="1" customHeight="1" x14ac:dyDescent="0.35">
      <c r="O255" s="48" t="s">
        <v>677</v>
      </c>
      <c r="P255" s="48" t="s">
        <v>678</v>
      </c>
      <c r="Q255" s="48" t="s">
        <v>679</v>
      </c>
      <c r="R255" s="48" t="s">
        <v>62</v>
      </c>
      <c r="S255" s="48">
        <v>30</v>
      </c>
      <c r="T255" s="48" t="s">
        <v>40</v>
      </c>
    </row>
    <row r="256" spans="15:20" ht="18" hidden="1" customHeight="1" x14ac:dyDescent="0.35">
      <c r="O256" s="48" t="s">
        <v>680</v>
      </c>
      <c r="P256" s="48" t="s">
        <v>681</v>
      </c>
      <c r="Q256" s="48" t="s">
        <v>682</v>
      </c>
      <c r="R256" s="48" t="s">
        <v>36</v>
      </c>
      <c r="S256" s="48">
        <v>100</v>
      </c>
      <c r="T256" s="48" t="s">
        <v>36</v>
      </c>
    </row>
    <row r="257" spans="15:20" ht="18" hidden="1" customHeight="1" x14ac:dyDescent="0.35">
      <c r="O257" s="48" t="s">
        <v>683</v>
      </c>
      <c r="P257" s="48" t="s">
        <v>684</v>
      </c>
      <c r="Q257" s="48" t="s">
        <v>685</v>
      </c>
      <c r="R257" s="48" t="s">
        <v>39</v>
      </c>
      <c r="S257" s="48">
        <v>46</v>
      </c>
      <c r="T257" s="48" t="s">
        <v>40</v>
      </c>
    </row>
    <row r="258" spans="15:20" ht="18" hidden="1" customHeight="1" x14ac:dyDescent="0.35">
      <c r="O258" s="48" t="s">
        <v>686</v>
      </c>
      <c r="P258" s="48" t="s">
        <v>687</v>
      </c>
      <c r="Q258" s="48" t="s">
        <v>688</v>
      </c>
      <c r="R258" s="48" t="s">
        <v>44</v>
      </c>
      <c r="S258" s="48">
        <v>65</v>
      </c>
      <c r="T258" s="48" t="s">
        <v>44</v>
      </c>
    </row>
    <row r="259" spans="15:20" ht="18" hidden="1" customHeight="1" x14ac:dyDescent="0.35">
      <c r="O259" s="48" t="s">
        <v>689</v>
      </c>
      <c r="P259" s="48" t="s">
        <v>690</v>
      </c>
      <c r="Q259" s="48" t="s">
        <v>691</v>
      </c>
      <c r="R259" s="48" t="s">
        <v>39</v>
      </c>
      <c r="S259" s="48">
        <v>54</v>
      </c>
      <c r="T259" s="48" t="s">
        <v>44</v>
      </c>
    </row>
    <row r="260" spans="15:20" ht="18" hidden="1" customHeight="1" x14ac:dyDescent="0.35">
      <c r="O260" s="48" t="s">
        <v>692</v>
      </c>
      <c r="P260" s="48" t="s">
        <v>693</v>
      </c>
      <c r="Q260" s="48" t="s">
        <v>694</v>
      </c>
      <c r="R260" s="48" t="s">
        <v>39</v>
      </c>
      <c r="S260" s="48">
        <v>49</v>
      </c>
      <c r="T260" s="48" t="s">
        <v>40</v>
      </c>
    </row>
    <row r="261" spans="15:20" ht="18" hidden="1" customHeight="1" x14ac:dyDescent="0.35">
      <c r="O261" s="48" t="s">
        <v>695</v>
      </c>
      <c r="P261" s="48" t="s">
        <v>696</v>
      </c>
      <c r="Q261" s="48" t="s">
        <v>697</v>
      </c>
      <c r="R261" s="48" t="s">
        <v>44</v>
      </c>
      <c r="S261" s="48">
        <v>67</v>
      </c>
      <c r="T261" s="48" t="s">
        <v>44</v>
      </c>
    </row>
    <row r="262" spans="15:20" ht="18" hidden="1" customHeight="1" x14ac:dyDescent="0.35">
      <c r="O262" s="48" t="s">
        <v>698</v>
      </c>
      <c r="P262" s="48" t="s">
        <v>699</v>
      </c>
      <c r="Q262" s="48" t="s">
        <v>700</v>
      </c>
      <c r="R262" s="48" t="s">
        <v>39</v>
      </c>
      <c r="S262" s="48">
        <v>48</v>
      </c>
      <c r="T262" s="48" t="s">
        <v>40</v>
      </c>
    </row>
    <row r="263" spans="15:20" ht="18" hidden="1" customHeight="1" x14ac:dyDescent="0.35">
      <c r="O263" s="48" t="s">
        <v>701</v>
      </c>
      <c r="P263" s="48" t="s">
        <v>702</v>
      </c>
      <c r="Q263" s="48" t="s">
        <v>703</v>
      </c>
      <c r="R263" s="48" t="s">
        <v>62</v>
      </c>
      <c r="S263" s="48">
        <v>30</v>
      </c>
      <c r="T263" s="48" t="s">
        <v>36</v>
      </c>
    </row>
    <row r="264" spans="15:20" ht="18" hidden="1" customHeight="1" x14ac:dyDescent="0.35">
      <c r="O264" s="48" t="s">
        <v>704</v>
      </c>
      <c r="P264" s="48" t="s">
        <v>705</v>
      </c>
      <c r="Q264" s="48" t="s">
        <v>706</v>
      </c>
      <c r="R264" s="48" t="s">
        <v>39</v>
      </c>
      <c r="S264" s="48">
        <v>46</v>
      </c>
      <c r="T264" s="48" t="s">
        <v>40</v>
      </c>
    </row>
    <row r="265" spans="15:20" ht="18" hidden="1" customHeight="1" x14ac:dyDescent="0.35">
      <c r="O265" s="48" t="s">
        <v>707</v>
      </c>
      <c r="P265" s="48" t="s">
        <v>708</v>
      </c>
      <c r="Q265" s="48" t="s">
        <v>709</v>
      </c>
      <c r="R265" s="48" t="s">
        <v>44</v>
      </c>
      <c r="S265" s="48">
        <v>61</v>
      </c>
      <c r="T265" s="48" t="s">
        <v>44</v>
      </c>
    </row>
    <row r="266" spans="15:20" ht="18" hidden="1" customHeight="1" x14ac:dyDescent="0.35">
      <c r="O266" s="48" t="s">
        <v>710</v>
      </c>
      <c r="P266" s="48" t="s">
        <v>711</v>
      </c>
      <c r="Q266" s="48" t="s">
        <v>712</v>
      </c>
      <c r="R266" s="48" t="s">
        <v>44</v>
      </c>
      <c r="S266" s="48">
        <v>80</v>
      </c>
      <c r="T266" s="48" t="s">
        <v>44</v>
      </c>
    </row>
    <row r="267" spans="15:20" ht="18" hidden="1" customHeight="1" x14ac:dyDescent="0.35">
      <c r="O267" s="48" t="s">
        <v>713</v>
      </c>
      <c r="P267" s="48" t="s">
        <v>714</v>
      </c>
      <c r="Q267" s="48" t="s">
        <v>715</v>
      </c>
      <c r="R267" s="48" t="s">
        <v>44</v>
      </c>
      <c r="S267" s="48">
        <v>61</v>
      </c>
      <c r="T267" s="48" t="s">
        <v>44</v>
      </c>
    </row>
    <row r="268" spans="15:20" ht="18" hidden="1" customHeight="1" x14ac:dyDescent="0.35">
      <c r="O268" s="48" t="s">
        <v>716</v>
      </c>
      <c r="P268" s="48" t="s">
        <v>717</v>
      </c>
      <c r="Q268" s="48" t="s">
        <v>718</v>
      </c>
      <c r="R268" s="48" t="s">
        <v>44</v>
      </c>
      <c r="S268" s="48">
        <v>65</v>
      </c>
      <c r="T268" s="48" t="s">
        <v>44</v>
      </c>
    </row>
    <row r="269" spans="15:20" ht="18" hidden="1" customHeight="1" x14ac:dyDescent="0.35">
      <c r="O269" s="48" t="s">
        <v>719</v>
      </c>
      <c r="P269" s="48" t="s">
        <v>720</v>
      </c>
      <c r="Q269" s="48" t="s">
        <v>721</v>
      </c>
      <c r="R269" s="48" t="s">
        <v>39</v>
      </c>
      <c r="S269" s="48">
        <v>43</v>
      </c>
      <c r="T269" s="48" t="s">
        <v>40</v>
      </c>
    </row>
    <row r="270" spans="15:20" ht="18" hidden="1" customHeight="1" x14ac:dyDescent="0.35">
      <c r="O270" s="48" t="s">
        <v>722</v>
      </c>
      <c r="P270" s="48" t="s">
        <v>723</v>
      </c>
      <c r="Q270" s="48" t="s">
        <v>724</v>
      </c>
      <c r="R270" s="48" t="s">
        <v>39</v>
      </c>
      <c r="S270" s="48">
        <v>38</v>
      </c>
      <c r="T270" s="48" t="s">
        <v>40</v>
      </c>
    </row>
    <row r="271" spans="15:20" ht="18" hidden="1" customHeight="1" x14ac:dyDescent="0.35">
      <c r="O271" s="48" t="s">
        <v>725</v>
      </c>
      <c r="P271" s="48" t="s">
        <v>726</v>
      </c>
      <c r="Q271" s="48" t="s">
        <v>727</v>
      </c>
      <c r="R271" s="48" t="s">
        <v>39</v>
      </c>
      <c r="S271" s="48">
        <v>60</v>
      </c>
      <c r="T271" s="48" t="s">
        <v>44</v>
      </c>
    </row>
    <row r="272" spans="15:20" ht="18" hidden="1" customHeight="1" x14ac:dyDescent="0.35">
      <c r="O272" s="48" t="s">
        <v>728</v>
      </c>
      <c r="P272" s="48" t="s">
        <v>729</v>
      </c>
      <c r="Q272" s="48" t="s">
        <v>730</v>
      </c>
      <c r="R272" s="48" t="s">
        <v>44</v>
      </c>
      <c r="S272" s="48">
        <v>80</v>
      </c>
      <c r="T272" s="48" t="s">
        <v>44</v>
      </c>
    </row>
    <row r="273" spans="15:20" ht="18" hidden="1" customHeight="1" x14ac:dyDescent="0.35">
      <c r="O273" s="48" t="s">
        <v>731</v>
      </c>
      <c r="P273" s="48" t="s">
        <v>732</v>
      </c>
      <c r="Q273" s="48" t="s">
        <v>733</v>
      </c>
      <c r="R273" s="48" t="s">
        <v>36</v>
      </c>
      <c r="S273" s="48">
        <v>100</v>
      </c>
      <c r="T273" s="48" t="s">
        <v>36</v>
      </c>
    </row>
    <row r="274" spans="15:20" ht="18" hidden="1" customHeight="1" x14ac:dyDescent="0.35">
      <c r="O274" s="48" t="s">
        <v>734</v>
      </c>
      <c r="P274" s="48" t="s">
        <v>735</v>
      </c>
      <c r="Q274" s="48" t="s">
        <v>736</v>
      </c>
      <c r="R274" s="48" t="s">
        <v>62</v>
      </c>
      <c r="S274" s="48">
        <v>28</v>
      </c>
      <c r="T274" s="48" t="s">
        <v>40</v>
      </c>
    </row>
    <row r="275" spans="15:20" ht="18" hidden="1" customHeight="1" x14ac:dyDescent="0.35">
      <c r="O275" s="48" t="s">
        <v>737</v>
      </c>
      <c r="P275" s="48" t="s">
        <v>738</v>
      </c>
      <c r="Q275" s="48"/>
      <c r="R275" s="48" t="s">
        <v>44</v>
      </c>
      <c r="S275" s="48">
        <v>100</v>
      </c>
      <c r="T275" s="48" t="s">
        <v>40</v>
      </c>
    </row>
    <row r="276" spans="15:20" ht="18" hidden="1" customHeight="1" x14ac:dyDescent="0.35">
      <c r="O276" s="48" t="s">
        <v>739</v>
      </c>
      <c r="P276" s="48" t="s">
        <v>740</v>
      </c>
      <c r="Q276" s="48" t="s">
        <v>741</v>
      </c>
      <c r="R276" s="48" t="s">
        <v>39</v>
      </c>
      <c r="S276" s="48">
        <v>47</v>
      </c>
      <c r="T276" s="48" t="s">
        <v>40</v>
      </c>
    </row>
    <row r="277" spans="15:20" ht="18" hidden="1" customHeight="1" x14ac:dyDescent="0.35">
      <c r="O277" s="48" t="s">
        <v>742</v>
      </c>
      <c r="P277" s="48" t="s">
        <v>743</v>
      </c>
      <c r="Q277" s="48" t="s">
        <v>744</v>
      </c>
      <c r="R277" s="48" t="s">
        <v>39</v>
      </c>
      <c r="S277" s="48">
        <v>43</v>
      </c>
      <c r="T277" s="48" t="s">
        <v>40</v>
      </c>
    </row>
    <row r="278" spans="15:20" ht="18" hidden="1" customHeight="1" x14ac:dyDescent="0.35">
      <c r="O278" s="48" t="s">
        <v>745</v>
      </c>
      <c r="P278" s="48" t="s">
        <v>746</v>
      </c>
      <c r="Q278" s="48" t="s">
        <v>745</v>
      </c>
      <c r="R278" s="48" t="s">
        <v>62</v>
      </c>
      <c r="S278" s="48">
        <v>30</v>
      </c>
      <c r="T278" s="48" t="s">
        <v>40</v>
      </c>
    </row>
    <row r="279" spans="15:20" ht="18" hidden="1" customHeight="1" x14ac:dyDescent="0.35">
      <c r="O279" s="48" t="s">
        <v>747</v>
      </c>
      <c r="P279" s="48" t="s">
        <v>748</v>
      </c>
      <c r="Q279" s="48" t="s">
        <v>749</v>
      </c>
      <c r="R279" s="48" t="s">
        <v>44</v>
      </c>
      <c r="S279" s="48">
        <v>67</v>
      </c>
      <c r="T279" s="48" t="s">
        <v>44</v>
      </c>
    </row>
    <row r="280" spans="15:20" ht="18" hidden="1" customHeight="1" x14ac:dyDescent="0.35">
      <c r="O280" s="48" t="s">
        <v>750</v>
      </c>
      <c r="P280" s="48" t="s">
        <v>751</v>
      </c>
      <c r="Q280" s="48" t="s">
        <v>752</v>
      </c>
      <c r="R280" s="48" t="s">
        <v>39</v>
      </c>
      <c r="S280" s="48">
        <v>52</v>
      </c>
      <c r="T280" s="48" t="s">
        <v>40</v>
      </c>
    </row>
    <row r="281" spans="15:20" ht="18" hidden="1" customHeight="1" x14ac:dyDescent="0.35">
      <c r="O281" s="48" t="s">
        <v>753</v>
      </c>
      <c r="P281" s="48" t="s">
        <v>754</v>
      </c>
      <c r="Q281" s="48"/>
      <c r="R281" s="48" t="s">
        <v>62</v>
      </c>
      <c r="S281" s="48">
        <v>29</v>
      </c>
      <c r="T281" s="48" t="s">
        <v>40</v>
      </c>
    </row>
    <row r="282" spans="15:20" ht="18" hidden="1" customHeight="1" x14ac:dyDescent="0.35">
      <c r="O282" s="48" t="s">
        <v>755</v>
      </c>
      <c r="P282" s="48" t="s">
        <v>756</v>
      </c>
      <c r="Q282" s="48" t="s">
        <v>757</v>
      </c>
      <c r="R282" s="48" t="s">
        <v>44</v>
      </c>
      <c r="S282" s="48">
        <v>80</v>
      </c>
      <c r="T282" s="48" t="s">
        <v>44</v>
      </c>
    </row>
    <row r="283" spans="15:20" ht="18" hidden="1" customHeight="1" x14ac:dyDescent="0.35">
      <c r="O283" s="48" t="s">
        <v>758</v>
      </c>
      <c r="P283" s="48" t="s">
        <v>759</v>
      </c>
      <c r="Q283" s="48" t="s">
        <v>760</v>
      </c>
      <c r="R283" s="48" t="s">
        <v>39</v>
      </c>
      <c r="S283" s="48">
        <v>48</v>
      </c>
      <c r="T283" s="48" t="s">
        <v>40</v>
      </c>
    </row>
    <row r="284" spans="15:20" ht="18" hidden="1" customHeight="1" x14ac:dyDescent="0.35">
      <c r="O284" s="48" t="s">
        <v>761</v>
      </c>
      <c r="P284" s="48" t="s">
        <v>762</v>
      </c>
      <c r="Q284" s="48" t="s">
        <v>763</v>
      </c>
      <c r="R284" s="48" t="s">
        <v>39</v>
      </c>
      <c r="S284" s="48">
        <v>60</v>
      </c>
      <c r="T284" s="48" t="s">
        <v>44</v>
      </c>
    </row>
    <row r="285" spans="15:20" ht="18" hidden="1" customHeight="1" x14ac:dyDescent="0.35">
      <c r="O285" s="48" t="s">
        <v>764</v>
      </c>
      <c r="P285" s="48" t="s">
        <v>765</v>
      </c>
      <c r="Q285" s="48" t="s">
        <v>766</v>
      </c>
      <c r="R285" s="48" t="s">
        <v>39</v>
      </c>
      <c r="S285" s="48">
        <v>54</v>
      </c>
      <c r="T285" s="48" t="s">
        <v>40</v>
      </c>
    </row>
    <row r="286" spans="15:20" ht="18" hidden="1" customHeight="1" x14ac:dyDescent="0.35">
      <c r="O286" s="48" t="s">
        <v>767</v>
      </c>
      <c r="P286" s="48" t="s">
        <v>768</v>
      </c>
      <c r="Q286" s="48" t="s">
        <v>769</v>
      </c>
      <c r="R286" s="48" t="s">
        <v>39</v>
      </c>
      <c r="S286" s="48">
        <v>60</v>
      </c>
      <c r="T286" s="48" t="s">
        <v>36</v>
      </c>
    </row>
    <row r="287" spans="15:20" ht="18" hidden="1" customHeight="1" x14ac:dyDescent="0.35">
      <c r="O287" s="48" t="s">
        <v>770</v>
      </c>
      <c r="P287" s="48" t="s">
        <v>771</v>
      </c>
      <c r="Q287" s="48" t="s">
        <v>772</v>
      </c>
      <c r="R287" s="48" t="s">
        <v>44</v>
      </c>
      <c r="S287" s="48">
        <v>64</v>
      </c>
      <c r="T287" s="48" t="s">
        <v>44</v>
      </c>
    </row>
    <row r="288" spans="15:20" ht="18" hidden="1" customHeight="1" x14ac:dyDescent="0.35">
      <c r="O288" s="48" t="s">
        <v>773</v>
      </c>
      <c r="P288" s="48" t="s">
        <v>774</v>
      </c>
      <c r="Q288" s="48" t="s">
        <v>775</v>
      </c>
      <c r="R288" s="48" t="s">
        <v>36</v>
      </c>
      <c r="S288" s="48">
        <v>100</v>
      </c>
      <c r="T288" s="48" t="s">
        <v>36</v>
      </c>
    </row>
    <row r="289" spans="15:20" ht="18" hidden="1" customHeight="1" x14ac:dyDescent="0.35">
      <c r="O289" s="48" t="s">
        <v>776</v>
      </c>
      <c r="P289" s="48" t="s">
        <v>777</v>
      </c>
      <c r="Q289" s="48" t="s">
        <v>778</v>
      </c>
      <c r="R289" s="48" t="s">
        <v>39</v>
      </c>
      <c r="S289" s="48">
        <v>48</v>
      </c>
      <c r="T289" s="48" t="s">
        <v>40</v>
      </c>
    </row>
    <row r="290" spans="15:20" ht="18" hidden="1" customHeight="1" x14ac:dyDescent="0.35">
      <c r="O290" s="48" t="s">
        <v>779</v>
      </c>
      <c r="P290" s="48" t="s">
        <v>780</v>
      </c>
      <c r="Q290" s="48" t="s">
        <v>781</v>
      </c>
      <c r="R290" s="48" t="s">
        <v>44</v>
      </c>
      <c r="S290" s="48">
        <v>71</v>
      </c>
      <c r="T290" s="48" t="s">
        <v>44</v>
      </c>
    </row>
  </sheetData>
  <mergeCells count="58">
    <mergeCell ref="A35:T35"/>
    <mergeCell ref="G34:I34"/>
    <mergeCell ref="J34:S34"/>
    <mergeCell ref="J32:S32"/>
    <mergeCell ref="G30:I30"/>
    <mergeCell ref="J30:S30"/>
    <mergeCell ref="G31:I31"/>
    <mergeCell ref="G33:I33"/>
    <mergeCell ref="G32:I32"/>
    <mergeCell ref="J31:S31"/>
    <mergeCell ref="J33:S33"/>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5">
    <dataValidation type="list" allowBlank="1" showInputMessage="1" showErrorMessage="1" sqref="J5:T5" xr:uid="{00000000-0002-0000-0000-000000000000}">
      <formula1>"Escalation, Non-Escalation"</formula1>
    </dataValidation>
    <dataValidation type="list" allowBlank="1" showInputMessage="1" showErrorMessage="1" sqref="G27:K27"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7" xr:uid="{6DE73C55-82B8-4E35-BBBB-A88B3AD4BB63}">
      <formula1>$P$37:$P$290</formula1>
    </dataValidation>
    <dataValidation type="list" allowBlank="1" showInputMessage="1" showErrorMessage="1" sqref="O27" xr:uid="{C4204911-3A41-43F4-9491-12FEC8BFF79A}">
      <formula1>$Q$37:$Q$290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showGridLines="0" zoomScale="70" zoomScaleNormal="70" workbookViewId="0">
      <pane ySplit="1" topLeftCell="A2" activePane="bottomLeft" state="frozen"/>
      <selection pane="bottomLeft" activeCell="E5" sqref="E5"/>
    </sheetView>
  </sheetViews>
  <sheetFormatPr defaultColWidth="0" defaultRowHeight="14.5" zeroHeight="1" x14ac:dyDescent="0.35"/>
  <cols>
    <col min="1" max="1" width="29.1796875" style="41" bestFit="1" customWidth="1"/>
    <col min="2" max="2" width="34" style="41" customWidth="1"/>
    <col min="3" max="3" width="75" style="41" customWidth="1"/>
    <col min="4" max="4" width="48" style="41" customWidth="1"/>
    <col min="5" max="5" width="11.81640625" style="41" customWidth="1"/>
    <col min="6" max="6" width="0.1796875" style="41" hidden="1" customWidth="1"/>
    <col min="7" max="7" width="1.1796875" style="41" hidden="1" customWidth="1"/>
    <col min="8" max="8" width="0.1796875" style="41" hidden="1" customWidth="1"/>
    <col min="9" max="10" width="14" style="41" hidden="1" customWidth="1"/>
    <col min="11" max="11" width="0.54296875" style="41" hidden="1" customWidth="1"/>
    <col min="12" max="14" width="14" style="41" hidden="1" customWidth="1"/>
    <col min="15" max="15" width="8.54296875" style="41" customWidth="1"/>
    <col min="16" max="19" width="8.54296875" style="41" hidden="1" customWidth="1"/>
    <col min="20" max="24" width="15.54296875" style="41" hidden="1" customWidth="1"/>
    <col min="25" max="25" width="16.1796875" style="41" hidden="1" customWidth="1"/>
    <col min="26" max="26" width="13.1796875" style="41" hidden="1" customWidth="1"/>
    <col min="27" max="16384" width="8.54296875" style="41" hidden="1"/>
  </cols>
  <sheetData>
    <row r="1" spans="1:14" ht="24" customHeight="1" thickBot="1" x14ac:dyDescent="0.4">
      <c r="A1" s="108" t="s">
        <v>782</v>
      </c>
      <c r="B1" s="109" t="s">
        <v>783</v>
      </c>
      <c r="C1" s="109" t="s">
        <v>784</v>
      </c>
      <c r="D1" s="109" t="s">
        <v>785</v>
      </c>
      <c r="E1" s="110" t="s">
        <v>786</v>
      </c>
      <c r="F1" s="42"/>
      <c r="G1" s="42"/>
      <c r="H1" s="42"/>
      <c r="I1" s="42"/>
      <c r="J1" s="42"/>
      <c r="K1" s="42"/>
      <c r="L1" s="42"/>
      <c r="M1" s="42"/>
      <c r="N1" s="42"/>
    </row>
    <row r="2" spans="1:14" ht="15" customHeight="1" x14ac:dyDescent="0.4">
      <c r="A2" s="97" t="str">
        <f>IF(Sheet1!$J$13="","Customer",Sheet1!$J$13&amp;" (Customer)")</f>
        <v>Embertech LTD (Customer)</v>
      </c>
      <c r="B2" s="114" t="s">
        <v>787</v>
      </c>
      <c r="C2" s="83" t="str">
        <f t="shared" ref="C2:C36" si="0">IF(L2="","",L2)</f>
        <v>https://www.google.com/search?q=Embertech+LTD&amp;num=100&amp;hl=en</v>
      </c>
      <c r="D2" s="84" t="str">
        <f>IF(F2="","",Sheet1!$J$9&amp;"_"&amp;Sheet1!$J$10&amp;"_Customer_"&amp;N2&amp;"_Google.pdf")</f>
        <v>134941_ALERT2370284_Customer_1_Google.pdf</v>
      </c>
      <c r="E2" s="178" t="s">
        <v>3018</v>
      </c>
      <c r="F2" s="42" t="str">
        <f>IF(Sheet1!$J$13="","",Sheet1!$J$13)</f>
        <v>Embertech LTD</v>
      </c>
      <c r="G2" s="42" t="str">
        <f t="shared" ref="G2:G36" si="1">IF(F2="","",SUBSTITUTE(F2,CHAR(34),"%22"))</f>
        <v>Embertech LTD</v>
      </c>
      <c r="H2" s="42" t="str">
        <f t="shared" ref="H2:H36" si="2">IF(G2="","",SUBSTITUTE(G2,"&amp;","%26"))</f>
        <v>Embertech LTD</v>
      </c>
      <c r="I2" s="42" t="str">
        <f t="shared" ref="I2:I36" si="3">IF(H2="","",SUBSTITUTE(H2,"(","%28"))</f>
        <v>Embertech LTD</v>
      </c>
      <c r="J2" s="42" t="str">
        <f t="shared" ref="J2:J36" si="4">IF(I2="","",SUBSTITUTE(I2,")","%29"))</f>
        <v>Embertech LTD</v>
      </c>
      <c r="K2" s="42" t="str">
        <f t="shared" ref="K2:K36" si="5">IF(J2="","",SUBSTITUTE(J2," ","+"))</f>
        <v>Embertech+LTD</v>
      </c>
      <c r="L2" s="42" t="str">
        <f>IF(K2="","","https://www.google.com/search?q="&amp;K2&amp;"&amp;num=100&amp;hl=en")</f>
        <v>https://www.google.com/search?q=Embertech+LTD&amp;num=100&amp;hl=en</v>
      </c>
      <c r="M2" s="42">
        <f t="shared" ref="M2:M36" si="6">IF(F2="",0,1)</f>
        <v>1</v>
      </c>
      <c r="N2" s="42">
        <f>SUM($M$2:M2)</f>
        <v>1</v>
      </c>
    </row>
    <row r="3" spans="1:14" ht="15" customHeight="1" x14ac:dyDescent="0.4">
      <c r="A3" s="98" t="str">
        <f>IF(Sheet1!$J$13="","Customer",Sheet1!$J$13&amp;" (Customer)")</f>
        <v>Embertech LTD (Customer)</v>
      </c>
      <c r="B3" s="115" t="s">
        <v>788</v>
      </c>
      <c r="C3" s="85" t="str">
        <f t="shared" si="0"/>
        <v>https://www.google.com/search?q=Kinyra,+1+Kinyras+Tower,+3Rd+Floor,+Flat/Office+301,+Agios+Andreas,+1102,+Nicosia,+Cyprus&amp;num=100&amp;hl=en</v>
      </c>
      <c r="D3" s="86" t="str">
        <f>IF(F3="","",Sheet1!$J$9&amp;"_"&amp;Sheet1!$J$10&amp;"_Customer_"&amp;N3&amp;"_Address.pdf")</f>
        <v>134941_ALERT2370284_Customer_2_Address.pdf</v>
      </c>
      <c r="E3" s="136" t="s">
        <v>3018</v>
      </c>
      <c r="F3" s="42" t="str">
        <f>IF(Sheet1!$J$14="","",Sheet1!$J$14)</f>
        <v>Kinyra, 1 Kinyras Tower, 3Rd Floor, Flat/Office 301, Agios Andreas, 1102, Nicosia, Cyprus</v>
      </c>
      <c r="G3" s="42" t="str">
        <f t="shared" si="1"/>
        <v>Kinyra, 1 Kinyras Tower, 3Rd Floor, Flat/Office 301, Agios Andreas, 1102, Nicosia, Cyprus</v>
      </c>
      <c r="H3" s="42" t="str">
        <f t="shared" si="2"/>
        <v>Kinyra, 1 Kinyras Tower, 3Rd Floor, Flat/Office 301, Agios Andreas, 1102, Nicosia, Cyprus</v>
      </c>
      <c r="I3" s="42" t="str">
        <f t="shared" si="3"/>
        <v>Kinyra, 1 Kinyras Tower, 3Rd Floor, Flat/Office 301, Agios Andreas, 1102, Nicosia, Cyprus</v>
      </c>
      <c r="J3" s="42" t="str">
        <f t="shared" si="4"/>
        <v>Kinyra, 1 Kinyras Tower, 3Rd Floor, Flat/Office 301, Agios Andreas, 1102, Nicosia, Cyprus</v>
      </c>
      <c r="K3" s="42" t="str">
        <f t="shared" si="5"/>
        <v>Kinyra,+1+Kinyras+Tower,+3Rd+Floor,+Flat/Office+301,+Agios+Andreas,+1102,+Nicosia,+Cyprus</v>
      </c>
      <c r="L3" s="42" t="str">
        <f>IF(K3="","","https://www.google.com/search?q="&amp;K3&amp;"&amp;num=100&amp;hl=en")</f>
        <v>https://www.google.com/search?q=Kinyra,+1+Kinyras+Tower,+3Rd+Floor,+Flat/Office+301,+Agios+Andreas,+1102,+Nicosia,+Cyprus&amp;num=100&amp;hl=en</v>
      </c>
      <c r="M3" s="42">
        <f t="shared" si="6"/>
        <v>1</v>
      </c>
      <c r="N3" s="42">
        <f>SUM($M$2:M3)</f>
        <v>2</v>
      </c>
    </row>
    <row r="4" spans="1:14" ht="15" customHeight="1" x14ac:dyDescent="0.4">
      <c r="A4" s="99" t="str">
        <f>IF(Sheet1!$J$13="","Customer",Sheet1!$J$13&amp;" (Customer)")</f>
        <v>Embertech LTD (Customer)</v>
      </c>
      <c r="B4" s="116" t="s">
        <v>789</v>
      </c>
      <c r="C4" s="87" t="str">
        <f t="shared" si="0"/>
        <v>https://www.google.com/search?q=Embertech+LTD+Kinyra,+1+Kinyras+Tower,+3Rd+Floor,+Flat/Office+301,+Agios+Andreas,+1102,+Nicosia,+Cyprus&amp;num=100&amp;hl=en</v>
      </c>
      <c r="D4" s="88" t="str">
        <f>IF(F4="","",Sheet1!$J$9&amp;"_"&amp;Sheet1!$J$10&amp;"_Customer_"&amp;N4&amp;"_Google+Address.pdf")</f>
        <v>134941_ALERT2370284_Customer_3_Google+Address.pdf</v>
      </c>
      <c r="E4" s="136" t="s">
        <v>3018</v>
      </c>
      <c r="F4" s="42" t="str">
        <f>IF(OR(Sheet1!$J$13="",Sheet1!$J$14=""),"",Sheet1!$J$13&amp;" "&amp;Sheet1!$J$14)</f>
        <v>Embertech LTD Kinyra, 1 Kinyras Tower, 3Rd Floor, Flat/Office 301, Agios Andreas, 1102, Nicosia, Cyprus</v>
      </c>
      <c r="G4" s="42" t="str">
        <f t="shared" si="1"/>
        <v>Embertech LTD Kinyra, 1 Kinyras Tower, 3Rd Floor, Flat/Office 301, Agios Andreas, 1102, Nicosia, Cyprus</v>
      </c>
      <c r="H4" s="42" t="str">
        <f t="shared" si="2"/>
        <v>Embertech LTD Kinyra, 1 Kinyras Tower, 3Rd Floor, Flat/Office 301, Agios Andreas, 1102, Nicosia, Cyprus</v>
      </c>
      <c r="I4" s="42" t="str">
        <f t="shared" si="3"/>
        <v>Embertech LTD Kinyra, 1 Kinyras Tower, 3Rd Floor, Flat/Office 301, Agios Andreas, 1102, Nicosia, Cyprus</v>
      </c>
      <c r="J4" s="42" t="str">
        <f t="shared" si="4"/>
        <v>Embertech LTD Kinyra, 1 Kinyras Tower, 3Rd Floor, Flat/Office 301, Agios Andreas, 1102, Nicosia, Cyprus</v>
      </c>
      <c r="K4" s="42" t="str">
        <f t="shared" si="5"/>
        <v>Embertech+LTD+Kinyra,+1+Kinyras+Tower,+3Rd+Floor,+Flat/Office+301,+Agios+Andreas,+1102,+Nicosia,+Cyprus</v>
      </c>
      <c r="L4" s="42" t="str">
        <f>IF(K4="","","https://www.google.com/search?q="&amp;K4&amp;"&amp;num=100&amp;hl=en")</f>
        <v>https://www.google.com/search?q=Embertech+LTD+Kinyra,+1+Kinyras+Tower,+3Rd+Floor,+Flat/Office+301,+Agios+Andreas,+1102,+Nicosia,+Cyprus&amp;num=100&amp;hl=en</v>
      </c>
      <c r="M4" s="42">
        <f t="shared" si="6"/>
        <v>1</v>
      </c>
      <c r="N4" s="42">
        <f>SUM($M$2:M4)</f>
        <v>3</v>
      </c>
    </row>
    <row r="5" spans="1:14" ht="15" customHeight="1" x14ac:dyDescent="0.4">
      <c r="A5" s="98" t="str">
        <f>IF(Sheet1!$J$13="","Customer",Sheet1!$J$13&amp;" (Customer)")</f>
        <v>Embertech LTD (Customer)</v>
      </c>
      <c r="B5" s="115" t="s">
        <v>790</v>
      </c>
      <c r="C5" s="85" t="str">
        <f t="shared" si="0"/>
        <v>https://www.google.com/search?q=%22Embertech+LTD%22+AND+%28arrest+OR+corruption+OR+sentencing+OR+money+laundering+OR+AML+OR+launder+OR+embezzle+OR+evas+OR+evad+OR+crime+OR+corrupt+OR+bribe+OR+theft+OR+extort+OR+drug+OR+traffic+OR+trafficking+OR+felony+OR+sanction+OR+counterfeit+OR+terror%29&amp;num=100&amp;hl=en</v>
      </c>
      <c r="D5" s="86" t="str">
        <f>IF(F5="","",Sheet1!$J$9&amp;"_"&amp;Sheet1!$J$10&amp;"_Customer_"&amp;N5&amp;"_Negative News 1.pdf")</f>
        <v>134941_ALERT2370284_Customer_4_Negative News 1.pdf</v>
      </c>
      <c r="E5" s="136" t="s">
        <v>3018</v>
      </c>
      <c r="F5" s="4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"Embertech LTD" AND (arrest OR corruption OR sentencing OR money laundering OR AML OR launder OR embezzle OR evas OR evad OR crime OR corrupt OR bribe OR theft OR extort OR drug OR traffic OR trafficking OR felony OR sanction OR counterfeit OR terror)</v>
      </c>
      <c r="G5" s="42" t="str">
        <f t="shared" si="1"/>
        <v>%22Embertech LTD%22 AND (arrest OR corruption OR sentencing OR money laundering OR AML OR launder OR embezzle OR evas OR evad OR crime OR corrupt OR bribe OR theft OR extort OR drug OR traffic OR trafficking OR felony OR sanction OR counterfeit OR terror)</v>
      </c>
      <c r="H5" s="42" t="str">
        <f t="shared" si="2"/>
        <v>%22Embertech LTD%22 AND (arrest OR corruption OR sentencing OR money laundering OR AML OR launder OR embezzle OR evas OR evad OR crime OR corrupt OR bribe OR theft OR extort OR drug OR traffic OR trafficking OR felony OR sanction OR counterfeit OR terror)</v>
      </c>
      <c r="I5" s="42" t="str">
        <f t="shared" si="3"/>
        <v>%22Embertech LTD%22 AND %28arrest OR corruption OR sentencing OR money laundering OR AML OR launder OR embezzle OR evas OR evad OR crime OR corrupt OR bribe OR theft OR extort OR drug OR traffic OR trafficking OR felony OR sanction OR counterfeit OR terror)</v>
      </c>
      <c r="J5" s="42" t="str">
        <f t="shared" si="4"/>
        <v>%22Embertech LTD%22 AND %28arrest OR corruption OR sentencing OR money laundering OR AML OR launder OR embezzle OR evas OR evad OR crime OR corrupt OR bribe OR theft OR extort OR drug OR traffic OR trafficking OR felony OR sanction OR counterfeit OR terror%29</v>
      </c>
      <c r="K5" s="42" t="str">
        <f t="shared" si="5"/>
        <v>%22Embertech+LTD%22+AND+%28arrest+OR+corruption+OR+sentencing+OR+money+laundering+OR+AML+OR+launder+OR+embezzle+OR+evas+OR+evad+OR+crime+OR+corrupt+OR+bribe+OR+theft+OR+extort+OR+drug+OR+traffic+OR+trafficking+OR+felony+OR+sanction+OR+counterfeit+OR+terror%29</v>
      </c>
      <c r="L5" s="42" t="str">
        <f>IF(K5="","","https://www.google.com/search?q="&amp;K5&amp;"&amp;num=100&amp;hl=en")</f>
        <v>https://www.google.com/search?q=%22Embertech+LTD%22+AND+%28arrest+OR+corruption+OR+sentencing+OR+money+laundering+OR+AML+OR+launder+OR+embezzle+OR+evas+OR+evad+OR+crime+OR+corrupt+OR+bribe+OR+theft+OR+extort+OR+drug+OR+traffic+OR+trafficking+OR+felony+OR+sanction+OR+counterfeit+OR+terror%29&amp;num=100&amp;hl=en</v>
      </c>
      <c r="M5" s="42">
        <f t="shared" si="6"/>
        <v>1</v>
      </c>
      <c r="N5" s="42">
        <f>SUM($M$2:M5)</f>
        <v>4</v>
      </c>
    </row>
    <row r="6" spans="1:14" ht="15" customHeight="1" x14ac:dyDescent="0.4">
      <c r="A6" s="99" t="str">
        <f>IF(Sheet1!$J$13="","Customer",Sheet1!$J$13&amp;" (Customer)")</f>
        <v>Embertech LTD (Customer)</v>
      </c>
      <c r="B6" s="116" t="s">
        <v>791</v>
      </c>
      <c r="C6" s="87" t="str">
        <f t="shared" si="0"/>
        <v>https://www.google.com/search?q=%22Embertech+LTD%22+AND+%28arrest+OR+corruption+OR+sentencing+OR+money+laundering+OR+AML+OR+launder+OR+embezzle+OR+evas+OR+evad+OR+crime+OR+corrupt+OR+bribe+OR+theft+OR+extort+OR+drug+OR+traffic+OR+trafficking+OR+felony+OR+sanction+OR+counterfeit+OR+terror%29&amp;num=100&amp;hl=en&amp;start=100</v>
      </c>
      <c r="D6" s="88" t="str">
        <f>IF(F6="","",Sheet1!$J$9&amp;"_"&amp;Sheet1!$J$10&amp;"_Customer_"&amp;N6&amp;"_Negative News 2.pdf")</f>
        <v>134941_ALERT2370284_Customer_5_Negative News 2.pdf</v>
      </c>
      <c r="E6" s="136" t="s">
        <v>3018</v>
      </c>
      <c r="F6" s="4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"Embertech LTD" AND (arrest OR corruption OR sentencing OR money laundering OR AML OR launder OR embezzle OR evas OR evad OR crime OR corrupt OR bribe OR theft OR extort OR drug OR traffic OR trafficking OR felony OR sanction OR counterfeit OR terror)</v>
      </c>
      <c r="G6" s="42" t="str">
        <f t="shared" si="1"/>
        <v>%22Embertech LTD%22 AND (arrest OR corruption OR sentencing OR money laundering OR AML OR launder OR embezzle OR evas OR evad OR crime OR corrupt OR bribe OR theft OR extort OR drug OR traffic OR trafficking OR felony OR sanction OR counterfeit OR terror)</v>
      </c>
      <c r="H6" s="42" t="str">
        <f t="shared" si="2"/>
        <v>%22Embertech LTD%22 AND (arrest OR corruption OR sentencing OR money laundering OR AML OR launder OR embezzle OR evas OR evad OR crime OR corrupt OR bribe OR theft OR extort OR drug OR traffic OR trafficking OR felony OR sanction OR counterfeit OR terror)</v>
      </c>
      <c r="I6" s="42" t="str">
        <f t="shared" si="3"/>
        <v>%22Embertech LTD%22 AND %28arrest OR corruption OR sentencing OR money laundering OR AML OR launder OR embezzle OR evas OR evad OR crime OR corrupt OR bribe OR theft OR extort OR drug OR traffic OR trafficking OR felony OR sanction OR counterfeit OR terror)</v>
      </c>
      <c r="J6" s="42" t="str">
        <f t="shared" si="4"/>
        <v>%22Embertech LTD%22 AND %28arrest OR corruption OR sentencing OR money laundering OR AML OR launder OR embezzle OR evas OR evad OR crime OR corrupt OR bribe OR theft OR extort OR drug OR traffic OR trafficking OR felony OR sanction OR counterfeit OR terror%29</v>
      </c>
      <c r="K6" s="42" t="str">
        <f t="shared" si="5"/>
        <v>%22Embertech+LTD%22+AND+%28arrest+OR+corruption+OR+sentencing+OR+money+laundering+OR+AML+OR+launder+OR+embezzle+OR+evas+OR+evad+OR+crime+OR+corrupt+OR+bribe+OR+theft+OR+extort+OR+drug+OR+traffic+OR+trafficking+OR+felony+OR+sanction+OR+counterfeit+OR+terror%29</v>
      </c>
      <c r="L6" s="42" t="str">
        <f>IF(K6="","","https://www.google.com/search?q="&amp;K6&amp;"&amp;num=100&amp;hl=en&amp;start=100")</f>
        <v>https://www.google.com/search?q=%22Embertech+LTD%22+AND+%28arrest+OR+corruption+OR+sentencing+OR+money+laundering+OR+AML+OR+launder+OR+embezzle+OR+evas+OR+evad+OR+crime+OR+corrupt+OR+bribe+OR+theft+OR+extort+OR+drug+OR+traffic+OR+trafficking+OR+felony+OR+sanction+OR+counterfeit+OR+terror%29&amp;num=100&amp;hl=en&amp;start=100</v>
      </c>
      <c r="M6" s="42">
        <f t="shared" si="6"/>
        <v>1</v>
      </c>
      <c r="N6" s="42">
        <f>SUM($M$2:M6)</f>
        <v>5</v>
      </c>
    </row>
    <row r="7" spans="1:14" ht="15" customHeight="1" x14ac:dyDescent="0.4">
      <c r="A7" s="100" t="str">
        <f>IF(Sheet1!$J$18="","Counterparty 1",Sheet1!$J$18&amp;" (CP1)")</f>
        <v>Counterparty 1</v>
      </c>
      <c r="B7" s="117" t="s">
        <v>787</v>
      </c>
      <c r="C7" s="89" t="str">
        <f t="shared" si="0"/>
        <v/>
      </c>
      <c r="D7" s="90" t="str">
        <f>IF(F7="","",Sheet1!$J$9&amp;"_"&amp;Sheet1!$J$10&amp;"_CP1_"&amp;N7&amp;"_Google.pdf")</f>
        <v/>
      </c>
      <c r="E7" s="134"/>
      <c r="F7" s="42" t="str">
        <f>IF(Sheet1!$J$18="","",Sheet1!$J$18)</f>
        <v/>
      </c>
      <c r="G7" s="42" t="str">
        <f t="shared" si="1"/>
        <v/>
      </c>
      <c r="H7" s="42" t="str">
        <f t="shared" si="2"/>
        <v/>
      </c>
      <c r="I7" s="42" t="str">
        <f t="shared" si="3"/>
        <v/>
      </c>
      <c r="J7" s="42" t="str">
        <f t="shared" si="4"/>
        <v/>
      </c>
      <c r="K7" s="42" t="str">
        <f t="shared" si="5"/>
        <v/>
      </c>
      <c r="L7" s="42" t="str">
        <f>IF(K7="","","https://www.google.com/search?q="&amp;K7&amp;"&amp;num=100&amp;hl=en")</f>
        <v/>
      </c>
      <c r="M7" s="42">
        <f t="shared" si="6"/>
        <v>0</v>
      </c>
      <c r="N7" s="42">
        <f>SUM($M$7:M7)</f>
        <v>0</v>
      </c>
    </row>
    <row r="8" spans="1:14" ht="15" customHeight="1" x14ac:dyDescent="0.4">
      <c r="A8" s="101" t="str">
        <f>IF(Sheet1!$J$18="","Counterparty 1",Sheet1!$J$18&amp;" (CP1)")</f>
        <v>Counterparty 1</v>
      </c>
      <c r="B8" s="118" t="s">
        <v>788</v>
      </c>
      <c r="C8" s="91" t="str">
        <f t="shared" si="0"/>
        <v/>
      </c>
      <c r="D8" s="92" t="str">
        <f>IF(F8="","",Sheet1!$J$9&amp;"_"&amp;Sheet1!$J$10&amp;"_CP1_"&amp;N8&amp;"_Address.pdf")</f>
        <v/>
      </c>
      <c r="E8" s="127"/>
      <c r="F8" s="42" t="str">
        <f>IF(Sheet1!$T$18="","",Sheet1!$T$18)</f>
        <v/>
      </c>
      <c r="G8" s="42" t="str">
        <f t="shared" si="1"/>
        <v/>
      </c>
      <c r="H8" s="42" t="str">
        <f t="shared" si="2"/>
        <v/>
      </c>
      <c r="I8" s="42" t="str">
        <f t="shared" si="3"/>
        <v/>
      </c>
      <c r="J8" s="42" t="str">
        <f t="shared" si="4"/>
        <v/>
      </c>
      <c r="K8" s="42" t="str">
        <f t="shared" si="5"/>
        <v/>
      </c>
      <c r="L8" s="42" t="str">
        <f>IF(K8="","","https://www.google.com/search?q="&amp;K8&amp;"&amp;num=100&amp;hl=en")</f>
        <v/>
      </c>
      <c r="M8" s="42">
        <f t="shared" si="6"/>
        <v>0</v>
      </c>
      <c r="N8" s="42">
        <f>SUM($M$7:M8)</f>
        <v>0</v>
      </c>
    </row>
    <row r="9" spans="1:14" ht="15" customHeight="1" x14ac:dyDescent="0.4">
      <c r="A9" s="102" t="str">
        <f>IF(Sheet1!$J$18="","Counterparty 1",Sheet1!$J$18&amp;" (CP1)")</f>
        <v>Counterparty 1</v>
      </c>
      <c r="B9" s="119" t="s">
        <v>789</v>
      </c>
      <c r="C9" s="93" t="str">
        <f t="shared" si="0"/>
        <v/>
      </c>
      <c r="D9" s="94" t="str">
        <f>IF(F9="","",Sheet1!$J$9&amp;"_"&amp;Sheet1!$J$10&amp;"_CP1_"&amp;N9&amp;"_Google+Address.pdf")</f>
        <v/>
      </c>
      <c r="E9" s="127"/>
      <c r="F9" s="42" t="str">
        <f>IF(OR(Sheet1!$J$18="",Sheet1!$T$18=""),"",Sheet1!$J$18&amp;" "&amp;Sheet1!$T$18)</f>
        <v/>
      </c>
      <c r="G9" s="42" t="str">
        <f t="shared" si="1"/>
        <v/>
      </c>
      <c r="H9" s="42" t="str">
        <f t="shared" si="2"/>
        <v/>
      </c>
      <c r="I9" s="42" t="str">
        <f t="shared" si="3"/>
        <v/>
      </c>
      <c r="J9" s="42" t="str">
        <f t="shared" si="4"/>
        <v/>
      </c>
      <c r="K9" s="42" t="str">
        <f t="shared" si="5"/>
        <v/>
      </c>
      <c r="L9" s="42" t="str">
        <f>IF(K9="","","https://www.google.com/search?q="&amp;K9&amp;"&amp;num=100&amp;hl=en")</f>
        <v/>
      </c>
      <c r="M9" s="42">
        <f t="shared" si="6"/>
        <v>0</v>
      </c>
      <c r="N9" s="42">
        <f>SUM($M$7:M9)</f>
        <v>0</v>
      </c>
    </row>
    <row r="10" spans="1:14" ht="15" customHeight="1" x14ac:dyDescent="0.4">
      <c r="A10" s="101" t="str">
        <f>IF(Sheet1!$J$18="","Counterparty 1",Sheet1!$J$18&amp;" (CP1)")</f>
        <v>Counterparty 1</v>
      </c>
      <c r="B10" s="118" t="s">
        <v>790</v>
      </c>
      <c r="C10" s="91" t="str">
        <f t="shared" si="0"/>
        <v/>
      </c>
      <c r="D10" s="92" t="str">
        <f>IF(F10="","",Sheet1!$J$9&amp;"_"&amp;Sheet1!$J$10&amp;"_CP1_"&amp;N10&amp;"_Negative News 1.pdf")</f>
        <v/>
      </c>
      <c r="E10" s="127"/>
      <c r="F10" s="4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0" s="42" t="str">
        <f t="shared" si="1"/>
        <v/>
      </c>
      <c r="H10" s="42" t="str">
        <f t="shared" si="2"/>
        <v/>
      </c>
      <c r="I10" s="42" t="str">
        <f t="shared" si="3"/>
        <v/>
      </c>
      <c r="J10" s="42" t="str">
        <f t="shared" si="4"/>
        <v/>
      </c>
      <c r="K10" s="42" t="str">
        <f t="shared" si="5"/>
        <v/>
      </c>
      <c r="L10" s="42" t="str">
        <f>IF(K10="","","https://www.google.com/search?q="&amp;K10&amp;"&amp;num=100&amp;hl=en")</f>
        <v/>
      </c>
      <c r="M10" s="42">
        <f t="shared" si="6"/>
        <v>0</v>
      </c>
      <c r="N10" s="42">
        <f>SUM($M$7:M10)</f>
        <v>0</v>
      </c>
    </row>
    <row r="11" spans="1:14" ht="15" customHeight="1" x14ac:dyDescent="0.4">
      <c r="A11" s="102" t="str">
        <f>IF(Sheet1!$J$18="","Counterparty 1",Sheet1!$J$18&amp;" (CP1)")</f>
        <v>Counterparty 1</v>
      </c>
      <c r="B11" s="119" t="s">
        <v>791</v>
      </c>
      <c r="C11" s="93" t="str">
        <f t="shared" si="0"/>
        <v/>
      </c>
      <c r="D11" s="94" t="str">
        <f>IF(F11="","",Sheet1!$J$9&amp;"_"&amp;Sheet1!$J$10&amp;"_CP1_"&amp;N11&amp;"_Negative News 2.pdf")</f>
        <v/>
      </c>
      <c r="E11" s="127"/>
      <c r="F11" s="4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1" s="42" t="str">
        <f t="shared" si="1"/>
        <v/>
      </c>
      <c r="H11" s="42" t="str">
        <f t="shared" si="2"/>
        <v/>
      </c>
      <c r="I11" s="42" t="str">
        <f t="shared" si="3"/>
        <v/>
      </c>
      <c r="J11" s="42" t="str">
        <f t="shared" si="4"/>
        <v/>
      </c>
      <c r="K11" s="42" t="str">
        <f t="shared" si="5"/>
        <v/>
      </c>
      <c r="L11" s="42" t="str">
        <f>IF(K11="","","https://www.google.com/search?q="&amp;K11&amp;"&amp;num=100&amp;hl=en&amp;start=100")</f>
        <v/>
      </c>
      <c r="M11" s="42">
        <f t="shared" si="6"/>
        <v>0</v>
      </c>
      <c r="N11" s="42">
        <f>SUM($M$7:M11)</f>
        <v>0</v>
      </c>
    </row>
    <row r="12" spans="1:14" ht="15" customHeight="1" x14ac:dyDescent="0.4">
      <c r="A12" s="103" t="str">
        <f>IF(Sheet1!$J$19="","Counterparty 2",Sheet1!$J$19&amp;" (CP2)")</f>
        <v>Counterparty 2</v>
      </c>
      <c r="B12" s="120" t="s">
        <v>787</v>
      </c>
      <c r="C12" s="95" t="str">
        <f t="shared" si="0"/>
        <v/>
      </c>
      <c r="D12" s="96" t="str">
        <f>IF(F12="","",Sheet1!$J$9&amp;"_"&amp;Sheet1!$J$10&amp;"_CP2_"&amp;N12&amp;"_Google.pdf")</f>
        <v/>
      </c>
      <c r="E12" s="135"/>
      <c r="F12" s="42" t="str">
        <f>IF(Sheet1!$J$19="","",Sheet1!$J$19)</f>
        <v/>
      </c>
      <c r="G12" s="42" t="str">
        <f t="shared" si="1"/>
        <v/>
      </c>
      <c r="H12" s="42" t="str">
        <f t="shared" si="2"/>
        <v/>
      </c>
      <c r="I12" s="42" t="str">
        <f t="shared" si="3"/>
        <v/>
      </c>
      <c r="J12" s="42" t="str">
        <f t="shared" si="4"/>
        <v/>
      </c>
      <c r="K12" s="42" t="str">
        <f t="shared" si="5"/>
        <v/>
      </c>
      <c r="L12" s="42" t="str">
        <f>IF(K12="","","https://www.google.com/search?q="&amp;K12&amp;"&amp;num=100&amp;hl=en")</f>
        <v/>
      </c>
      <c r="M12" s="42">
        <f t="shared" si="6"/>
        <v>0</v>
      </c>
      <c r="N12" s="42">
        <f>SUM($M$12:M12)</f>
        <v>0</v>
      </c>
    </row>
    <row r="13" spans="1:14" ht="15" customHeight="1" x14ac:dyDescent="0.4">
      <c r="A13" s="98" t="str">
        <f>IF(Sheet1!$J$19="","Counterparty 2",Sheet1!$J$19&amp;" (CP2)")</f>
        <v>Counterparty 2</v>
      </c>
      <c r="B13" s="115" t="s">
        <v>788</v>
      </c>
      <c r="C13" s="85" t="str">
        <f t="shared" si="0"/>
        <v/>
      </c>
      <c r="D13" s="86" t="str">
        <f>IF(F13="","",Sheet1!$J$9&amp;"_"&amp;Sheet1!$J$10&amp;"_CP2_"&amp;N13&amp;"_Address.pdf")</f>
        <v/>
      </c>
      <c r="E13" s="133"/>
      <c r="F13" s="42" t="str">
        <f>IF(Sheet1!$T$19="","",Sheet1!$T$19)</f>
        <v/>
      </c>
      <c r="G13" s="42" t="str">
        <f t="shared" si="1"/>
        <v/>
      </c>
      <c r="H13" s="42" t="str">
        <f t="shared" si="2"/>
        <v/>
      </c>
      <c r="I13" s="42" t="str">
        <f t="shared" si="3"/>
        <v/>
      </c>
      <c r="J13" s="42" t="str">
        <f t="shared" si="4"/>
        <v/>
      </c>
      <c r="K13" s="42" t="str">
        <f t="shared" si="5"/>
        <v/>
      </c>
      <c r="L13" s="42" t="str">
        <f>IF(K13="","","https://www.google.com/search?q="&amp;K13&amp;"&amp;num=100&amp;hl=en")</f>
        <v/>
      </c>
      <c r="M13" s="42">
        <f t="shared" si="6"/>
        <v>0</v>
      </c>
      <c r="N13" s="42">
        <f>SUM($M$12:M13)</f>
        <v>0</v>
      </c>
    </row>
    <row r="14" spans="1:14" ht="15" customHeight="1" x14ac:dyDescent="0.4">
      <c r="A14" s="99" t="str">
        <f>IF(Sheet1!$J$19="","Counterparty 2",Sheet1!$J$19&amp;" (CP2)")</f>
        <v>Counterparty 2</v>
      </c>
      <c r="B14" s="116" t="s">
        <v>789</v>
      </c>
      <c r="C14" s="87" t="str">
        <f t="shared" si="0"/>
        <v/>
      </c>
      <c r="D14" s="88" t="str">
        <f>IF(F14="","",Sheet1!$J$9&amp;"_"&amp;Sheet1!$J$10&amp;"_CP2_"&amp;N14&amp;"_Google+Address.pdf")</f>
        <v/>
      </c>
      <c r="E14" s="133"/>
      <c r="F14" s="42" t="str">
        <f>IF(OR(Sheet1!$J$19="",Sheet1!$T$19=""),"",Sheet1!$J$19&amp;" "&amp;Sheet1!$T$19)</f>
        <v/>
      </c>
      <c r="G14" s="42" t="str">
        <f t="shared" si="1"/>
        <v/>
      </c>
      <c r="H14" s="42" t="str">
        <f t="shared" si="2"/>
        <v/>
      </c>
      <c r="I14" s="42" t="str">
        <f t="shared" si="3"/>
        <v/>
      </c>
      <c r="J14" s="42" t="str">
        <f t="shared" si="4"/>
        <v/>
      </c>
      <c r="K14" s="42" t="str">
        <f t="shared" si="5"/>
        <v/>
      </c>
      <c r="L14" s="42" t="str">
        <f>IF(K14="","","https://www.google.com/search?q="&amp;K14&amp;"&amp;num=100&amp;hl=en")</f>
        <v/>
      </c>
      <c r="M14" s="42">
        <f t="shared" si="6"/>
        <v>0</v>
      </c>
      <c r="N14" s="42">
        <f>SUM($M$12:M14)</f>
        <v>0</v>
      </c>
    </row>
    <row r="15" spans="1:14" ht="15" customHeight="1" x14ac:dyDescent="0.4">
      <c r="A15" s="98" t="str">
        <f>IF(Sheet1!$J$19="","Counterparty 2",Sheet1!$J$19&amp;" (CP2)")</f>
        <v>Counterparty 2</v>
      </c>
      <c r="B15" s="115" t="s">
        <v>790</v>
      </c>
      <c r="C15" s="85" t="str">
        <f t="shared" si="0"/>
        <v/>
      </c>
      <c r="D15" s="86" t="str">
        <f>IF(F15="","",Sheet1!$J$9&amp;"_"&amp;Sheet1!$J$10&amp;"_CP2_"&amp;N15&amp;"_Negative News 1.pdf")</f>
        <v/>
      </c>
      <c r="E15" s="133"/>
      <c r="F15" s="4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42" t="str">
        <f t="shared" si="1"/>
        <v/>
      </c>
      <c r="H15" s="42" t="str">
        <f t="shared" si="2"/>
        <v/>
      </c>
      <c r="I15" s="42" t="str">
        <f t="shared" si="3"/>
        <v/>
      </c>
      <c r="J15" s="42" t="str">
        <f t="shared" si="4"/>
        <v/>
      </c>
      <c r="K15" s="42" t="str">
        <f t="shared" si="5"/>
        <v/>
      </c>
      <c r="L15" s="42" t="str">
        <f>IF(K15="","","https://www.google.com/search?q="&amp;K15&amp;"&amp;num=100&amp;hl=en")</f>
        <v/>
      </c>
      <c r="M15" s="42">
        <f t="shared" si="6"/>
        <v>0</v>
      </c>
      <c r="N15" s="42">
        <f>SUM($M$12:M15)</f>
        <v>0</v>
      </c>
    </row>
    <row r="16" spans="1:14" ht="15" customHeight="1" x14ac:dyDescent="0.4">
      <c r="A16" s="99" t="str">
        <f>IF(Sheet1!$J$19="","Counterparty 2",Sheet1!$J$19&amp;" (CP2)")</f>
        <v>Counterparty 2</v>
      </c>
      <c r="B16" s="116" t="s">
        <v>791</v>
      </c>
      <c r="C16" s="87" t="str">
        <f t="shared" si="0"/>
        <v/>
      </c>
      <c r="D16" s="88" t="str">
        <f>IF(F16="","",Sheet1!$J$9&amp;"_"&amp;Sheet1!$J$10&amp;"_CP2_"&amp;N16&amp;"_Negative News 2.pdf")</f>
        <v/>
      </c>
      <c r="E16" s="133"/>
      <c r="F16" s="4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42" t="str">
        <f t="shared" si="1"/>
        <v/>
      </c>
      <c r="H16" s="42" t="str">
        <f t="shared" si="2"/>
        <v/>
      </c>
      <c r="I16" s="42" t="str">
        <f t="shared" si="3"/>
        <v/>
      </c>
      <c r="J16" s="42" t="str">
        <f t="shared" si="4"/>
        <v/>
      </c>
      <c r="K16" s="42" t="str">
        <f t="shared" si="5"/>
        <v/>
      </c>
      <c r="L16" s="42" t="str">
        <f>IF(K16="","","https://www.google.com/search?q="&amp;K16&amp;"&amp;num=100&amp;hl=en&amp;start=100")</f>
        <v/>
      </c>
      <c r="M16" s="42">
        <f t="shared" si="6"/>
        <v>0</v>
      </c>
      <c r="N16" s="42">
        <f>SUM($M$12:M16)</f>
        <v>0</v>
      </c>
    </row>
    <row r="17" spans="1:14" ht="15" customHeight="1" x14ac:dyDescent="0.4">
      <c r="A17" s="100" t="str">
        <f>IF(Sheet1!$J$20="","Counterparty 3",Sheet1!$J$20&amp;" (CP3)")</f>
        <v>Counterparty 3</v>
      </c>
      <c r="B17" s="117" t="s">
        <v>787</v>
      </c>
      <c r="C17" s="89" t="str">
        <f t="shared" si="0"/>
        <v/>
      </c>
      <c r="D17" s="90" t="str">
        <f>IF(F17="","",Sheet1!$J$9&amp;"_"&amp;Sheet1!$J$10&amp;"_CP3_"&amp;N17&amp;"_Google.pdf")</f>
        <v/>
      </c>
      <c r="E17" s="134"/>
      <c r="F17" s="42" t="str">
        <f>IF(Sheet1!$J$20="","",Sheet1!$J$20)</f>
        <v/>
      </c>
      <c r="G17" s="42" t="str">
        <f t="shared" si="1"/>
        <v/>
      </c>
      <c r="H17" s="42" t="str">
        <f t="shared" si="2"/>
        <v/>
      </c>
      <c r="I17" s="42" t="str">
        <f t="shared" si="3"/>
        <v/>
      </c>
      <c r="J17" s="42" t="str">
        <f t="shared" si="4"/>
        <v/>
      </c>
      <c r="K17" s="42" t="str">
        <f t="shared" si="5"/>
        <v/>
      </c>
      <c r="L17" s="42" t="str">
        <f>IF(K17="","","https://www.google.com/search?q="&amp;K17&amp;"&amp;num=100&amp;hl=en")</f>
        <v/>
      </c>
      <c r="M17" s="42">
        <f t="shared" si="6"/>
        <v>0</v>
      </c>
      <c r="N17" s="42">
        <f>SUM($M$17:M17)</f>
        <v>0</v>
      </c>
    </row>
    <row r="18" spans="1:14" ht="15" customHeight="1" x14ac:dyDescent="0.4">
      <c r="A18" s="101" t="str">
        <f>IF(Sheet1!$J$20="","Counterparty 3",Sheet1!$J$20&amp;" (CP3)")</f>
        <v>Counterparty 3</v>
      </c>
      <c r="B18" s="118" t="s">
        <v>788</v>
      </c>
      <c r="C18" s="91" t="str">
        <f t="shared" si="0"/>
        <v/>
      </c>
      <c r="D18" s="92" t="str">
        <f>IF(F18="","",Sheet1!$J$9&amp;"_"&amp;Sheet1!$J$10&amp;"_CP3_"&amp;N18&amp;"_Address.pdf")</f>
        <v/>
      </c>
      <c r="E18" s="127"/>
      <c r="F18" s="42" t="str">
        <f>IF(Sheet1!$T$20="","",Sheet1!$T$20)</f>
        <v/>
      </c>
      <c r="G18" s="42" t="str">
        <f t="shared" si="1"/>
        <v/>
      </c>
      <c r="H18" s="42" t="str">
        <f t="shared" si="2"/>
        <v/>
      </c>
      <c r="I18" s="42" t="str">
        <f t="shared" si="3"/>
        <v/>
      </c>
      <c r="J18" s="42" t="str">
        <f t="shared" si="4"/>
        <v/>
      </c>
      <c r="K18" s="42" t="str">
        <f t="shared" si="5"/>
        <v/>
      </c>
      <c r="L18" s="42" t="str">
        <f>IF(K18="","","https://www.google.com/search?q="&amp;K18&amp;"&amp;num=100&amp;hl=en")</f>
        <v/>
      </c>
      <c r="M18" s="42">
        <f t="shared" si="6"/>
        <v>0</v>
      </c>
      <c r="N18" s="42">
        <f>SUM($M$17:M18)</f>
        <v>0</v>
      </c>
    </row>
    <row r="19" spans="1:14" ht="15" customHeight="1" x14ac:dyDescent="0.4">
      <c r="A19" s="102" t="str">
        <f>IF(Sheet1!$J$20="","Counterparty 3",Sheet1!$J$20&amp;" (CP3)")</f>
        <v>Counterparty 3</v>
      </c>
      <c r="B19" s="119" t="s">
        <v>789</v>
      </c>
      <c r="C19" s="93" t="str">
        <f t="shared" si="0"/>
        <v/>
      </c>
      <c r="D19" s="94" t="str">
        <f>IF(F19="","",Sheet1!$J$9&amp;"_"&amp;Sheet1!$J$10&amp;"_CP3_"&amp;N19&amp;"_Google+Address.pdf")</f>
        <v/>
      </c>
      <c r="E19" s="127"/>
      <c r="F19" s="42" t="str">
        <f>IF(OR(Sheet1!$J$20="",Sheet1!$T$20=""),"",Sheet1!$J$20&amp;" "&amp;Sheet1!$T$20)</f>
        <v/>
      </c>
      <c r="G19" s="42" t="str">
        <f t="shared" si="1"/>
        <v/>
      </c>
      <c r="H19" s="42" t="str">
        <f t="shared" si="2"/>
        <v/>
      </c>
      <c r="I19" s="42" t="str">
        <f t="shared" si="3"/>
        <v/>
      </c>
      <c r="J19" s="42" t="str">
        <f t="shared" si="4"/>
        <v/>
      </c>
      <c r="K19" s="42" t="str">
        <f t="shared" si="5"/>
        <v/>
      </c>
      <c r="L19" s="42" t="str">
        <f>IF(K19="","","https://www.google.com/search?q="&amp;K19&amp;"&amp;num=100&amp;hl=en")</f>
        <v/>
      </c>
      <c r="M19" s="42">
        <f t="shared" si="6"/>
        <v>0</v>
      </c>
      <c r="N19" s="42">
        <f>SUM($M$17:M19)</f>
        <v>0</v>
      </c>
    </row>
    <row r="20" spans="1:14" ht="15" customHeight="1" x14ac:dyDescent="0.4">
      <c r="A20" s="101" t="str">
        <f>IF(Sheet1!$J$20="","Counterparty 3",Sheet1!$J$20&amp;" (CP3)")</f>
        <v>Counterparty 3</v>
      </c>
      <c r="B20" s="118" t="s">
        <v>790</v>
      </c>
      <c r="C20" s="91" t="str">
        <f t="shared" si="0"/>
        <v/>
      </c>
      <c r="D20" s="92" t="str">
        <f>IF(F20="","",Sheet1!$J$9&amp;"_"&amp;Sheet1!$J$10&amp;"_CP3_"&amp;N20&amp;"_Negative News 1.pdf")</f>
        <v/>
      </c>
      <c r="E20" s="127"/>
      <c r="F20" s="4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42" t="str">
        <f t="shared" si="1"/>
        <v/>
      </c>
      <c r="H20" s="42" t="str">
        <f t="shared" si="2"/>
        <v/>
      </c>
      <c r="I20" s="42" t="str">
        <f t="shared" si="3"/>
        <v/>
      </c>
      <c r="J20" s="42" t="str">
        <f t="shared" si="4"/>
        <v/>
      </c>
      <c r="K20" s="42" t="str">
        <f t="shared" si="5"/>
        <v/>
      </c>
      <c r="L20" s="42" t="str">
        <f>IF(K20="","","https://www.google.com/search?q="&amp;K20&amp;"&amp;num=100&amp;hl=en")</f>
        <v/>
      </c>
      <c r="M20" s="42">
        <f t="shared" si="6"/>
        <v>0</v>
      </c>
      <c r="N20" s="42">
        <f>SUM($M$17:M20)</f>
        <v>0</v>
      </c>
    </row>
    <row r="21" spans="1:14" ht="15" customHeight="1" x14ac:dyDescent="0.4">
      <c r="A21" s="102" t="str">
        <f>IF(Sheet1!$J$20="","Counterparty 3",Sheet1!$J$20&amp;" (CP3)")</f>
        <v>Counterparty 3</v>
      </c>
      <c r="B21" s="119" t="s">
        <v>791</v>
      </c>
      <c r="C21" s="93" t="str">
        <f t="shared" si="0"/>
        <v/>
      </c>
      <c r="D21" s="94" t="str">
        <f>IF(F21="","",Sheet1!$J$9&amp;"_"&amp;Sheet1!$J$10&amp;"_CP3_"&amp;N21&amp;"_Negative News 2.pdf")</f>
        <v/>
      </c>
      <c r="E21" s="127"/>
      <c r="F21" s="4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42" t="str">
        <f t="shared" si="1"/>
        <v/>
      </c>
      <c r="H21" s="42" t="str">
        <f t="shared" si="2"/>
        <v/>
      </c>
      <c r="I21" s="42" t="str">
        <f t="shared" si="3"/>
        <v/>
      </c>
      <c r="J21" s="42" t="str">
        <f t="shared" si="4"/>
        <v/>
      </c>
      <c r="K21" s="42" t="str">
        <f t="shared" si="5"/>
        <v/>
      </c>
      <c r="L21" s="42" t="str">
        <f>IF(K21="","","https://www.google.com/search?q="&amp;K21&amp;"&amp;num=100&amp;hl=en&amp;start=100")</f>
        <v/>
      </c>
      <c r="M21" s="42">
        <f t="shared" si="6"/>
        <v>0</v>
      </c>
      <c r="N21" s="42">
        <f>SUM($M$17:M21)</f>
        <v>0</v>
      </c>
    </row>
    <row r="22" spans="1:14" ht="15" customHeight="1" x14ac:dyDescent="0.35">
      <c r="A22" s="103" t="str">
        <f>IF(Sheet1!$J$21="","Counterparty 4",Sheet1!$J$21&amp;" (CP4)")</f>
        <v>Counterparty 4</v>
      </c>
      <c r="B22" s="120" t="s">
        <v>787</v>
      </c>
      <c r="C22" s="95" t="str">
        <f t="shared" si="0"/>
        <v/>
      </c>
      <c r="D22" s="96" t="str">
        <f>IF(F22="","",Sheet1!$J$9&amp;"_"&amp;Sheet1!$J$10&amp;"_CP4_"&amp;N22&amp;"_Google.pdf")</f>
        <v/>
      </c>
      <c r="E22" s="124"/>
      <c r="F22" s="42" t="str">
        <f>IF(Sheet1!$J$21="","",Sheet1!$J$21)</f>
        <v/>
      </c>
      <c r="G22" s="42" t="str">
        <f t="shared" si="1"/>
        <v/>
      </c>
      <c r="H22" s="42" t="str">
        <f t="shared" si="2"/>
        <v/>
      </c>
      <c r="I22" s="42" t="str">
        <f t="shared" si="3"/>
        <v/>
      </c>
      <c r="J22" s="42" t="str">
        <f t="shared" si="4"/>
        <v/>
      </c>
      <c r="K22" s="42" t="str">
        <f t="shared" si="5"/>
        <v/>
      </c>
      <c r="L22" s="42" t="str">
        <f>IF(K22="","","https://www.google.com/search?q="&amp;K22&amp;"&amp;num=100&amp;hl=en")</f>
        <v/>
      </c>
      <c r="M22" s="42">
        <f t="shared" si="6"/>
        <v>0</v>
      </c>
      <c r="N22" s="42">
        <f>SUM($M$22:M22)</f>
        <v>0</v>
      </c>
    </row>
    <row r="23" spans="1:14" ht="15" customHeight="1" x14ac:dyDescent="0.35">
      <c r="A23" s="98" t="str">
        <f>IF(Sheet1!$J$21="","Counterparty 4",Sheet1!$J$21&amp;" (CP4)")</f>
        <v>Counterparty 4</v>
      </c>
      <c r="B23" s="115" t="s">
        <v>788</v>
      </c>
      <c r="C23" s="85" t="str">
        <f t="shared" si="0"/>
        <v/>
      </c>
      <c r="D23" s="86" t="str">
        <f>IF(F23="","",Sheet1!$J$9&amp;"_"&amp;Sheet1!$J$10&amp;"_CP4_"&amp;N23&amp;"_Address.pdf")</f>
        <v/>
      </c>
      <c r="E23" s="125"/>
      <c r="F23" s="42" t="str">
        <f>IF(Sheet1!$T$21="","",Sheet1!$T$21)</f>
        <v/>
      </c>
      <c r="G23" s="42" t="str">
        <f t="shared" si="1"/>
        <v/>
      </c>
      <c r="H23" s="42" t="str">
        <f t="shared" si="2"/>
        <v/>
      </c>
      <c r="I23" s="42" t="str">
        <f t="shared" si="3"/>
        <v/>
      </c>
      <c r="J23" s="42" t="str">
        <f t="shared" si="4"/>
        <v/>
      </c>
      <c r="K23" s="42" t="str">
        <f t="shared" si="5"/>
        <v/>
      </c>
      <c r="L23" s="42" t="str">
        <f>IF(K23="","","https://www.google.com/search?q="&amp;K23&amp;"&amp;num=100&amp;hl=en")</f>
        <v/>
      </c>
      <c r="M23" s="42">
        <f t="shared" si="6"/>
        <v>0</v>
      </c>
      <c r="N23" s="42">
        <f>SUM($M$22:M23)</f>
        <v>0</v>
      </c>
    </row>
    <row r="24" spans="1:14" ht="15" customHeight="1" x14ac:dyDescent="0.35">
      <c r="A24" s="99" t="str">
        <f>IF(Sheet1!$J$21="","Counterparty 4",Sheet1!$J$21&amp;" (CP4)")</f>
        <v>Counterparty 4</v>
      </c>
      <c r="B24" s="116" t="s">
        <v>789</v>
      </c>
      <c r="C24" s="87" t="str">
        <f t="shared" si="0"/>
        <v/>
      </c>
      <c r="D24" s="88" t="str">
        <f>IF(F24="","",Sheet1!$J$9&amp;"_"&amp;Sheet1!$J$10&amp;"_CP4_"&amp;N24&amp;"_Google+Address.pdf")</f>
        <v/>
      </c>
      <c r="E24" s="125"/>
      <c r="F24" s="42" t="str">
        <f>IF(OR(Sheet1!$J$21="",Sheet1!$T$21=""),"",Sheet1!$J$21&amp;" "&amp;Sheet1!$T$21)</f>
        <v/>
      </c>
      <c r="G24" s="42" t="str">
        <f t="shared" si="1"/>
        <v/>
      </c>
      <c r="H24" s="42" t="str">
        <f t="shared" si="2"/>
        <v/>
      </c>
      <c r="I24" s="42" t="str">
        <f t="shared" si="3"/>
        <v/>
      </c>
      <c r="J24" s="42" t="str">
        <f t="shared" si="4"/>
        <v/>
      </c>
      <c r="K24" s="42" t="str">
        <f t="shared" si="5"/>
        <v/>
      </c>
      <c r="L24" s="42" t="str">
        <f>IF(K24="","","https://www.google.com/search?q="&amp;K24&amp;"&amp;num=100&amp;hl=en")</f>
        <v/>
      </c>
      <c r="M24" s="42">
        <f t="shared" si="6"/>
        <v>0</v>
      </c>
      <c r="N24" s="42">
        <f>SUM($M$22:M24)</f>
        <v>0</v>
      </c>
    </row>
    <row r="25" spans="1:14" ht="15" customHeight="1" x14ac:dyDescent="0.35">
      <c r="A25" s="98" t="str">
        <f>IF(Sheet1!$J$21="","Counterparty 4",Sheet1!$J$21&amp;" (CP4)")</f>
        <v>Counterparty 4</v>
      </c>
      <c r="B25" s="115" t="s">
        <v>790</v>
      </c>
      <c r="C25" s="85" t="str">
        <f t="shared" si="0"/>
        <v/>
      </c>
      <c r="D25" s="86" t="str">
        <f>IF(F25="","",Sheet1!$J$9&amp;"_"&amp;Sheet1!$J$10&amp;"_CP4_"&amp;N25&amp;"_Negative News 1.pdf")</f>
        <v/>
      </c>
      <c r="E25" s="125"/>
      <c r="F25" s="4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42" t="str">
        <f t="shared" si="1"/>
        <v/>
      </c>
      <c r="H25" s="42" t="str">
        <f t="shared" si="2"/>
        <v/>
      </c>
      <c r="I25" s="42" t="str">
        <f t="shared" si="3"/>
        <v/>
      </c>
      <c r="J25" s="42" t="str">
        <f t="shared" si="4"/>
        <v/>
      </c>
      <c r="K25" s="42" t="str">
        <f t="shared" si="5"/>
        <v/>
      </c>
      <c r="L25" s="42" t="str">
        <f>IF(K25="","","https://www.google.com/search?q="&amp;K25&amp;"&amp;num=100&amp;hl=en")</f>
        <v/>
      </c>
      <c r="M25" s="42">
        <f t="shared" si="6"/>
        <v>0</v>
      </c>
      <c r="N25" s="42">
        <f>SUM($M$22:M25)</f>
        <v>0</v>
      </c>
    </row>
    <row r="26" spans="1:14" ht="15" customHeight="1" x14ac:dyDescent="0.35">
      <c r="A26" s="99" t="str">
        <f>IF(Sheet1!$J$21="","Counterparty 4",Sheet1!$J$21&amp;" (CP4)")</f>
        <v>Counterparty 4</v>
      </c>
      <c r="B26" s="116" t="s">
        <v>791</v>
      </c>
      <c r="C26" s="87" t="str">
        <f t="shared" si="0"/>
        <v/>
      </c>
      <c r="D26" s="88" t="str">
        <f>IF(F26="","",Sheet1!$J$9&amp;"_"&amp;Sheet1!$J$10&amp;"_CP4_"&amp;N26&amp;"_Negative News 2.pdf")</f>
        <v/>
      </c>
      <c r="E26" s="125"/>
      <c r="F26" s="4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42" t="str">
        <f t="shared" si="1"/>
        <v/>
      </c>
      <c r="H26" s="42" t="str">
        <f t="shared" si="2"/>
        <v/>
      </c>
      <c r="I26" s="42" t="str">
        <f t="shared" si="3"/>
        <v/>
      </c>
      <c r="J26" s="42" t="str">
        <f t="shared" si="4"/>
        <v/>
      </c>
      <c r="K26" s="42" t="str">
        <f t="shared" si="5"/>
        <v/>
      </c>
      <c r="L26" s="42" t="str">
        <f>IF(K26="","","https://www.google.com/search?q="&amp;K26&amp;"&amp;num=100&amp;hl=en&amp;start=100")</f>
        <v/>
      </c>
      <c r="M26" s="42">
        <f t="shared" si="6"/>
        <v>0</v>
      </c>
      <c r="N26" s="42">
        <f>SUM($M$22:M26)</f>
        <v>0</v>
      </c>
    </row>
    <row r="27" spans="1:14" ht="15" customHeight="1" x14ac:dyDescent="0.35">
      <c r="A27" s="100" t="str">
        <f>IF(Sheet1!$J$22="","Counterparty 5",Sheet1!$J$22&amp;" (CP5)")</f>
        <v>Counterparty 5</v>
      </c>
      <c r="B27" s="117" t="s">
        <v>787</v>
      </c>
      <c r="C27" s="89" t="str">
        <f t="shared" si="0"/>
        <v/>
      </c>
      <c r="D27" s="90" t="str">
        <f>IF(F27="","",Sheet1!$J$9&amp;"_"&amp;Sheet1!$J$10&amp;"_CP5_"&amp;N27&amp;"_Google.pdf")</f>
        <v/>
      </c>
      <c r="E27" s="122"/>
      <c r="F27" s="42" t="str">
        <f>IF(Sheet1!$J$22="","",Sheet1!$J$22)</f>
        <v/>
      </c>
      <c r="G27" s="42" t="str">
        <f t="shared" si="1"/>
        <v/>
      </c>
      <c r="H27" s="42" t="str">
        <f t="shared" si="2"/>
        <v/>
      </c>
      <c r="I27" s="42" t="str">
        <f t="shared" si="3"/>
        <v/>
      </c>
      <c r="J27" s="42" t="str">
        <f t="shared" si="4"/>
        <v/>
      </c>
      <c r="K27" s="42" t="str">
        <f t="shared" si="5"/>
        <v/>
      </c>
      <c r="L27" s="42" t="str">
        <f>IF(K27="","","https://www.google.com/search?q="&amp;K27&amp;"&amp;num=100&amp;hl=en")</f>
        <v/>
      </c>
      <c r="M27" s="42">
        <f t="shared" si="6"/>
        <v>0</v>
      </c>
      <c r="N27" s="42">
        <f>SUM($M$27:M27)</f>
        <v>0</v>
      </c>
    </row>
    <row r="28" spans="1:14" ht="15" customHeight="1" x14ac:dyDescent="0.35">
      <c r="A28" s="101" t="str">
        <f>IF(Sheet1!$J$22="","Counterparty 5",Sheet1!$J$22&amp;" (CP5)")</f>
        <v>Counterparty 5</v>
      </c>
      <c r="B28" s="118" t="s">
        <v>788</v>
      </c>
      <c r="C28" s="91" t="str">
        <f t="shared" si="0"/>
        <v/>
      </c>
      <c r="D28" s="92" t="str">
        <f>IF(F28="","",Sheet1!$J$9&amp;"_"&amp;Sheet1!$J$10&amp;"_CP5_"&amp;N28&amp;"_Address.pdf")</f>
        <v/>
      </c>
      <c r="E28" s="104"/>
      <c r="F28" s="42" t="str">
        <f>IF(Sheet1!$T$22="","",Sheet1!$T$22)</f>
        <v/>
      </c>
      <c r="G28" s="42" t="str">
        <f t="shared" si="1"/>
        <v/>
      </c>
      <c r="H28" s="42" t="str">
        <f t="shared" si="2"/>
        <v/>
      </c>
      <c r="I28" s="42" t="str">
        <f t="shared" si="3"/>
        <v/>
      </c>
      <c r="J28" s="42" t="str">
        <f t="shared" si="4"/>
        <v/>
      </c>
      <c r="K28" s="42" t="str">
        <f t="shared" si="5"/>
        <v/>
      </c>
      <c r="L28" s="42" t="str">
        <f>IF(K28="","","https://www.google.com/search?q="&amp;K28&amp;"&amp;num=100&amp;hl=en")</f>
        <v/>
      </c>
      <c r="M28" s="42">
        <f t="shared" si="6"/>
        <v>0</v>
      </c>
      <c r="N28" s="42">
        <f>SUM($M$27:M28)</f>
        <v>0</v>
      </c>
    </row>
    <row r="29" spans="1:14" ht="15" customHeight="1" x14ac:dyDescent="0.35">
      <c r="A29" s="102" t="str">
        <f>IF(Sheet1!$J$22="","Counterparty 5",Sheet1!$J$22&amp;" (CP5)")</f>
        <v>Counterparty 5</v>
      </c>
      <c r="B29" s="119" t="s">
        <v>789</v>
      </c>
      <c r="C29" s="93" t="str">
        <f t="shared" si="0"/>
        <v/>
      </c>
      <c r="D29" s="94" t="str">
        <f>IF(F29="","",Sheet1!$J$9&amp;"_"&amp;Sheet1!$J$10&amp;"_CP5_"&amp;N29&amp;"_Google+Address.pdf")</f>
        <v/>
      </c>
      <c r="E29" s="105"/>
      <c r="F29" s="42" t="str">
        <f>IF(OR(Sheet1!$J$22="",Sheet1!$T$22=""),"",Sheet1!$J$22&amp;" "&amp;Sheet1!$T$22)</f>
        <v/>
      </c>
      <c r="G29" s="42" t="str">
        <f t="shared" si="1"/>
        <v/>
      </c>
      <c r="H29" s="42" t="str">
        <f t="shared" si="2"/>
        <v/>
      </c>
      <c r="I29" s="42" t="str">
        <f t="shared" si="3"/>
        <v/>
      </c>
      <c r="J29" s="42" t="str">
        <f t="shared" si="4"/>
        <v/>
      </c>
      <c r="K29" s="42" t="str">
        <f t="shared" si="5"/>
        <v/>
      </c>
      <c r="L29" s="42" t="str">
        <f>IF(K29="","","https://www.google.com/search?q="&amp;K29&amp;"&amp;num=100&amp;hl=en")</f>
        <v/>
      </c>
      <c r="M29" s="42">
        <f t="shared" si="6"/>
        <v>0</v>
      </c>
      <c r="N29" s="42">
        <f>SUM($M$27:M29)</f>
        <v>0</v>
      </c>
    </row>
    <row r="30" spans="1:14" ht="15" customHeight="1" x14ac:dyDescent="0.35">
      <c r="A30" s="101" t="str">
        <f>IF(Sheet1!$J$22="","Counterparty 5",Sheet1!$J$22&amp;" (CP5)")</f>
        <v>Counterparty 5</v>
      </c>
      <c r="B30" s="118" t="s">
        <v>790</v>
      </c>
      <c r="C30" s="91" t="str">
        <f t="shared" si="0"/>
        <v/>
      </c>
      <c r="D30" s="92" t="str">
        <f>IF(F30="","",Sheet1!$J$9&amp;"_"&amp;Sheet1!$J$10&amp;"_CP5_"&amp;N30&amp;"_Negative News 1.pdf")</f>
        <v/>
      </c>
      <c r="E30" s="123"/>
      <c r="F30" s="4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42" t="str">
        <f t="shared" si="1"/>
        <v/>
      </c>
      <c r="H30" s="42" t="str">
        <f t="shared" si="2"/>
        <v/>
      </c>
      <c r="I30" s="42" t="str">
        <f t="shared" si="3"/>
        <v/>
      </c>
      <c r="J30" s="42" t="str">
        <f t="shared" si="4"/>
        <v/>
      </c>
      <c r="K30" s="42" t="str">
        <f t="shared" si="5"/>
        <v/>
      </c>
      <c r="L30" s="42" t="str">
        <f>IF(K30="","","https://www.google.com/search?q="&amp;K30&amp;"&amp;num=100&amp;hl=en")</f>
        <v/>
      </c>
      <c r="M30" s="42">
        <f t="shared" si="6"/>
        <v>0</v>
      </c>
      <c r="N30" s="42">
        <f>SUM($M$27:M30)</f>
        <v>0</v>
      </c>
    </row>
    <row r="31" spans="1:14" ht="15" customHeight="1" x14ac:dyDescent="0.35">
      <c r="A31" s="102" t="str">
        <f>IF(Sheet1!$J$22="","Counterparty 5",Sheet1!$J$22&amp;" (CP5)")</f>
        <v>Counterparty 5</v>
      </c>
      <c r="B31" s="119" t="s">
        <v>791</v>
      </c>
      <c r="C31" s="93" t="str">
        <f t="shared" si="0"/>
        <v/>
      </c>
      <c r="D31" s="94" t="str">
        <f>IF(F31="","",Sheet1!$J$9&amp;"_"&amp;Sheet1!$J$10&amp;"_CP5_"&amp;N31&amp;"_Negative News 2.pdf")</f>
        <v/>
      </c>
      <c r="E31" s="123"/>
      <c r="F31" s="4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42" t="str">
        <f t="shared" si="1"/>
        <v/>
      </c>
      <c r="H31" s="42" t="str">
        <f t="shared" si="2"/>
        <v/>
      </c>
      <c r="I31" s="42" t="str">
        <f t="shared" si="3"/>
        <v/>
      </c>
      <c r="J31" s="42" t="str">
        <f t="shared" si="4"/>
        <v/>
      </c>
      <c r="K31" s="42" t="str">
        <f t="shared" si="5"/>
        <v/>
      </c>
      <c r="L31" s="42" t="str">
        <f>IF(K31="","","https://www.google.com/search?q="&amp;K31&amp;"&amp;num=100&amp;hl=en&amp;start=100")</f>
        <v/>
      </c>
      <c r="M31" s="42">
        <f t="shared" si="6"/>
        <v>0</v>
      </c>
      <c r="N31" s="42">
        <f>SUM($M$27:M31)</f>
        <v>0</v>
      </c>
    </row>
    <row r="32" spans="1:14" ht="15" customHeight="1" x14ac:dyDescent="0.35">
      <c r="A32" s="103" t="str">
        <f>IF(Sheet1!$J$23="","Counterparty 6",Sheet1!$J$23&amp;" (CP6)")</f>
        <v>Counterparty 6</v>
      </c>
      <c r="B32" s="120" t="s">
        <v>787</v>
      </c>
      <c r="C32" s="95" t="str">
        <f t="shared" si="0"/>
        <v/>
      </c>
      <c r="D32" s="96" t="str">
        <f>IF(F32="","",Sheet1!$J$9&amp;"_"&amp;Sheet1!$J$10&amp;"_CP6_"&amp;N32&amp;"_Google.pdf")</f>
        <v/>
      </c>
      <c r="E32" s="124"/>
      <c r="F32" s="42" t="str">
        <f>IF(Sheet1!$J$23="","",Sheet1!$J$23)</f>
        <v/>
      </c>
      <c r="G32" s="42" t="str">
        <f t="shared" si="1"/>
        <v/>
      </c>
      <c r="H32" s="42" t="str">
        <f t="shared" si="2"/>
        <v/>
      </c>
      <c r="I32" s="42" t="str">
        <f t="shared" si="3"/>
        <v/>
      </c>
      <c r="J32" s="42" t="str">
        <f t="shared" si="4"/>
        <v/>
      </c>
      <c r="K32" s="42" t="str">
        <f t="shared" si="5"/>
        <v/>
      </c>
      <c r="L32" s="42" t="str">
        <f>IF(K32="","","https://www.google.com/search?q="&amp;K32&amp;"&amp;num=100&amp;hl=en")</f>
        <v/>
      </c>
      <c r="M32" s="42">
        <f t="shared" si="6"/>
        <v>0</v>
      </c>
      <c r="N32" s="42">
        <f>SUM($M$32:M32)</f>
        <v>0</v>
      </c>
    </row>
    <row r="33" spans="1:14" ht="15" customHeight="1" x14ac:dyDescent="0.35">
      <c r="A33" s="98" t="str">
        <f>IF(Sheet1!$J$23="","Counterparty 6",Sheet1!$J$23&amp;" (CP6)")</f>
        <v>Counterparty 6</v>
      </c>
      <c r="B33" s="115" t="s">
        <v>788</v>
      </c>
      <c r="C33" s="85" t="str">
        <f t="shared" si="0"/>
        <v/>
      </c>
      <c r="D33" s="86" t="str">
        <f>IF(F33="","",Sheet1!$J$9&amp;"_"&amp;Sheet1!$J$10&amp;"_CP6_"&amp;N33&amp;"_Address.pdf")</f>
        <v/>
      </c>
      <c r="E33" s="106"/>
      <c r="F33" s="42" t="str">
        <f>IF(Sheet1!$T$23="","",Sheet1!$T$23)</f>
        <v/>
      </c>
      <c r="G33" s="42" t="str">
        <f t="shared" si="1"/>
        <v/>
      </c>
      <c r="H33" s="42" t="str">
        <f t="shared" si="2"/>
        <v/>
      </c>
      <c r="I33" s="42" t="str">
        <f t="shared" si="3"/>
        <v/>
      </c>
      <c r="J33" s="42" t="str">
        <f t="shared" si="4"/>
        <v/>
      </c>
      <c r="K33" s="42" t="str">
        <f t="shared" si="5"/>
        <v/>
      </c>
      <c r="L33" s="42" t="str">
        <f>IF(K33="","","https://www.google.com/search?q="&amp;K33&amp;"&amp;num=100&amp;hl=en")</f>
        <v/>
      </c>
      <c r="M33" s="42">
        <f t="shared" si="6"/>
        <v>0</v>
      </c>
      <c r="N33" s="42">
        <f>SUM($M$32:M33)</f>
        <v>0</v>
      </c>
    </row>
    <row r="34" spans="1:14" ht="15" customHeight="1" x14ac:dyDescent="0.35">
      <c r="A34" s="99" t="str">
        <f>IF(Sheet1!$J$23="","Counterparty 6",Sheet1!$J$23&amp;" (CP6)")</f>
        <v>Counterparty 6</v>
      </c>
      <c r="B34" s="116" t="s">
        <v>789</v>
      </c>
      <c r="C34" s="87" t="str">
        <f t="shared" si="0"/>
        <v/>
      </c>
      <c r="D34" s="88" t="str">
        <f>IF(F34="","",Sheet1!$J$9&amp;"_"&amp;Sheet1!$J$10&amp;"_CP6_"&amp;N34&amp;"_Google+Address.pdf")</f>
        <v/>
      </c>
      <c r="E34" s="107"/>
      <c r="F34" s="42" t="str">
        <f>IF(OR(Sheet1!$J$23="",Sheet1!$T$23=""),"",Sheet1!$J$23&amp;" "&amp;Sheet1!$T$23)</f>
        <v/>
      </c>
      <c r="G34" s="42" t="str">
        <f t="shared" si="1"/>
        <v/>
      </c>
      <c r="H34" s="42" t="str">
        <f t="shared" si="2"/>
        <v/>
      </c>
      <c r="I34" s="42" t="str">
        <f t="shared" si="3"/>
        <v/>
      </c>
      <c r="J34" s="42" t="str">
        <f t="shared" si="4"/>
        <v/>
      </c>
      <c r="K34" s="42" t="str">
        <f t="shared" si="5"/>
        <v/>
      </c>
      <c r="L34" s="42" t="str">
        <f>IF(K34="","","https://www.google.com/search?q="&amp;K34&amp;"&amp;num=100&amp;hl=en")</f>
        <v/>
      </c>
      <c r="M34" s="42">
        <f t="shared" si="6"/>
        <v>0</v>
      </c>
      <c r="N34" s="42">
        <f>SUM($M$32:M34)</f>
        <v>0</v>
      </c>
    </row>
    <row r="35" spans="1:14" ht="15" customHeight="1" x14ac:dyDescent="0.35">
      <c r="A35" s="98" t="str">
        <f>IF(Sheet1!$J$23="","Counterparty 6",Sheet1!$J$23&amp;" (CP6)")</f>
        <v>Counterparty 6</v>
      </c>
      <c r="B35" s="115" t="s">
        <v>790</v>
      </c>
      <c r="C35" s="85" t="str">
        <f t="shared" si="0"/>
        <v/>
      </c>
      <c r="D35" s="86" t="str">
        <f>IF(F35="","",Sheet1!$J$9&amp;"_"&amp;Sheet1!$J$10&amp;"_CP6_"&amp;N35&amp;"_Negative News 1.pdf")</f>
        <v/>
      </c>
      <c r="E35" s="125"/>
      <c r="F35" s="4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42" t="str">
        <f t="shared" si="1"/>
        <v/>
      </c>
      <c r="H35" s="42" t="str">
        <f t="shared" si="2"/>
        <v/>
      </c>
      <c r="I35" s="42" t="str">
        <f t="shared" si="3"/>
        <v/>
      </c>
      <c r="J35" s="42" t="str">
        <f t="shared" si="4"/>
        <v/>
      </c>
      <c r="K35" s="42" t="str">
        <f t="shared" si="5"/>
        <v/>
      </c>
      <c r="L35" s="42" t="str">
        <f>IF(K35="","","https://www.google.com/search?q="&amp;K35&amp;"&amp;num=100&amp;hl=en")</f>
        <v/>
      </c>
      <c r="M35" s="42">
        <f t="shared" si="6"/>
        <v>0</v>
      </c>
      <c r="N35" s="42">
        <f>SUM($M$32:M35)</f>
        <v>0</v>
      </c>
    </row>
    <row r="36" spans="1:14" ht="15" customHeight="1" thickBot="1" x14ac:dyDescent="0.4">
      <c r="A36" s="111" t="str">
        <f>IF(Sheet1!$J$23="","Counterparty 6",Sheet1!$J$23&amp;" (CP6)")</f>
        <v>Counterparty 6</v>
      </c>
      <c r="B36" s="121" t="s">
        <v>791</v>
      </c>
      <c r="C36" s="112" t="str">
        <f t="shared" si="0"/>
        <v/>
      </c>
      <c r="D36" s="113" t="str">
        <f>IF(F36="","",Sheet1!$J$9&amp;"_"&amp;Sheet1!$J$10&amp;"_CP6_"&amp;N36&amp;"_Negative News 2.pdf")</f>
        <v/>
      </c>
      <c r="E36" s="126"/>
      <c r="F36" s="4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42" t="str">
        <f t="shared" si="1"/>
        <v/>
      </c>
      <c r="H36" s="42" t="str">
        <f t="shared" si="2"/>
        <v/>
      </c>
      <c r="I36" s="42" t="str">
        <f t="shared" si="3"/>
        <v/>
      </c>
      <c r="J36" s="42" t="str">
        <f t="shared" si="4"/>
        <v/>
      </c>
      <c r="K36" s="42" t="str">
        <f t="shared" si="5"/>
        <v/>
      </c>
      <c r="L36" s="42" t="str">
        <f>IF(K36="","","https://www.google.com/search?q="&amp;K36&amp;"&amp;num=100&amp;hl=en&amp;start=100")</f>
        <v/>
      </c>
      <c r="M36" s="42">
        <f t="shared" si="6"/>
        <v>0</v>
      </c>
      <c r="N36" s="42">
        <f>SUM($M$32:M36)</f>
        <v>0</v>
      </c>
    </row>
    <row r="37" spans="1:14" x14ac:dyDescent="0.35"/>
  </sheetData>
  <hyperlinks>
    <hyperlink ref="E2" r:id="rId1" xr:uid="{474963BC-242B-4904-A423-8356BDDB3F41}"/>
    <hyperlink ref="E3" r:id="rId2" xr:uid="{218BB713-6E79-4791-B309-34DBC5350C72}"/>
    <hyperlink ref="E4" r:id="rId3" xr:uid="{C38B5287-F5C9-490D-BAB6-80AA2B0F434E}"/>
    <hyperlink ref="E5" r:id="rId4" xr:uid="{7E3A685F-8FF9-4981-A62F-75B6BAFB4960}"/>
    <hyperlink ref="E6" r:id="rId5" xr:uid="{80C89402-271A-4F03-B114-1B26A1C2D28D}"/>
  </hyperlinks>
  <pageMargins left="0.75" right="0.75" top="1" bottom="1" header="0.511811023622047" footer="0.511811023622047"/>
  <pageSetup paperSize="9" orientation="portrait" horizontalDpi="300" verticalDpi="30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28" bestFit="1" customWidth="1"/>
    <col min="2" max="2" width="149.453125" style="28" bestFit="1" customWidth="1"/>
    <col min="3" max="3" width="4.81640625" style="28" customWidth="1"/>
    <col min="4" max="13" width="4.81640625" style="28" hidden="1" customWidth="1"/>
    <col min="14" max="14" width="8.81640625" style="28" hidden="1" customWidth="1"/>
    <col min="15" max="16384" width="8.81640625" style="28" hidden="1"/>
  </cols>
  <sheetData>
    <row r="1" spans="1:2" ht="22" customHeight="1" thickBot="1" x14ac:dyDescent="0.4">
      <c r="A1" s="176" t="s">
        <v>2836</v>
      </c>
      <c r="B1" s="177"/>
    </row>
    <row r="2" spans="1:2" ht="20.5" hidden="1" customHeight="1" x14ac:dyDescent="0.35">
      <c r="A2" s="174"/>
      <c r="B2" s="175"/>
    </row>
    <row r="3" spans="1:2" s="29" customFormat="1" ht="20.5" hidden="1" customHeight="1" x14ac:dyDescent="0.35">
      <c r="A3" s="129" t="s">
        <v>792</v>
      </c>
      <c r="B3" s="130" t="s">
        <v>793</v>
      </c>
    </row>
    <row r="4" spans="1:2" ht="16.5" thickBot="1" x14ac:dyDescent="0.4">
      <c r="A4" s="131" t="s">
        <v>794</v>
      </c>
      <c r="B4" s="132" t="s">
        <v>3019</v>
      </c>
    </row>
  </sheetData>
  <mergeCells count="2">
    <mergeCell ref="A2:B2"/>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K13"/>
  <sheetViews>
    <sheetView zoomScale="85" zoomScaleNormal="85" workbookViewId="0">
      <selection activeCell="D17" sqref="D17"/>
    </sheetView>
  </sheetViews>
  <sheetFormatPr defaultColWidth="8.81640625" defaultRowHeight="14.5" x14ac:dyDescent="0.35"/>
  <cols>
    <col min="1" max="1" width="12.08984375" style="187" bestFit="1" customWidth="1"/>
    <col min="2" max="2" width="13.6328125" style="187" bestFit="1" customWidth="1"/>
    <col min="3" max="3" width="30.54296875" style="187" bestFit="1" customWidth="1"/>
    <col min="4" max="4" width="8.90625" style="187" bestFit="1" customWidth="1"/>
    <col min="5" max="5" width="18.7265625" style="187" bestFit="1" customWidth="1"/>
    <col min="6" max="6" width="12.26953125" style="187" bestFit="1" customWidth="1"/>
    <col min="7" max="7" width="30.1796875" style="187" bestFit="1" customWidth="1"/>
    <col min="8" max="8" width="14.36328125" style="187" bestFit="1" customWidth="1"/>
    <col min="9" max="9" width="23.81640625" style="187" bestFit="1" customWidth="1"/>
    <col min="10" max="10" width="7.7265625" style="187" bestFit="1" customWidth="1"/>
    <col min="11" max="11" width="16.7265625" style="187" bestFit="1" customWidth="1"/>
    <col min="12" max="12" width="14.08984375" style="187" bestFit="1" customWidth="1"/>
    <col min="13" max="13" width="4.81640625" style="187" bestFit="1" customWidth="1"/>
    <col min="14" max="14" width="12.26953125" style="187" bestFit="1" customWidth="1"/>
    <col min="15" max="15" width="14.6328125" style="187" bestFit="1" customWidth="1"/>
    <col min="16" max="16" width="18.453125" style="187" bestFit="1" customWidth="1"/>
    <col min="17" max="17" width="18.26953125" style="187" bestFit="1" customWidth="1"/>
    <col min="18" max="18" width="20.54296875" style="187" bestFit="1" customWidth="1"/>
    <col min="19" max="19" width="20.6328125" style="187" bestFit="1" customWidth="1"/>
    <col min="20" max="20" width="16.26953125" style="187" bestFit="1" customWidth="1"/>
    <col min="21" max="21" width="13.90625" style="187" bestFit="1" customWidth="1"/>
    <col min="22" max="22" width="34" style="187" bestFit="1" customWidth="1"/>
    <col min="23" max="23" width="11" style="187" bestFit="1" customWidth="1"/>
    <col min="24" max="24" width="13.90625" style="187" bestFit="1" customWidth="1"/>
    <col min="25" max="25" width="17.7265625" style="187" bestFit="1" customWidth="1"/>
    <col min="26" max="26" width="17.54296875" style="187" bestFit="1" customWidth="1"/>
    <col min="27" max="27" width="19.81640625" style="187" bestFit="1" customWidth="1"/>
    <col min="28" max="28" width="51.08984375" style="187" bestFit="1" customWidth="1"/>
    <col min="29" max="29" width="15.54296875" style="187" bestFit="1" customWidth="1"/>
    <col min="30" max="30" width="10.08984375" style="187" bestFit="1" customWidth="1"/>
    <col min="31" max="31" width="33.1796875" style="187" bestFit="1" customWidth="1"/>
    <col min="32" max="32" width="10.81640625" style="187" bestFit="1" customWidth="1"/>
    <col min="33" max="33" width="12.453125" style="187" bestFit="1" customWidth="1"/>
    <col min="34" max="34" width="10.08984375" style="187" bestFit="1" customWidth="1"/>
    <col min="35" max="35" width="10.81640625" style="187" bestFit="1" customWidth="1"/>
    <col min="36" max="36" width="12.453125" style="187" bestFit="1" customWidth="1"/>
    <col min="37" max="37" width="11.81640625" style="187" bestFit="1" customWidth="1"/>
    <col min="38" max="38" width="10.81640625" style="187" bestFit="1" customWidth="1"/>
    <col min="39" max="39" width="12.453125" style="187" bestFit="1" customWidth="1"/>
    <col min="40" max="40" width="10.08984375" style="187" bestFit="1" customWidth="1"/>
    <col min="41" max="41" width="10.81640625" style="187" bestFit="1" customWidth="1"/>
    <col min="42" max="42" width="12.453125" style="187" bestFit="1" customWidth="1"/>
    <col min="43" max="43" width="15.36328125" style="187" bestFit="1" customWidth="1"/>
    <col min="44" max="44" width="11" style="187" bestFit="1" customWidth="1"/>
    <col min="45" max="45" width="19.08984375" style="187" bestFit="1" customWidth="1"/>
    <col min="46" max="46" width="14" style="187" bestFit="1" customWidth="1"/>
    <col min="47" max="47" width="49.81640625" style="187" bestFit="1" customWidth="1"/>
    <col min="48" max="48" width="6.81640625" style="187" bestFit="1" customWidth="1"/>
    <col min="49" max="49" width="9.81640625" style="187" bestFit="1" customWidth="1"/>
    <col min="50" max="50" width="8.81640625" style="187" customWidth="1"/>
    <col min="51" max="16384" width="8.81640625" style="187"/>
  </cols>
  <sheetData>
    <row r="1" spans="1:37" s="187" customFormat="1" ht="28" x14ac:dyDescent="0.35">
      <c r="A1" s="181" t="s">
        <v>2984</v>
      </c>
      <c r="B1" s="182" t="s">
        <v>2986</v>
      </c>
      <c r="C1" s="182" t="s">
        <v>2987</v>
      </c>
      <c r="D1" s="182" t="s">
        <v>2988</v>
      </c>
      <c r="E1" s="182" t="s">
        <v>2985</v>
      </c>
      <c r="F1" s="182" t="s">
        <v>2989</v>
      </c>
      <c r="G1" s="182" t="s">
        <v>2990</v>
      </c>
      <c r="H1" s="182" t="s">
        <v>2991</v>
      </c>
      <c r="I1" s="182" t="s">
        <v>2992</v>
      </c>
      <c r="J1" s="182" t="s">
        <v>2993</v>
      </c>
      <c r="K1" s="182" t="s">
        <v>2994</v>
      </c>
      <c r="L1" s="182" t="s">
        <v>2995</v>
      </c>
      <c r="M1" s="182" t="s">
        <v>2996</v>
      </c>
      <c r="N1" s="182" t="s">
        <v>2997</v>
      </c>
      <c r="O1" s="182" t="s">
        <v>2998</v>
      </c>
      <c r="P1" s="182" t="s">
        <v>2999</v>
      </c>
      <c r="Q1" s="182" t="s">
        <v>3000</v>
      </c>
      <c r="R1" s="182" t="s">
        <v>3001</v>
      </c>
      <c r="S1" s="182" t="s">
        <v>3002</v>
      </c>
      <c r="T1" s="182" t="s">
        <v>3003</v>
      </c>
      <c r="U1" s="182" t="s">
        <v>3004</v>
      </c>
      <c r="V1" s="182" t="s">
        <v>3005</v>
      </c>
      <c r="W1" s="182" t="s">
        <v>3006</v>
      </c>
      <c r="X1" s="182" t="s">
        <v>3007</v>
      </c>
      <c r="Y1" s="182" t="s">
        <v>3008</v>
      </c>
      <c r="Z1" s="182" t="s">
        <v>3009</v>
      </c>
      <c r="AA1" s="182" t="s">
        <v>3010</v>
      </c>
      <c r="AB1" s="182" t="s">
        <v>3011</v>
      </c>
      <c r="AC1" s="182" t="s">
        <v>3012</v>
      </c>
      <c r="AD1" s="182" t="s">
        <v>3025</v>
      </c>
      <c r="AE1" s="182" t="s">
        <v>3013</v>
      </c>
      <c r="AF1" s="182" t="s">
        <v>3026</v>
      </c>
      <c r="AG1" s="182" t="s">
        <v>3027</v>
      </c>
      <c r="AH1" s="182" t="s">
        <v>3028</v>
      </c>
      <c r="AI1" s="182" t="s">
        <v>3029</v>
      </c>
      <c r="AJ1" s="182" t="s">
        <v>3030</v>
      </c>
      <c r="AK1" s="182" t="s">
        <v>3017</v>
      </c>
    </row>
    <row r="2" spans="1:37" s="187" customFormat="1" x14ac:dyDescent="0.35">
      <c r="A2" s="183">
        <v>2435436031</v>
      </c>
      <c r="B2" s="183" t="s">
        <v>3039</v>
      </c>
      <c r="C2" s="183" t="s">
        <v>3020</v>
      </c>
      <c r="D2" s="183" t="s">
        <v>717</v>
      </c>
      <c r="E2" s="183" t="s">
        <v>3016</v>
      </c>
      <c r="F2" s="183" t="s">
        <v>3040</v>
      </c>
      <c r="G2" s="183" t="s">
        <v>3041</v>
      </c>
      <c r="H2" s="183" t="s">
        <v>3031</v>
      </c>
      <c r="I2" s="183" t="s">
        <v>3032</v>
      </c>
      <c r="J2" s="183" t="s">
        <v>3014</v>
      </c>
      <c r="K2" s="185">
        <v>100000</v>
      </c>
      <c r="L2" s="184">
        <v>46209</v>
      </c>
      <c r="M2" s="183" t="s">
        <v>193</v>
      </c>
      <c r="N2" s="183" t="s">
        <v>3040</v>
      </c>
      <c r="O2" s="183" t="s">
        <v>3038</v>
      </c>
      <c r="P2" s="183"/>
      <c r="Q2" s="183" t="s">
        <v>3038</v>
      </c>
      <c r="R2" s="183"/>
      <c r="S2" s="183" t="s">
        <v>3042</v>
      </c>
      <c r="T2" s="183" t="s">
        <v>208</v>
      </c>
      <c r="U2" s="183" t="s">
        <v>3015</v>
      </c>
      <c r="V2" s="183"/>
      <c r="W2" s="183">
        <v>47319226</v>
      </c>
      <c r="X2" s="183" t="s">
        <v>3038</v>
      </c>
      <c r="Y2" s="183"/>
      <c r="Z2" s="183" t="s">
        <v>3038</v>
      </c>
      <c r="AA2" s="183"/>
      <c r="AB2" s="183" t="s">
        <v>3043</v>
      </c>
      <c r="AC2" s="183" t="s">
        <v>208</v>
      </c>
      <c r="AD2" s="183" t="s">
        <v>3033</v>
      </c>
      <c r="AE2" s="183"/>
      <c r="AF2" s="183" t="s">
        <v>3034</v>
      </c>
      <c r="AG2" s="183" t="s">
        <v>3035</v>
      </c>
      <c r="AH2" s="183" t="s">
        <v>3036</v>
      </c>
      <c r="AI2" s="183" t="s">
        <v>3034</v>
      </c>
      <c r="AJ2" s="183" t="s">
        <v>3035</v>
      </c>
      <c r="AK2" s="183" t="str">
        <f t="shared" ref="AK2:AK5" si="0">IF($M2="DR", $O2, $X2)</f>
        <v>EMBERTECH LTD</v>
      </c>
    </row>
    <row r="3" spans="1:37" s="187" customFormat="1" x14ac:dyDescent="0.35">
      <c r="A3" s="183">
        <v>2435575986</v>
      </c>
      <c r="B3" s="183" t="s">
        <v>3039</v>
      </c>
      <c r="C3" s="183" t="s">
        <v>3020</v>
      </c>
      <c r="D3" s="183" t="s">
        <v>717</v>
      </c>
      <c r="E3" s="183" t="s">
        <v>3016</v>
      </c>
      <c r="F3" s="183" t="s">
        <v>3040</v>
      </c>
      <c r="G3" s="183" t="s">
        <v>3044</v>
      </c>
      <c r="H3" s="183" t="s">
        <v>3031</v>
      </c>
      <c r="I3" s="183" t="s">
        <v>3032</v>
      </c>
      <c r="J3" s="183" t="s">
        <v>3014</v>
      </c>
      <c r="K3" s="185">
        <v>24960</v>
      </c>
      <c r="L3" s="184">
        <v>46210</v>
      </c>
      <c r="M3" s="183" t="s">
        <v>193</v>
      </c>
      <c r="N3" s="183" t="s">
        <v>3040</v>
      </c>
      <c r="O3" s="183" t="s">
        <v>3038</v>
      </c>
      <c r="P3" s="183"/>
      <c r="Q3" s="183" t="s">
        <v>3038</v>
      </c>
      <c r="R3" s="183"/>
      <c r="S3" s="183" t="s">
        <v>3045</v>
      </c>
      <c r="T3" s="183" t="s">
        <v>208</v>
      </c>
      <c r="U3" s="183" t="s">
        <v>3015</v>
      </c>
      <c r="V3" s="183"/>
      <c r="W3" s="183"/>
      <c r="X3" s="183" t="s">
        <v>3038</v>
      </c>
      <c r="Y3" s="183"/>
      <c r="Z3" s="183" t="s">
        <v>3038</v>
      </c>
      <c r="AA3" s="183"/>
      <c r="AB3" s="183" t="s">
        <v>3046</v>
      </c>
      <c r="AC3" s="183" t="s">
        <v>208</v>
      </c>
      <c r="AD3" s="183" t="s">
        <v>3033</v>
      </c>
      <c r="AE3" s="183"/>
      <c r="AF3" s="183" t="s">
        <v>3034</v>
      </c>
      <c r="AG3" s="183" t="s">
        <v>3035</v>
      </c>
      <c r="AH3" s="183" t="s">
        <v>3036</v>
      </c>
      <c r="AI3" s="183" t="s">
        <v>3034</v>
      </c>
      <c r="AJ3" s="183" t="s">
        <v>3035</v>
      </c>
      <c r="AK3" s="183" t="str">
        <f t="shared" si="0"/>
        <v>EMBERTECH LTD</v>
      </c>
    </row>
    <row r="4" spans="1:37" s="187" customFormat="1" x14ac:dyDescent="0.35">
      <c r="A4" s="183">
        <v>2387155215</v>
      </c>
      <c r="B4" s="183" t="s">
        <v>1433</v>
      </c>
      <c r="C4" s="183" t="s">
        <v>3020</v>
      </c>
      <c r="D4" s="183" t="s">
        <v>717</v>
      </c>
      <c r="E4" s="183" t="s">
        <v>3016</v>
      </c>
      <c r="F4" s="183" t="s">
        <v>3040</v>
      </c>
      <c r="G4" s="183" t="s">
        <v>3047</v>
      </c>
      <c r="H4" s="183" t="s">
        <v>3031</v>
      </c>
      <c r="I4" s="183" t="s">
        <v>3032</v>
      </c>
      <c r="J4" s="183" t="s">
        <v>3014</v>
      </c>
      <c r="K4" s="185">
        <v>50000</v>
      </c>
      <c r="L4" s="184">
        <v>46191</v>
      </c>
      <c r="M4" s="183" t="s">
        <v>193</v>
      </c>
      <c r="N4" s="183" t="s">
        <v>3040</v>
      </c>
      <c r="O4" s="183" t="s">
        <v>3038</v>
      </c>
      <c r="P4" s="183"/>
      <c r="Q4" s="183" t="s">
        <v>3038</v>
      </c>
      <c r="R4" s="183"/>
      <c r="S4" s="183" t="s">
        <v>3042</v>
      </c>
      <c r="T4" s="183" t="s">
        <v>208</v>
      </c>
      <c r="U4" s="183" t="s">
        <v>3015</v>
      </c>
      <c r="V4" s="183"/>
      <c r="W4" s="183"/>
      <c r="X4" s="183" t="s">
        <v>3038</v>
      </c>
      <c r="Y4" s="183"/>
      <c r="Z4" s="183" t="s">
        <v>3038</v>
      </c>
      <c r="AA4" s="183"/>
      <c r="AB4" s="183" t="s">
        <v>3048</v>
      </c>
      <c r="AC4" s="183" t="s">
        <v>208</v>
      </c>
      <c r="AD4" s="183" t="s">
        <v>3033</v>
      </c>
      <c r="AE4" s="183"/>
      <c r="AF4" s="183" t="s">
        <v>3034</v>
      </c>
      <c r="AG4" s="183" t="s">
        <v>3035</v>
      </c>
      <c r="AH4" s="183" t="s">
        <v>3036</v>
      </c>
      <c r="AI4" s="183" t="s">
        <v>3034</v>
      </c>
      <c r="AJ4" s="183" t="s">
        <v>3035</v>
      </c>
      <c r="AK4" s="183" t="str">
        <f t="shared" si="0"/>
        <v>EMBERTECH LTD</v>
      </c>
    </row>
    <row r="5" spans="1:37" s="187" customFormat="1" x14ac:dyDescent="0.35">
      <c r="A5" s="183">
        <v>2387181625</v>
      </c>
      <c r="B5" s="183" t="s">
        <v>1433</v>
      </c>
      <c r="C5" s="183" t="s">
        <v>3020</v>
      </c>
      <c r="D5" s="183" t="s">
        <v>717</v>
      </c>
      <c r="E5" s="183" t="s">
        <v>3016</v>
      </c>
      <c r="F5" s="183" t="s">
        <v>3040</v>
      </c>
      <c r="G5" s="183" t="s">
        <v>3049</v>
      </c>
      <c r="H5" s="183" t="s">
        <v>3031</v>
      </c>
      <c r="I5" s="183" t="s">
        <v>3032</v>
      </c>
      <c r="J5" s="183" t="s">
        <v>3014</v>
      </c>
      <c r="K5" s="185">
        <v>50000</v>
      </c>
      <c r="L5" s="184">
        <v>46191</v>
      </c>
      <c r="M5" s="183" t="s">
        <v>193</v>
      </c>
      <c r="N5" s="183" t="s">
        <v>3040</v>
      </c>
      <c r="O5" s="183" t="s">
        <v>3038</v>
      </c>
      <c r="P5" s="183"/>
      <c r="Q5" s="183" t="s">
        <v>3038</v>
      </c>
      <c r="R5" s="183"/>
      <c r="S5" s="183" t="s">
        <v>3042</v>
      </c>
      <c r="T5" s="183" t="s">
        <v>208</v>
      </c>
      <c r="U5" s="183" t="s">
        <v>3015</v>
      </c>
      <c r="V5" s="183"/>
      <c r="W5" s="183"/>
      <c r="X5" s="183" t="s">
        <v>3038</v>
      </c>
      <c r="Y5" s="183"/>
      <c r="Z5" s="183" t="s">
        <v>3038</v>
      </c>
      <c r="AA5" s="183"/>
      <c r="AB5" s="183" t="s">
        <v>3048</v>
      </c>
      <c r="AC5" s="183" t="s">
        <v>208</v>
      </c>
      <c r="AD5" s="183" t="s">
        <v>3033</v>
      </c>
      <c r="AE5" s="183"/>
      <c r="AF5" s="183" t="s">
        <v>3034</v>
      </c>
      <c r="AG5" s="183" t="s">
        <v>3035</v>
      </c>
      <c r="AH5" s="183" t="s">
        <v>3036</v>
      </c>
      <c r="AI5" s="183" t="s">
        <v>3034</v>
      </c>
      <c r="AJ5" s="183" t="s">
        <v>3035</v>
      </c>
      <c r="AK5" s="183" t="str">
        <f t="shared" si="0"/>
        <v>EMBERTECH LTD</v>
      </c>
    </row>
    <row r="6" spans="1:37" s="187" customFormat="1" x14ac:dyDescent="0.35">
      <c r="A6" s="186"/>
      <c r="B6" s="186"/>
      <c r="C6" s="186"/>
      <c r="D6" s="186"/>
      <c r="E6" s="186"/>
      <c r="F6" s="186"/>
      <c r="G6" s="186"/>
      <c r="H6" s="186"/>
      <c r="I6" s="186"/>
      <c r="J6" s="186"/>
      <c r="K6" s="186"/>
      <c r="L6" s="186"/>
      <c r="M6" s="186"/>
      <c r="N6" s="186"/>
      <c r="O6" s="186"/>
      <c r="P6" s="186"/>
      <c r="Q6" s="186"/>
      <c r="R6" s="186"/>
      <c r="S6" s="186"/>
      <c r="T6" s="186"/>
      <c r="U6" s="186"/>
      <c r="V6" s="186"/>
      <c r="W6" s="186"/>
      <c r="X6" s="186"/>
      <c r="Y6" s="186"/>
      <c r="Z6" s="186"/>
      <c r="AA6" s="186"/>
      <c r="AB6" s="186"/>
      <c r="AC6" s="186"/>
      <c r="AD6" s="186"/>
      <c r="AE6" s="186"/>
      <c r="AF6" s="186"/>
      <c r="AG6" s="186"/>
      <c r="AH6" s="186"/>
      <c r="AI6" s="186"/>
      <c r="AJ6" s="186"/>
    </row>
    <row r="7" spans="1:37" s="187" customFormat="1" x14ac:dyDescent="0.35"/>
    <row r="8" spans="1:37" s="187" customFormat="1" x14ac:dyDescent="0.35"/>
    <row r="9" spans="1:37" s="187" customFormat="1" x14ac:dyDescent="0.35"/>
    <row r="10" spans="1:37" s="187" customFormat="1" x14ac:dyDescent="0.35"/>
    <row r="11" spans="1:37" s="187" customFormat="1" x14ac:dyDescent="0.35"/>
    <row r="12" spans="1:37" s="187" customFormat="1" x14ac:dyDescent="0.35"/>
    <row r="13" spans="1:37" s="187" customFormat="1" x14ac:dyDescent="0.35"/>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217"/>
  <sheetViews>
    <sheetView topLeftCell="A194" zoomScale="115" zoomScaleNormal="115" workbookViewId="0">
      <selection activeCell="D195" sqref="D195"/>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796</v>
      </c>
      <c r="B1" t="s">
        <v>797</v>
      </c>
      <c r="C1" t="s">
        <v>798</v>
      </c>
      <c r="D1" t="s">
        <v>799</v>
      </c>
      <c r="E1" t="s">
        <v>800</v>
      </c>
      <c r="F1" t="s">
        <v>801</v>
      </c>
      <c r="G1" t="s">
        <v>802</v>
      </c>
      <c r="H1" s="40" t="s">
        <v>803</v>
      </c>
      <c r="I1" s="40" t="s">
        <v>804</v>
      </c>
    </row>
    <row r="2" spans="1:9" x14ac:dyDescent="0.35">
      <c r="A2" s="39">
        <v>46142.930358796293</v>
      </c>
      <c r="B2" t="s">
        <v>805</v>
      </c>
      <c r="C2">
        <v>12</v>
      </c>
      <c r="D2">
        <v>1</v>
      </c>
      <c r="E2">
        <v>5</v>
      </c>
      <c r="F2" t="s">
        <v>806</v>
      </c>
      <c r="G2" t="s">
        <v>807</v>
      </c>
    </row>
    <row r="3" spans="1:9" x14ac:dyDescent="0.35">
      <c r="A3" s="39">
        <v>46142.937476851846</v>
      </c>
      <c r="B3" t="s">
        <v>805</v>
      </c>
      <c r="C3">
        <v>123</v>
      </c>
      <c r="D3">
        <v>1</v>
      </c>
      <c r="E3">
        <v>1</v>
      </c>
      <c r="F3" t="s">
        <v>808</v>
      </c>
      <c r="G3" t="s">
        <v>807</v>
      </c>
    </row>
    <row r="4" spans="1:9" x14ac:dyDescent="0.35">
      <c r="A4" s="39">
        <v>46145.370891203696</v>
      </c>
      <c r="B4" t="s">
        <v>805</v>
      </c>
      <c r="C4">
        <v>123</v>
      </c>
      <c r="D4">
        <v>7</v>
      </c>
      <c r="E4">
        <v>0</v>
      </c>
      <c r="F4" t="s">
        <v>809</v>
      </c>
      <c r="G4" t="s">
        <v>810</v>
      </c>
    </row>
    <row r="5" spans="1:9" x14ac:dyDescent="0.35">
      <c r="A5" s="39">
        <v>46145.384375000001</v>
      </c>
      <c r="B5" t="s">
        <v>805</v>
      </c>
      <c r="C5">
        <v>123</v>
      </c>
      <c r="D5">
        <v>7</v>
      </c>
      <c r="E5">
        <v>35</v>
      </c>
      <c r="F5" t="s">
        <v>811</v>
      </c>
      <c r="G5" t="s">
        <v>812</v>
      </c>
    </row>
    <row r="6" spans="1:9" x14ac:dyDescent="0.35">
      <c r="A6" s="39">
        <v>46145.402349537027</v>
      </c>
      <c r="B6" t="s">
        <v>805</v>
      </c>
      <c r="C6">
        <v>123</v>
      </c>
      <c r="D6">
        <v>7</v>
      </c>
      <c r="E6">
        <v>35</v>
      </c>
      <c r="F6" t="s">
        <v>813</v>
      </c>
      <c r="G6" t="s">
        <v>812</v>
      </c>
    </row>
    <row r="7" spans="1:9" x14ac:dyDescent="0.35">
      <c r="A7" s="39">
        <v>46145.466944444437</v>
      </c>
      <c r="B7" t="s">
        <v>805</v>
      </c>
      <c r="C7">
        <v>123</v>
      </c>
      <c r="D7">
        <v>5</v>
      </c>
      <c r="E7">
        <v>23</v>
      </c>
      <c r="F7" t="s">
        <v>814</v>
      </c>
      <c r="G7" t="s">
        <v>812</v>
      </c>
    </row>
    <row r="8" spans="1:9" x14ac:dyDescent="0.35">
      <c r="A8" s="39">
        <v>46145.473622685182</v>
      </c>
      <c r="B8" t="s">
        <v>805</v>
      </c>
      <c r="C8">
        <v>11111</v>
      </c>
      <c r="D8">
        <v>1</v>
      </c>
      <c r="E8">
        <v>5</v>
      </c>
      <c r="F8" t="s">
        <v>815</v>
      </c>
      <c r="G8" t="s">
        <v>812</v>
      </c>
    </row>
    <row r="9" spans="1:9" x14ac:dyDescent="0.35">
      <c r="A9" s="39">
        <v>46145.474849537037</v>
      </c>
      <c r="B9" t="s">
        <v>805</v>
      </c>
      <c r="C9">
        <v>1</v>
      </c>
      <c r="D9">
        <v>1</v>
      </c>
      <c r="E9">
        <v>5</v>
      </c>
      <c r="F9" t="s">
        <v>816</v>
      </c>
      <c r="G9" t="s">
        <v>812</v>
      </c>
    </row>
    <row r="10" spans="1:9" x14ac:dyDescent="0.35">
      <c r="A10" s="39">
        <v>46145.594849537039</v>
      </c>
      <c r="B10" t="s">
        <v>805</v>
      </c>
      <c r="C10">
        <v>123</v>
      </c>
      <c r="D10">
        <v>1</v>
      </c>
      <c r="E10">
        <v>5</v>
      </c>
      <c r="F10" t="s">
        <v>817</v>
      </c>
      <c r="G10" t="s">
        <v>812</v>
      </c>
    </row>
    <row r="11" spans="1:9" x14ac:dyDescent="0.35">
      <c r="A11" s="39">
        <v>46145.960868055547</v>
      </c>
      <c r="B11" t="s">
        <v>805</v>
      </c>
      <c r="C11">
        <v>19793</v>
      </c>
      <c r="D11">
        <v>5</v>
      </c>
      <c r="E11">
        <v>23</v>
      </c>
      <c r="F11" t="s">
        <v>818</v>
      </c>
      <c r="G11" t="s">
        <v>819</v>
      </c>
    </row>
    <row r="12" spans="1:9" x14ac:dyDescent="0.35">
      <c r="A12" s="39">
        <v>46145.972534722219</v>
      </c>
      <c r="B12" t="s">
        <v>805</v>
      </c>
      <c r="C12">
        <v>19793</v>
      </c>
      <c r="D12">
        <v>5</v>
      </c>
      <c r="E12">
        <v>23</v>
      </c>
      <c r="F12" t="s">
        <v>820</v>
      </c>
      <c r="G12" t="s">
        <v>819</v>
      </c>
    </row>
    <row r="13" spans="1:9" x14ac:dyDescent="0.35">
      <c r="A13" s="39">
        <v>46145.994583333333</v>
      </c>
      <c r="B13" t="s">
        <v>805</v>
      </c>
      <c r="C13">
        <v>19793</v>
      </c>
      <c r="D13">
        <v>5</v>
      </c>
      <c r="E13">
        <v>23</v>
      </c>
      <c r="F13" t="s">
        <v>821</v>
      </c>
      <c r="G13" t="s">
        <v>822</v>
      </c>
    </row>
    <row r="14" spans="1:9" x14ac:dyDescent="0.35">
      <c r="A14" s="39">
        <v>46146.008067129631</v>
      </c>
      <c r="B14" t="s">
        <v>805</v>
      </c>
      <c r="C14">
        <v>19793</v>
      </c>
      <c r="D14">
        <v>5</v>
      </c>
      <c r="E14">
        <v>23</v>
      </c>
      <c r="F14" t="s">
        <v>823</v>
      </c>
      <c r="G14" t="s">
        <v>824</v>
      </c>
    </row>
    <row r="15" spans="1:9" x14ac:dyDescent="0.35">
      <c r="A15" s="39">
        <v>46146.018854166658</v>
      </c>
      <c r="B15" t="s">
        <v>805</v>
      </c>
      <c r="C15">
        <v>1</v>
      </c>
      <c r="D15">
        <v>5</v>
      </c>
      <c r="E15">
        <v>23</v>
      </c>
      <c r="F15" t="s">
        <v>825</v>
      </c>
      <c r="G15" t="s">
        <v>824</v>
      </c>
    </row>
    <row r="16" spans="1:9" x14ac:dyDescent="0.35">
      <c r="A16" s="39">
        <v>46146.029097222221</v>
      </c>
      <c r="B16" t="s">
        <v>805</v>
      </c>
      <c r="C16">
        <v>1</v>
      </c>
      <c r="D16">
        <v>5</v>
      </c>
      <c r="E16">
        <v>23</v>
      </c>
      <c r="F16" t="s">
        <v>826</v>
      </c>
      <c r="G16" t="s">
        <v>827</v>
      </c>
    </row>
    <row r="17" spans="1:7" x14ac:dyDescent="0.35">
      <c r="A17" s="39">
        <v>46146.040289351848</v>
      </c>
      <c r="B17" t="s">
        <v>805</v>
      </c>
      <c r="C17">
        <v>1</v>
      </c>
      <c r="D17">
        <v>5</v>
      </c>
      <c r="E17">
        <v>23</v>
      </c>
      <c r="F17" t="s">
        <v>828</v>
      </c>
      <c r="G17" t="s">
        <v>829</v>
      </c>
    </row>
    <row r="18" spans="1:7" x14ac:dyDescent="0.35">
      <c r="A18" s="39">
        <v>46146.063888888893</v>
      </c>
      <c r="B18" t="s">
        <v>805</v>
      </c>
      <c r="C18">
        <v>1</v>
      </c>
      <c r="D18">
        <v>5</v>
      </c>
      <c r="E18">
        <v>23</v>
      </c>
      <c r="F18" t="s">
        <v>830</v>
      </c>
      <c r="G18" t="s">
        <v>831</v>
      </c>
    </row>
    <row r="19" spans="1:7" x14ac:dyDescent="0.35">
      <c r="A19" s="39">
        <v>46146.077893518523</v>
      </c>
      <c r="B19" t="s">
        <v>805</v>
      </c>
      <c r="C19">
        <v>2</v>
      </c>
      <c r="D19">
        <v>5</v>
      </c>
      <c r="E19">
        <v>23</v>
      </c>
      <c r="F19" t="s">
        <v>832</v>
      </c>
      <c r="G19" t="s">
        <v>833</v>
      </c>
    </row>
    <row r="20" spans="1:7" x14ac:dyDescent="0.35">
      <c r="A20" s="39">
        <v>46146.316620370373</v>
      </c>
      <c r="B20" t="s">
        <v>805</v>
      </c>
      <c r="C20">
        <v>2</v>
      </c>
      <c r="D20">
        <v>5</v>
      </c>
      <c r="E20">
        <v>23</v>
      </c>
      <c r="F20" t="s">
        <v>834</v>
      </c>
      <c r="G20" t="s">
        <v>833</v>
      </c>
    </row>
    <row r="21" spans="1:7" x14ac:dyDescent="0.35">
      <c r="A21" s="39">
        <v>46146.3284375</v>
      </c>
      <c r="B21" t="s">
        <v>805</v>
      </c>
      <c r="C21">
        <v>3</v>
      </c>
      <c r="D21">
        <v>5</v>
      </c>
      <c r="E21">
        <v>23</v>
      </c>
      <c r="F21" t="s">
        <v>835</v>
      </c>
      <c r="G21" t="s">
        <v>836</v>
      </c>
    </row>
    <row r="22" spans="1:7" x14ac:dyDescent="0.35">
      <c r="A22" s="39">
        <v>46146.346956018519</v>
      </c>
      <c r="B22" t="s">
        <v>805</v>
      </c>
      <c r="C22">
        <v>19797</v>
      </c>
      <c r="D22">
        <v>2</v>
      </c>
      <c r="E22">
        <v>11</v>
      </c>
      <c r="F22" t="s">
        <v>837</v>
      </c>
      <c r="G22" t="s">
        <v>838</v>
      </c>
    </row>
    <row r="23" spans="1:7" x14ac:dyDescent="0.35">
      <c r="A23" s="39">
        <v>46146.371712962973</v>
      </c>
      <c r="B23" t="s">
        <v>805</v>
      </c>
      <c r="C23">
        <v>94540</v>
      </c>
      <c r="D23">
        <v>5</v>
      </c>
      <c r="E23">
        <v>17</v>
      </c>
      <c r="F23" t="s">
        <v>839</v>
      </c>
      <c r="G23" t="s">
        <v>840</v>
      </c>
    </row>
    <row r="24" spans="1:7" x14ac:dyDescent="0.35">
      <c r="A24" s="39">
        <v>46146.477835648147</v>
      </c>
      <c r="B24" t="s">
        <v>805</v>
      </c>
      <c r="C24">
        <v>123</v>
      </c>
      <c r="D24">
        <v>1</v>
      </c>
      <c r="E24">
        <v>5</v>
      </c>
      <c r="F24" t="s">
        <v>841</v>
      </c>
      <c r="G24" t="s">
        <v>840</v>
      </c>
    </row>
    <row r="25" spans="1:7" x14ac:dyDescent="0.35">
      <c r="A25" s="39">
        <v>46146.525324074071</v>
      </c>
      <c r="B25" t="s">
        <v>805</v>
      </c>
      <c r="C25">
        <v>109720</v>
      </c>
      <c r="D25">
        <v>5</v>
      </c>
      <c r="E25">
        <v>27</v>
      </c>
      <c r="F25" t="s">
        <v>842</v>
      </c>
      <c r="G25" t="s">
        <v>840</v>
      </c>
    </row>
    <row r="26" spans="1:7" x14ac:dyDescent="0.35">
      <c r="A26" s="39">
        <v>46147.409930555557</v>
      </c>
      <c r="B26" t="s">
        <v>805</v>
      </c>
      <c r="C26">
        <v>12345</v>
      </c>
      <c r="D26">
        <v>2</v>
      </c>
      <c r="E26">
        <v>10</v>
      </c>
      <c r="F26" t="s">
        <v>843</v>
      </c>
      <c r="G26" t="s">
        <v>840</v>
      </c>
    </row>
    <row r="27" spans="1:7" x14ac:dyDescent="0.35">
      <c r="A27" s="39">
        <v>46147.412129629629</v>
      </c>
      <c r="B27" t="s">
        <v>805</v>
      </c>
      <c r="C27">
        <v>12345</v>
      </c>
      <c r="D27">
        <v>2</v>
      </c>
      <c r="E27">
        <v>10</v>
      </c>
      <c r="F27" t="s">
        <v>844</v>
      </c>
      <c r="G27" t="s">
        <v>840</v>
      </c>
    </row>
    <row r="28" spans="1:7" x14ac:dyDescent="0.35">
      <c r="A28" s="39">
        <v>46147.509305555563</v>
      </c>
      <c r="B28" t="s">
        <v>805</v>
      </c>
      <c r="C28">
        <v>12345</v>
      </c>
      <c r="D28">
        <v>2</v>
      </c>
      <c r="E28">
        <v>10</v>
      </c>
      <c r="F28" t="s">
        <v>845</v>
      </c>
      <c r="G28" t="s">
        <v>840</v>
      </c>
    </row>
    <row r="29" spans="1:7" x14ac:dyDescent="0.35">
      <c r="A29" s="39">
        <v>46147.514189814807</v>
      </c>
      <c r="B29" t="s">
        <v>805</v>
      </c>
      <c r="C29">
        <v>12345</v>
      </c>
      <c r="D29">
        <v>2</v>
      </c>
      <c r="E29">
        <v>10</v>
      </c>
      <c r="F29" t="s">
        <v>846</v>
      </c>
      <c r="G29" t="s">
        <v>840</v>
      </c>
    </row>
    <row r="30" spans="1:7" x14ac:dyDescent="0.35">
      <c r="A30" s="39">
        <v>46147.671747685177</v>
      </c>
      <c r="B30" t="s">
        <v>805</v>
      </c>
      <c r="C30">
        <v>108077</v>
      </c>
      <c r="D30">
        <v>5</v>
      </c>
      <c r="E30">
        <v>15</v>
      </c>
      <c r="F30" t="s">
        <v>847</v>
      </c>
      <c r="G30" t="s">
        <v>840</v>
      </c>
    </row>
    <row r="31" spans="1:7" x14ac:dyDescent="0.35">
      <c r="A31" s="39">
        <v>46147.79650462963</v>
      </c>
      <c r="B31" t="s">
        <v>805</v>
      </c>
      <c r="C31">
        <v>32617</v>
      </c>
      <c r="D31">
        <v>4</v>
      </c>
      <c r="E31">
        <v>24</v>
      </c>
      <c r="F31" t="s">
        <v>848</v>
      </c>
      <c r="G31" t="s">
        <v>840</v>
      </c>
    </row>
    <row r="32" spans="1:7" x14ac:dyDescent="0.35">
      <c r="A32" s="39">
        <v>46147.956250000003</v>
      </c>
      <c r="B32" t="s">
        <v>805</v>
      </c>
      <c r="C32">
        <v>48570</v>
      </c>
      <c r="D32">
        <v>2</v>
      </c>
      <c r="E32">
        <v>8</v>
      </c>
      <c r="F32" t="s">
        <v>849</v>
      </c>
      <c r="G32" t="s">
        <v>840</v>
      </c>
    </row>
    <row r="33" spans="1:7" x14ac:dyDescent="0.35">
      <c r="A33" s="39">
        <v>46147.982465277782</v>
      </c>
      <c r="B33" t="s">
        <v>805</v>
      </c>
      <c r="C33">
        <v>48570</v>
      </c>
      <c r="D33">
        <v>2</v>
      </c>
      <c r="E33">
        <v>9</v>
      </c>
      <c r="F33" t="s">
        <v>850</v>
      </c>
      <c r="G33" t="s">
        <v>840</v>
      </c>
    </row>
    <row r="34" spans="1:7" x14ac:dyDescent="0.35">
      <c r="A34" s="39">
        <v>46148.008310185192</v>
      </c>
      <c r="B34" t="s">
        <v>805</v>
      </c>
      <c r="C34">
        <v>49215</v>
      </c>
      <c r="D34">
        <v>2</v>
      </c>
      <c r="E34">
        <v>6</v>
      </c>
      <c r="F34" t="s">
        <v>851</v>
      </c>
      <c r="G34" t="s">
        <v>840</v>
      </c>
    </row>
    <row r="35" spans="1:7" x14ac:dyDescent="0.35">
      <c r="A35" s="39">
        <v>46148.387638888889</v>
      </c>
      <c r="B35" t="s">
        <v>805</v>
      </c>
      <c r="C35">
        <v>85844</v>
      </c>
      <c r="D35">
        <v>3</v>
      </c>
      <c r="E35">
        <v>9</v>
      </c>
      <c r="F35" t="s">
        <v>852</v>
      </c>
      <c r="G35" t="s">
        <v>840</v>
      </c>
    </row>
    <row r="36" spans="1:7" x14ac:dyDescent="0.35">
      <c r="A36" s="39">
        <v>46148.403807870367</v>
      </c>
      <c r="B36" t="s">
        <v>805</v>
      </c>
      <c r="C36">
        <v>49228</v>
      </c>
      <c r="D36">
        <v>2</v>
      </c>
      <c r="E36">
        <v>6</v>
      </c>
      <c r="F36" t="s">
        <v>817</v>
      </c>
      <c r="G36" t="s">
        <v>840</v>
      </c>
    </row>
    <row r="37" spans="1:7" x14ac:dyDescent="0.35">
      <c r="A37" s="39">
        <v>46148.413449074083</v>
      </c>
      <c r="B37" t="s">
        <v>805</v>
      </c>
      <c r="C37">
        <v>49246</v>
      </c>
      <c r="D37">
        <v>2</v>
      </c>
      <c r="E37">
        <v>6</v>
      </c>
      <c r="F37" t="s">
        <v>853</v>
      </c>
      <c r="G37" t="s">
        <v>840</v>
      </c>
    </row>
    <row r="38" spans="1:7" x14ac:dyDescent="0.35">
      <c r="A38" s="39">
        <v>46148.616469907407</v>
      </c>
      <c r="B38" t="s">
        <v>805</v>
      </c>
      <c r="C38">
        <v>1</v>
      </c>
      <c r="D38">
        <v>2</v>
      </c>
      <c r="E38">
        <v>6</v>
      </c>
      <c r="F38" t="s">
        <v>854</v>
      </c>
      <c r="G38" t="s">
        <v>840</v>
      </c>
    </row>
    <row r="39" spans="1:7" x14ac:dyDescent="0.35">
      <c r="A39" s="39">
        <v>46148.694710648153</v>
      </c>
      <c r="B39" t="s">
        <v>805</v>
      </c>
      <c r="C39">
        <v>107260</v>
      </c>
      <c r="D39">
        <v>2</v>
      </c>
      <c r="E39">
        <v>8</v>
      </c>
      <c r="F39" t="s">
        <v>855</v>
      </c>
      <c r="G39" t="s">
        <v>840</v>
      </c>
    </row>
    <row r="40" spans="1:7" x14ac:dyDescent="0.35">
      <c r="A40" s="39">
        <v>46148.70921296296</v>
      </c>
      <c r="B40" t="s">
        <v>805</v>
      </c>
      <c r="C40">
        <v>107260</v>
      </c>
      <c r="D40">
        <v>1</v>
      </c>
      <c r="E40">
        <v>5</v>
      </c>
      <c r="F40" t="s">
        <v>815</v>
      </c>
      <c r="G40" t="s">
        <v>840</v>
      </c>
    </row>
    <row r="41" spans="1:7" x14ac:dyDescent="0.35">
      <c r="A41" s="39">
        <v>46149.530289351853</v>
      </c>
      <c r="B41" t="s">
        <v>805</v>
      </c>
      <c r="C41">
        <v>106412</v>
      </c>
      <c r="D41">
        <v>2</v>
      </c>
      <c r="E41">
        <v>11</v>
      </c>
      <c r="F41" t="s">
        <v>856</v>
      </c>
      <c r="G41" t="s">
        <v>840</v>
      </c>
    </row>
    <row r="42" spans="1:7" x14ac:dyDescent="0.35">
      <c r="A42" s="39">
        <v>46149.621759259258</v>
      </c>
      <c r="B42" t="s">
        <v>805</v>
      </c>
      <c r="C42">
        <v>84448</v>
      </c>
      <c r="D42">
        <v>3</v>
      </c>
      <c r="E42">
        <v>9</v>
      </c>
      <c r="F42" t="s">
        <v>857</v>
      </c>
      <c r="G42" t="s">
        <v>840</v>
      </c>
    </row>
    <row r="43" spans="1:7" x14ac:dyDescent="0.35">
      <c r="A43" s="39">
        <v>46149.885347222233</v>
      </c>
      <c r="B43" t="s">
        <v>805</v>
      </c>
      <c r="C43">
        <v>84351</v>
      </c>
      <c r="D43">
        <v>2</v>
      </c>
      <c r="E43">
        <v>12</v>
      </c>
      <c r="F43" t="s">
        <v>858</v>
      </c>
      <c r="G43" t="s">
        <v>840</v>
      </c>
    </row>
    <row r="44" spans="1:7" x14ac:dyDescent="0.35">
      <c r="A44" s="39">
        <v>46149.940567129634</v>
      </c>
      <c r="B44" t="s">
        <v>805</v>
      </c>
      <c r="C44">
        <v>1</v>
      </c>
      <c r="D44">
        <v>2</v>
      </c>
      <c r="E44">
        <v>14</v>
      </c>
      <c r="F44" t="s">
        <v>859</v>
      </c>
      <c r="G44" t="s">
        <v>840</v>
      </c>
    </row>
    <row r="45" spans="1:7" x14ac:dyDescent="0.35">
      <c r="A45" s="39">
        <v>46150.595902777779</v>
      </c>
      <c r="B45" t="s">
        <v>805</v>
      </c>
      <c r="C45">
        <v>105847</v>
      </c>
      <c r="D45">
        <v>5</v>
      </c>
      <c r="E45">
        <v>25</v>
      </c>
      <c r="F45" t="s">
        <v>860</v>
      </c>
      <c r="G45" t="s">
        <v>840</v>
      </c>
    </row>
    <row r="46" spans="1:7" x14ac:dyDescent="0.35">
      <c r="A46" s="39">
        <v>46150.802743055552</v>
      </c>
      <c r="B46" t="s">
        <v>805</v>
      </c>
      <c r="C46">
        <v>82335</v>
      </c>
      <c r="D46">
        <v>5</v>
      </c>
      <c r="E46">
        <v>31</v>
      </c>
      <c r="F46" t="s">
        <v>861</v>
      </c>
      <c r="G46" t="s">
        <v>840</v>
      </c>
    </row>
    <row r="47" spans="1:7" x14ac:dyDescent="0.35">
      <c r="A47" s="39">
        <v>46153.593530092592</v>
      </c>
      <c r="B47" t="s">
        <v>805</v>
      </c>
      <c r="C47">
        <v>81022</v>
      </c>
      <c r="D47">
        <v>1</v>
      </c>
      <c r="E47">
        <v>7</v>
      </c>
      <c r="F47" t="s">
        <v>862</v>
      </c>
      <c r="G47" t="s">
        <v>840</v>
      </c>
    </row>
    <row r="48" spans="1:7" x14ac:dyDescent="0.35">
      <c r="A48" s="39">
        <v>46153.639340277783</v>
      </c>
      <c r="B48" t="s">
        <v>805</v>
      </c>
      <c r="C48">
        <v>93667</v>
      </c>
      <c r="D48">
        <v>5</v>
      </c>
      <c r="E48">
        <v>17</v>
      </c>
      <c r="F48" t="s">
        <v>863</v>
      </c>
      <c r="G48" t="s">
        <v>840</v>
      </c>
    </row>
    <row r="49" spans="1:8" x14ac:dyDescent="0.35">
      <c r="A49" s="39">
        <v>46153.647662037038</v>
      </c>
      <c r="B49" t="s">
        <v>805</v>
      </c>
      <c r="C49">
        <v>93667</v>
      </c>
      <c r="D49">
        <v>4</v>
      </c>
      <c r="E49">
        <v>20</v>
      </c>
      <c r="F49" t="s">
        <v>864</v>
      </c>
      <c r="G49" t="s">
        <v>840</v>
      </c>
    </row>
    <row r="50" spans="1:8" x14ac:dyDescent="0.35">
      <c r="A50" s="39">
        <v>46153.704641203702</v>
      </c>
      <c r="B50" t="s">
        <v>805</v>
      </c>
      <c r="C50">
        <v>108993</v>
      </c>
      <c r="D50">
        <v>2</v>
      </c>
      <c r="E50">
        <v>6</v>
      </c>
      <c r="F50" t="s">
        <v>865</v>
      </c>
      <c r="G50" t="s">
        <v>840</v>
      </c>
    </row>
    <row r="51" spans="1:8" x14ac:dyDescent="0.35">
      <c r="A51" s="39">
        <v>46154.412430555552</v>
      </c>
      <c r="B51" t="s">
        <v>805</v>
      </c>
      <c r="C51">
        <v>108594</v>
      </c>
      <c r="D51">
        <v>2</v>
      </c>
      <c r="E51">
        <v>8</v>
      </c>
      <c r="F51" t="s">
        <v>866</v>
      </c>
      <c r="G51" t="s">
        <v>840</v>
      </c>
    </row>
    <row r="52" spans="1:8" x14ac:dyDescent="0.35">
      <c r="A52" s="39">
        <v>46154.481574074067</v>
      </c>
      <c r="B52" t="s">
        <v>805</v>
      </c>
      <c r="C52">
        <v>83931</v>
      </c>
      <c r="D52">
        <v>3</v>
      </c>
      <c r="E52">
        <v>19</v>
      </c>
      <c r="F52" t="s">
        <v>867</v>
      </c>
      <c r="G52" t="s">
        <v>840</v>
      </c>
    </row>
    <row r="53" spans="1:8" x14ac:dyDescent="0.35">
      <c r="A53" s="39">
        <v>46154.516087962962</v>
      </c>
      <c r="B53" t="s">
        <v>805</v>
      </c>
      <c r="C53">
        <v>71800</v>
      </c>
      <c r="D53">
        <v>2</v>
      </c>
      <c r="E53">
        <v>10</v>
      </c>
      <c r="F53" t="s">
        <v>868</v>
      </c>
      <c r="G53" t="s">
        <v>840</v>
      </c>
    </row>
    <row r="54" spans="1:8" x14ac:dyDescent="0.35">
      <c r="A54" s="39">
        <v>46154.546261574083</v>
      </c>
      <c r="B54" t="s">
        <v>805</v>
      </c>
      <c r="C54">
        <v>82052</v>
      </c>
      <c r="D54">
        <v>4</v>
      </c>
      <c r="E54">
        <v>20</v>
      </c>
      <c r="F54" t="s">
        <v>869</v>
      </c>
      <c r="G54" t="s">
        <v>840</v>
      </c>
    </row>
    <row r="55" spans="1:8" x14ac:dyDescent="0.35">
      <c r="A55" s="39">
        <v>46154.674814814818</v>
      </c>
      <c r="B55" t="s">
        <v>805</v>
      </c>
      <c r="C55">
        <v>71660</v>
      </c>
      <c r="D55">
        <v>4</v>
      </c>
      <c r="E55">
        <v>23</v>
      </c>
      <c r="F55" t="s">
        <v>870</v>
      </c>
      <c r="G55" t="s">
        <v>840</v>
      </c>
    </row>
    <row r="56" spans="1:8" x14ac:dyDescent="0.35">
      <c r="A56" s="39">
        <v>46154.675034722219</v>
      </c>
      <c r="B56" t="s">
        <v>805</v>
      </c>
      <c r="C56">
        <v>71660</v>
      </c>
      <c r="D56">
        <v>4</v>
      </c>
      <c r="E56">
        <v>23</v>
      </c>
      <c r="F56" t="s">
        <v>871</v>
      </c>
      <c r="G56" t="s">
        <v>840</v>
      </c>
      <c r="H56" t="s">
        <v>872</v>
      </c>
    </row>
    <row r="57" spans="1:8" x14ac:dyDescent="0.35">
      <c r="A57" s="39">
        <v>46155.660428240742</v>
      </c>
      <c r="B57" t="s">
        <v>805</v>
      </c>
      <c r="C57">
        <v>115007</v>
      </c>
      <c r="D57">
        <v>5</v>
      </c>
      <c r="E57">
        <v>31</v>
      </c>
      <c r="F57" t="s">
        <v>873</v>
      </c>
      <c r="G57" t="s">
        <v>840</v>
      </c>
    </row>
    <row r="58" spans="1:8" x14ac:dyDescent="0.35">
      <c r="A58" s="39">
        <v>46155.740335648137</v>
      </c>
      <c r="B58" t="s">
        <v>805</v>
      </c>
      <c r="C58">
        <v>92755</v>
      </c>
      <c r="D58">
        <v>5</v>
      </c>
      <c r="E58">
        <v>26</v>
      </c>
      <c r="F58" t="s">
        <v>874</v>
      </c>
      <c r="G58" t="s">
        <v>840</v>
      </c>
    </row>
    <row r="59" spans="1:8" x14ac:dyDescent="0.35">
      <c r="A59" s="39">
        <v>46155.81077546296</v>
      </c>
      <c r="B59" t="s">
        <v>805</v>
      </c>
      <c r="C59">
        <v>113068</v>
      </c>
      <c r="D59">
        <v>5</v>
      </c>
      <c r="E59">
        <v>26</v>
      </c>
      <c r="F59" t="s">
        <v>809</v>
      </c>
      <c r="G59" t="s">
        <v>840</v>
      </c>
    </row>
    <row r="60" spans="1:8" x14ac:dyDescent="0.35">
      <c r="A60" s="39">
        <v>46155.862858796303</v>
      </c>
      <c r="B60" t="s">
        <v>805</v>
      </c>
      <c r="C60">
        <v>113068</v>
      </c>
      <c r="D60">
        <v>1</v>
      </c>
      <c r="E60">
        <v>5</v>
      </c>
      <c r="F60" t="s">
        <v>875</v>
      </c>
      <c r="G60" t="s">
        <v>840</v>
      </c>
    </row>
    <row r="61" spans="1:8" x14ac:dyDescent="0.35">
      <c r="A61" s="39">
        <v>46155.892094907409</v>
      </c>
      <c r="B61" t="s">
        <v>805</v>
      </c>
      <c r="C61">
        <v>113078</v>
      </c>
      <c r="D61">
        <v>5</v>
      </c>
      <c r="E61">
        <v>26</v>
      </c>
      <c r="F61" t="s">
        <v>826</v>
      </c>
      <c r="G61" t="s">
        <v>840</v>
      </c>
    </row>
    <row r="62" spans="1:8" x14ac:dyDescent="0.35">
      <c r="A62" s="39">
        <v>46155.940555555557</v>
      </c>
      <c r="B62" t="s">
        <v>805</v>
      </c>
      <c r="C62">
        <v>73651</v>
      </c>
      <c r="D62">
        <v>2</v>
      </c>
      <c r="E62">
        <v>6</v>
      </c>
      <c r="F62" t="s">
        <v>845</v>
      </c>
      <c r="G62" t="s">
        <v>840</v>
      </c>
    </row>
    <row r="63" spans="1:8" x14ac:dyDescent="0.35">
      <c r="A63" s="39">
        <v>46155.962719907409</v>
      </c>
      <c r="B63" t="s">
        <v>805</v>
      </c>
      <c r="C63">
        <v>70475</v>
      </c>
      <c r="D63">
        <v>2</v>
      </c>
      <c r="E63">
        <v>6</v>
      </c>
      <c r="F63" t="s">
        <v>876</v>
      </c>
      <c r="G63" t="s">
        <v>840</v>
      </c>
    </row>
    <row r="64" spans="1:8" x14ac:dyDescent="0.35">
      <c r="A64" s="39">
        <v>46156.267974537041</v>
      </c>
      <c r="B64" t="s">
        <v>805</v>
      </c>
      <c r="C64">
        <v>84566</v>
      </c>
      <c r="D64">
        <v>2</v>
      </c>
      <c r="E64">
        <v>6</v>
      </c>
      <c r="F64" t="s">
        <v>877</v>
      </c>
      <c r="G64" t="s">
        <v>840</v>
      </c>
    </row>
    <row r="65" spans="1:7" x14ac:dyDescent="0.35">
      <c r="A65" s="39">
        <v>46161.398761574077</v>
      </c>
      <c r="B65" t="s">
        <v>805</v>
      </c>
      <c r="C65">
        <v>84576</v>
      </c>
      <c r="D65">
        <v>5</v>
      </c>
      <c r="E65">
        <v>13</v>
      </c>
      <c r="F65" t="s">
        <v>859</v>
      </c>
      <c r="G65" t="s">
        <v>840</v>
      </c>
    </row>
    <row r="66" spans="1:7" x14ac:dyDescent="0.35">
      <c r="A66" s="39">
        <v>46161.426134259258</v>
      </c>
      <c r="B66" t="s">
        <v>805</v>
      </c>
      <c r="C66">
        <v>84601</v>
      </c>
      <c r="D66">
        <v>1</v>
      </c>
      <c r="E66">
        <v>7</v>
      </c>
      <c r="F66" t="s">
        <v>878</v>
      </c>
      <c r="G66" t="s">
        <v>840</v>
      </c>
    </row>
    <row r="67" spans="1:7" x14ac:dyDescent="0.35">
      <c r="A67" s="39">
        <v>46161.500081018523</v>
      </c>
      <c r="B67" t="s">
        <v>805</v>
      </c>
      <c r="C67">
        <v>14566</v>
      </c>
      <c r="D67">
        <v>1</v>
      </c>
      <c r="E67">
        <v>7</v>
      </c>
      <c r="F67" t="s">
        <v>879</v>
      </c>
      <c r="G67" t="s">
        <v>840</v>
      </c>
    </row>
    <row r="68" spans="1:7" x14ac:dyDescent="0.35">
      <c r="A68" s="39">
        <v>46161.688333333332</v>
      </c>
      <c r="B68" t="s">
        <v>805</v>
      </c>
      <c r="C68">
        <v>106793</v>
      </c>
      <c r="D68">
        <v>5</v>
      </c>
      <c r="E68">
        <v>25</v>
      </c>
      <c r="F68" t="s">
        <v>823</v>
      </c>
      <c r="G68" t="s">
        <v>840</v>
      </c>
    </row>
    <row r="69" spans="1:7" x14ac:dyDescent="0.35">
      <c r="A69" s="39">
        <v>46162.38994212963</v>
      </c>
      <c r="B69" t="s">
        <v>805</v>
      </c>
      <c r="C69">
        <v>136</v>
      </c>
      <c r="D69">
        <v>4</v>
      </c>
      <c r="E69">
        <v>12</v>
      </c>
      <c r="F69" t="s">
        <v>880</v>
      </c>
      <c r="G69" t="s">
        <v>840</v>
      </c>
    </row>
    <row r="70" spans="1:7" x14ac:dyDescent="0.35">
      <c r="A70" s="39">
        <v>46162.414849537039</v>
      </c>
      <c r="B70" t="s">
        <v>805</v>
      </c>
      <c r="C70">
        <v>143</v>
      </c>
      <c r="D70">
        <v>2</v>
      </c>
      <c r="E70">
        <v>8</v>
      </c>
      <c r="F70" t="s">
        <v>881</v>
      </c>
      <c r="G70" t="s">
        <v>840</v>
      </c>
    </row>
    <row r="71" spans="1:7" x14ac:dyDescent="0.35">
      <c r="A71" s="39">
        <v>46162.517060185193</v>
      </c>
      <c r="B71" t="s">
        <v>805</v>
      </c>
      <c r="C71">
        <v>164</v>
      </c>
      <c r="D71">
        <v>1</v>
      </c>
      <c r="E71">
        <v>7</v>
      </c>
      <c r="F71" t="s">
        <v>882</v>
      </c>
      <c r="G71" t="s">
        <v>840</v>
      </c>
    </row>
    <row r="72" spans="1:7" x14ac:dyDescent="0.35">
      <c r="A72" s="39">
        <v>46162.622708333343</v>
      </c>
      <c r="B72" t="s">
        <v>805</v>
      </c>
      <c r="C72">
        <v>230</v>
      </c>
      <c r="D72">
        <v>1</v>
      </c>
      <c r="E72">
        <v>8</v>
      </c>
      <c r="F72" t="s">
        <v>883</v>
      </c>
      <c r="G72" t="s">
        <v>840</v>
      </c>
    </row>
    <row r="73" spans="1:7" x14ac:dyDescent="0.35">
      <c r="A73" s="39">
        <v>46162.664340277777</v>
      </c>
      <c r="B73" t="s">
        <v>805</v>
      </c>
      <c r="C73">
        <v>232</v>
      </c>
      <c r="D73">
        <v>1</v>
      </c>
      <c r="E73">
        <v>5</v>
      </c>
      <c r="F73" t="s">
        <v>884</v>
      </c>
      <c r="G73" t="s">
        <v>840</v>
      </c>
    </row>
    <row r="74" spans="1:7" x14ac:dyDescent="0.35">
      <c r="A74" s="39">
        <v>46162.7030787037</v>
      </c>
      <c r="B74" t="s">
        <v>805</v>
      </c>
      <c r="C74">
        <v>204</v>
      </c>
      <c r="D74">
        <v>1</v>
      </c>
      <c r="E74">
        <v>5</v>
      </c>
      <c r="F74" t="s">
        <v>885</v>
      </c>
      <c r="G74" t="s">
        <v>840</v>
      </c>
    </row>
    <row r="75" spans="1:7" x14ac:dyDescent="0.35">
      <c r="A75" s="39">
        <v>46162.803124999999</v>
      </c>
      <c r="B75" t="s">
        <v>805</v>
      </c>
      <c r="C75">
        <v>239</v>
      </c>
      <c r="D75">
        <v>1</v>
      </c>
      <c r="E75">
        <v>5</v>
      </c>
      <c r="F75" t="s">
        <v>816</v>
      </c>
      <c r="G75" t="s">
        <v>840</v>
      </c>
    </row>
    <row r="76" spans="1:7" x14ac:dyDescent="0.35">
      <c r="A76" s="39">
        <v>46163.440578703703</v>
      </c>
      <c r="B76" t="s">
        <v>805</v>
      </c>
      <c r="C76">
        <v>4102</v>
      </c>
      <c r="D76">
        <v>1</v>
      </c>
      <c r="E76">
        <v>5</v>
      </c>
      <c r="F76" t="s">
        <v>817</v>
      </c>
      <c r="G76" t="s">
        <v>840</v>
      </c>
    </row>
    <row r="77" spans="1:7" x14ac:dyDescent="0.35">
      <c r="A77" s="39">
        <v>46163.471655092602</v>
      </c>
      <c r="B77" t="s">
        <v>805</v>
      </c>
      <c r="C77">
        <v>4103</v>
      </c>
      <c r="D77">
        <v>1</v>
      </c>
      <c r="E77">
        <v>5</v>
      </c>
      <c r="F77" t="s">
        <v>868</v>
      </c>
      <c r="G77" t="s">
        <v>840</v>
      </c>
    </row>
    <row r="78" spans="1:7" x14ac:dyDescent="0.35">
      <c r="A78" s="39">
        <v>46163.486331018517</v>
      </c>
      <c r="B78" t="s">
        <v>805</v>
      </c>
      <c r="C78">
        <v>4106</v>
      </c>
      <c r="D78">
        <v>1</v>
      </c>
      <c r="E78">
        <v>7</v>
      </c>
      <c r="F78" t="s">
        <v>886</v>
      </c>
      <c r="G78" t="s">
        <v>840</v>
      </c>
    </row>
    <row r="79" spans="1:7" x14ac:dyDescent="0.35">
      <c r="A79" s="39">
        <v>46163.509166666663</v>
      </c>
      <c r="B79" t="s">
        <v>805</v>
      </c>
      <c r="C79">
        <v>4109</v>
      </c>
      <c r="D79">
        <v>1</v>
      </c>
      <c r="E79">
        <v>5</v>
      </c>
      <c r="F79" t="s">
        <v>887</v>
      </c>
      <c r="G79" t="s">
        <v>840</v>
      </c>
    </row>
    <row r="80" spans="1:7" x14ac:dyDescent="0.35">
      <c r="A80" s="39">
        <v>46163.533668981479</v>
      </c>
      <c r="B80" t="s">
        <v>805</v>
      </c>
      <c r="C80">
        <v>4114</v>
      </c>
      <c r="D80">
        <v>1</v>
      </c>
      <c r="E80">
        <v>7</v>
      </c>
      <c r="F80" t="s">
        <v>859</v>
      </c>
      <c r="G80" t="s">
        <v>840</v>
      </c>
    </row>
    <row r="81" spans="1:8" x14ac:dyDescent="0.35">
      <c r="A81" s="39">
        <v>46163.554988425924</v>
      </c>
      <c r="B81" t="s">
        <v>805</v>
      </c>
      <c r="C81">
        <v>4115</v>
      </c>
      <c r="D81">
        <v>1</v>
      </c>
      <c r="E81">
        <v>7</v>
      </c>
      <c r="F81" t="s">
        <v>888</v>
      </c>
      <c r="G81" t="s">
        <v>840</v>
      </c>
    </row>
    <row r="82" spans="1:8" x14ac:dyDescent="0.35">
      <c r="A82" s="39">
        <v>46163.585543981477</v>
      </c>
      <c r="B82" t="s">
        <v>805</v>
      </c>
      <c r="C82">
        <v>4118</v>
      </c>
      <c r="D82">
        <v>1</v>
      </c>
      <c r="E82">
        <v>7</v>
      </c>
      <c r="F82" t="s">
        <v>889</v>
      </c>
      <c r="G82" t="s">
        <v>840</v>
      </c>
    </row>
    <row r="83" spans="1:8" x14ac:dyDescent="0.35">
      <c r="A83" s="39">
        <v>46164.368518518517</v>
      </c>
      <c r="B83" t="s">
        <v>805</v>
      </c>
      <c r="C83">
        <v>4119</v>
      </c>
      <c r="D83">
        <v>1</v>
      </c>
      <c r="E83">
        <v>7</v>
      </c>
      <c r="F83" t="s">
        <v>842</v>
      </c>
      <c r="G83" t="s">
        <v>840</v>
      </c>
    </row>
    <row r="84" spans="1:8" x14ac:dyDescent="0.35">
      <c r="A84" s="39">
        <v>46164.376539351862</v>
      </c>
      <c r="B84" t="s">
        <v>805</v>
      </c>
      <c r="C84">
        <v>4120</v>
      </c>
      <c r="D84">
        <v>1</v>
      </c>
      <c r="E84">
        <v>7</v>
      </c>
      <c r="F84" t="s">
        <v>875</v>
      </c>
      <c r="G84" t="s">
        <v>840</v>
      </c>
    </row>
    <row r="85" spans="1:8" x14ac:dyDescent="0.35">
      <c r="A85" s="39">
        <v>46164.384560185194</v>
      </c>
      <c r="B85" t="s">
        <v>805</v>
      </c>
      <c r="C85">
        <v>4121</v>
      </c>
      <c r="D85">
        <v>1</v>
      </c>
      <c r="E85">
        <v>7</v>
      </c>
      <c r="F85" t="s">
        <v>878</v>
      </c>
      <c r="G85" t="s">
        <v>840</v>
      </c>
    </row>
    <row r="86" spans="1:8" x14ac:dyDescent="0.35">
      <c r="A86" s="39">
        <v>46164.392858796287</v>
      </c>
      <c r="B86" t="s">
        <v>805</v>
      </c>
      <c r="C86">
        <v>4122</v>
      </c>
      <c r="D86">
        <v>1</v>
      </c>
      <c r="E86">
        <v>7</v>
      </c>
      <c r="F86" t="s">
        <v>878</v>
      </c>
      <c r="G86" t="s">
        <v>840</v>
      </c>
    </row>
    <row r="87" spans="1:8" x14ac:dyDescent="0.35">
      <c r="A87" s="39">
        <v>46164.393101851849</v>
      </c>
      <c r="B87" t="s">
        <v>805</v>
      </c>
      <c r="C87">
        <v>4122</v>
      </c>
      <c r="D87">
        <v>1</v>
      </c>
      <c r="E87">
        <v>7</v>
      </c>
      <c r="F87" t="s">
        <v>871</v>
      </c>
      <c r="G87" t="s">
        <v>840</v>
      </c>
      <c r="H87" t="s">
        <v>872</v>
      </c>
    </row>
    <row r="88" spans="1:8" x14ac:dyDescent="0.35">
      <c r="A88" s="39">
        <v>46164.408703703702</v>
      </c>
      <c r="B88" t="s">
        <v>805</v>
      </c>
      <c r="C88">
        <v>4123</v>
      </c>
      <c r="D88">
        <v>1</v>
      </c>
      <c r="E88">
        <v>7</v>
      </c>
      <c r="F88" t="s">
        <v>890</v>
      </c>
      <c r="G88" t="s">
        <v>840</v>
      </c>
    </row>
    <row r="89" spans="1:8" x14ac:dyDescent="0.35">
      <c r="A89" s="39">
        <v>46164.416689814818</v>
      </c>
      <c r="B89" t="s">
        <v>805</v>
      </c>
      <c r="C89">
        <v>4124</v>
      </c>
      <c r="D89">
        <v>1</v>
      </c>
      <c r="E89">
        <v>7</v>
      </c>
      <c r="F89" t="s">
        <v>858</v>
      </c>
      <c r="G89" t="s">
        <v>840</v>
      </c>
    </row>
    <row r="90" spans="1:8" x14ac:dyDescent="0.35">
      <c r="A90" s="39">
        <v>46164.429722222223</v>
      </c>
      <c r="B90" t="s">
        <v>805</v>
      </c>
      <c r="C90">
        <v>4126</v>
      </c>
      <c r="D90">
        <v>1</v>
      </c>
      <c r="E90">
        <v>5</v>
      </c>
      <c r="F90" t="s">
        <v>891</v>
      </c>
      <c r="G90" t="s">
        <v>840</v>
      </c>
    </row>
    <row r="91" spans="1:8" x14ac:dyDescent="0.35">
      <c r="A91" s="39">
        <v>46164.439583333333</v>
      </c>
      <c r="B91" t="s">
        <v>805</v>
      </c>
      <c r="C91">
        <v>4128</v>
      </c>
      <c r="D91">
        <v>1</v>
      </c>
      <c r="E91">
        <v>7</v>
      </c>
      <c r="F91" t="s">
        <v>882</v>
      </c>
      <c r="G91" t="s">
        <v>840</v>
      </c>
    </row>
    <row r="92" spans="1:8" x14ac:dyDescent="0.35">
      <c r="A92" s="39">
        <v>46164.439884259264</v>
      </c>
      <c r="B92" t="s">
        <v>805</v>
      </c>
      <c r="C92">
        <v>4128</v>
      </c>
      <c r="D92">
        <v>1</v>
      </c>
      <c r="E92">
        <v>7</v>
      </c>
      <c r="F92" t="s">
        <v>871</v>
      </c>
      <c r="G92" t="s">
        <v>840</v>
      </c>
      <c r="H92" t="s">
        <v>892</v>
      </c>
    </row>
    <row r="93" spans="1:8" x14ac:dyDescent="0.35">
      <c r="A93" s="39">
        <v>46167.506631944438</v>
      </c>
      <c r="B93" t="s">
        <v>805</v>
      </c>
      <c r="C93">
        <v>4129</v>
      </c>
      <c r="D93">
        <v>1</v>
      </c>
      <c r="E93">
        <v>7</v>
      </c>
      <c r="F93" t="s">
        <v>854</v>
      </c>
      <c r="G93" t="s">
        <v>840</v>
      </c>
    </row>
    <row r="94" spans="1:8" x14ac:dyDescent="0.35">
      <c r="A94" s="39">
        <v>46167.557256944441</v>
      </c>
      <c r="B94" t="s">
        <v>805</v>
      </c>
      <c r="C94">
        <v>4130</v>
      </c>
      <c r="D94">
        <v>1</v>
      </c>
      <c r="E94">
        <v>7</v>
      </c>
      <c r="F94" t="s">
        <v>893</v>
      </c>
      <c r="G94" t="s">
        <v>840</v>
      </c>
    </row>
    <row r="95" spans="1:8" x14ac:dyDescent="0.35">
      <c r="A95" s="39">
        <v>46168.372372685182</v>
      </c>
      <c r="B95" t="s">
        <v>805</v>
      </c>
      <c r="C95">
        <v>4131</v>
      </c>
      <c r="D95">
        <v>1</v>
      </c>
      <c r="E95">
        <v>7</v>
      </c>
      <c r="F95" t="s">
        <v>894</v>
      </c>
      <c r="G95" t="s">
        <v>840</v>
      </c>
    </row>
    <row r="96" spans="1:8" x14ac:dyDescent="0.35">
      <c r="A96" s="39">
        <v>46168.400196759263</v>
      </c>
      <c r="B96" t="s">
        <v>805</v>
      </c>
      <c r="C96">
        <v>4132</v>
      </c>
      <c r="D96">
        <v>5</v>
      </c>
      <c r="E96">
        <v>17</v>
      </c>
      <c r="F96" t="s">
        <v>832</v>
      </c>
      <c r="G96" t="s">
        <v>840</v>
      </c>
    </row>
    <row r="97" spans="1:7" x14ac:dyDescent="0.35">
      <c r="A97" s="39">
        <v>46169.355879629627</v>
      </c>
      <c r="B97" t="s">
        <v>805</v>
      </c>
      <c r="C97">
        <v>4137</v>
      </c>
      <c r="D97">
        <v>1</v>
      </c>
      <c r="E97">
        <v>5</v>
      </c>
      <c r="F97" t="s">
        <v>895</v>
      </c>
      <c r="G97" t="s">
        <v>840</v>
      </c>
    </row>
    <row r="98" spans="1:7" x14ac:dyDescent="0.35">
      <c r="A98" s="39">
        <v>46169.374074074083</v>
      </c>
      <c r="B98" t="s">
        <v>805</v>
      </c>
      <c r="C98">
        <v>4139</v>
      </c>
      <c r="D98">
        <v>1</v>
      </c>
      <c r="E98">
        <v>7</v>
      </c>
      <c r="F98" t="s">
        <v>896</v>
      </c>
      <c r="G98" t="s">
        <v>840</v>
      </c>
    </row>
    <row r="99" spans="1:7" x14ac:dyDescent="0.35">
      <c r="A99" s="39">
        <v>46169.394872685189</v>
      </c>
      <c r="B99" t="s">
        <v>805</v>
      </c>
      <c r="C99">
        <v>27689</v>
      </c>
      <c r="D99">
        <v>1</v>
      </c>
      <c r="E99">
        <v>7</v>
      </c>
      <c r="F99" t="s">
        <v>897</v>
      </c>
      <c r="G99" t="s">
        <v>840</v>
      </c>
    </row>
    <row r="100" spans="1:7" x14ac:dyDescent="0.35">
      <c r="A100" s="39">
        <v>46169.412615740737</v>
      </c>
      <c r="B100" t="s">
        <v>805</v>
      </c>
      <c r="C100">
        <v>28253</v>
      </c>
      <c r="D100">
        <v>2</v>
      </c>
      <c r="E100">
        <v>8</v>
      </c>
      <c r="F100" t="s">
        <v>883</v>
      </c>
      <c r="G100" t="s">
        <v>840</v>
      </c>
    </row>
    <row r="101" spans="1:7" x14ac:dyDescent="0.35">
      <c r="A101" s="39">
        <v>46169.428819444453</v>
      </c>
      <c r="B101" t="s">
        <v>805</v>
      </c>
      <c r="C101">
        <v>28329</v>
      </c>
      <c r="D101">
        <v>1</v>
      </c>
      <c r="E101">
        <v>5</v>
      </c>
      <c r="F101" t="s">
        <v>898</v>
      </c>
      <c r="G101" t="s">
        <v>840</v>
      </c>
    </row>
    <row r="102" spans="1:7" x14ac:dyDescent="0.35">
      <c r="A102" s="39">
        <v>46171.754363425927</v>
      </c>
      <c r="B102" t="s">
        <v>805</v>
      </c>
      <c r="C102">
        <v>49249</v>
      </c>
      <c r="D102">
        <v>1</v>
      </c>
      <c r="E102">
        <v>5</v>
      </c>
      <c r="F102" t="s">
        <v>899</v>
      </c>
      <c r="G102" t="s">
        <v>840</v>
      </c>
    </row>
    <row r="103" spans="1:7" x14ac:dyDescent="0.35">
      <c r="A103" s="39">
        <v>46174.660763888889</v>
      </c>
      <c r="B103" t="s">
        <v>805</v>
      </c>
      <c r="C103">
        <v>17458</v>
      </c>
      <c r="D103">
        <v>1</v>
      </c>
      <c r="E103">
        <v>7</v>
      </c>
      <c r="F103" t="s">
        <v>900</v>
      </c>
      <c r="G103" t="s">
        <v>840</v>
      </c>
    </row>
    <row r="104" spans="1:7" x14ac:dyDescent="0.35">
      <c r="A104" s="39">
        <v>46174.718865740739</v>
      </c>
      <c r="B104" t="s">
        <v>805</v>
      </c>
      <c r="C104">
        <v>17457</v>
      </c>
      <c r="D104">
        <v>1</v>
      </c>
      <c r="E104">
        <v>7</v>
      </c>
      <c r="F104" t="s">
        <v>901</v>
      </c>
      <c r="G104" t="s">
        <v>840</v>
      </c>
    </row>
    <row r="105" spans="1:7" x14ac:dyDescent="0.35">
      <c r="A105" s="39">
        <v>46174.749745370369</v>
      </c>
      <c r="B105" t="s">
        <v>805</v>
      </c>
      <c r="C105">
        <v>17456</v>
      </c>
      <c r="D105">
        <v>1</v>
      </c>
      <c r="E105">
        <v>7</v>
      </c>
      <c r="F105" t="s">
        <v>859</v>
      </c>
      <c r="G105" t="s">
        <v>840</v>
      </c>
    </row>
    <row r="106" spans="1:7" x14ac:dyDescent="0.35">
      <c r="A106" s="39">
        <v>46174.829502314817</v>
      </c>
      <c r="B106" t="s">
        <v>805</v>
      </c>
      <c r="C106">
        <v>17455</v>
      </c>
      <c r="D106">
        <v>1</v>
      </c>
      <c r="E106">
        <v>7</v>
      </c>
      <c r="F106" t="s">
        <v>902</v>
      </c>
      <c r="G106" t="s">
        <v>840</v>
      </c>
    </row>
    <row r="107" spans="1:7" x14ac:dyDescent="0.35">
      <c r="A107" s="39">
        <v>46174.840949074067</v>
      </c>
      <c r="B107" t="s">
        <v>805</v>
      </c>
      <c r="C107">
        <v>17454</v>
      </c>
      <c r="D107">
        <v>1</v>
      </c>
      <c r="E107">
        <v>7</v>
      </c>
      <c r="F107" t="s">
        <v>903</v>
      </c>
      <c r="G107" t="s">
        <v>840</v>
      </c>
    </row>
    <row r="108" spans="1:7" x14ac:dyDescent="0.35">
      <c r="A108" s="39">
        <v>46174.862881944442</v>
      </c>
      <c r="B108" t="s">
        <v>805</v>
      </c>
      <c r="C108">
        <v>17452</v>
      </c>
      <c r="D108">
        <v>1</v>
      </c>
      <c r="E108">
        <v>7</v>
      </c>
      <c r="F108" t="s">
        <v>897</v>
      </c>
      <c r="G108" t="s">
        <v>840</v>
      </c>
    </row>
    <row r="109" spans="1:7" x14ac:dyDescent="0.35">
      <c r="A109" s="39">
        <v>46174.876354166663</v>
      </c>
      <c r="B109" t="s">
        <v>805</v>
      </c>
      <c r="C109">
        <v>17449</v>
      </c>
      <c r="D109">
        <v>1</v>
      </c>
      <c r="E109">
        <v>7</v>
      </c>
      <c r="F109" t="s">
        <v>845</v>
      </c>
      <c r="G109" t="s">
        <v>840</v>
      </c>
    </row>
    <row r="110" spans="1:7" x14ac:dyDescent="0.35">
      <c r="A110" s="39">
        <v>46174.89472222222</v>
      </c>
      <c r="B110" t="s">
        <v>805</v>
      </c>
      <c r="C110">
        <v>17447</v>
      </c>
      <c r="D110">
        <v>1</v>
      </c>
      <c r="E110">
        <v>7</v>
      </c>
      <c r="F110" t="s">
        <v>878</v>
      </c>
      <c r="G110" t="s">
        <v>840</v>
      </c>
    </row>
    <row r="111" spans="1:7" x14ac:dyDescent="0.35">
      <c r="A111" s="39">
        <v>46191.766585648147</v>
      </c>
      <c r="B111" t="s">
        <v>805</v>
      </c>
      <c r="C111" t="s">
        <v>904</v>
      </c>
      <c r="D111">
        <v>1</v>
      </c>
      <c r="E111">
        <v>1</v>
      </c>
      <c r="F111" t="s">
        <v>905</v>
      </c>
      <c r="G111" t="s">
        <v>840</v>
      </c>
    </row>
    <row r="112" spans="1:7" x14ac:dyDescent="0.35">
      <c r="A112" s="39">
        <v>46192.421331018515</v>
      </c>
      <c r="B112" t="s">
        <v>805</v>
      </c>
      <c r="C112">
        <v>84244</v>
      </c>
      <c r="D112">
        <v>4</v>
      </c>
      <c r="E112">
        <v>20</v>
      </c>
      <c r="F112" t="s">
        <v>906</v>
      </c>
      <c r="G112" t="s">
        <v>840</v>
      </c>
    </row>
    <row r="113" spans="1:7" x14ac:dyDescent="0.35">
      <c r="A113" s="39">
        <v>46192.542557870373</v>
      </c>
      <c r="B113" t="s">
        <v>805</v>
      </c>
      <c r="C113">
        <v>108704</v>
      </c>
      <c r="D113">
        <v>3</v>
      </c>
      <c r="E113">
        <v>17</v>
      </c>
      <c r="F113" t="s">
        <v>907</v>
      </c>
      <c r="G113" t="s">
        <v>840</v>
      </c>
    </row>
    <row r="114" spans="1:7" x14ac:dyDescent="0.35">
      <c r="A114" s="39">
        <v>46192.633738425924</v>
      </c>
      <c r="B114" t="s">
        <v>805</v>
      </c>
      <c r="C114">
        <v>113960</v>
      </c>
      <c r="D114">
        <v>4</v>
      </c>
      <c r="E114">
        <v>18</v>
      </c>
      <c r="F114" t="s">
        <v>826</v>
      </c>
      <c r="G114" t="s">
        <v>840</v>
      </c>
    </row>
    <row r="115" spans="1:7" x14ac:dyDescent="0.35">
      <c r="A115" s="39">
        <v>46192.809918981482</v>
      </c>
      <c r="B115" t="s">
        <v>805</v>
      </c>
      <c r="C115">
        <v>125759</v>
      </c>
      <c r="D115">
        <v>4</v>
      </c>
      <c r="E115">
        <v>12</v>
      </c>
      <c r="F115" t="s">
        <v>908</v>
      </c>
      <c r="G115" t="s">
        <v>840</v>
      </c>
    </row>
    <row r="116" spans="1:7" x14ac:dyDescent="0.35">
      <c r="A116" s="39">
        <v>46192.861747685187</v>
      </c>
      <c r="B116" t="s">
        <v>805</v>
      </c>
      <c r="C116">
        <v>124414</v>
      </c>
      <c r="D116">
        <v>4</v>
      </c>
      <c r="E116">
        <v>14</v>
      </c>
      <c r="F116" t="s">
        <v>909</v>
      </c>
      <c r="G116" t="s">
        <v>840</v>
      </c>
    </row>
    <row r="117" spans="1:7" x14ac:dyDescent="0.35">
      <c r="A117" s="39">
        <v>46192.928668981483</v>
      </c>
      <c r="B117" t="s">
        <v>805</v>
      </c>
      <c r="C117">
        <v>125153</v>
      </c>
      <c r="D117">
        <v>4</v>
      </c>
      <c r="E117">
        <v>14</v>
      </c>
      <c r="F117" t="s">
        <v>910</v>
      </c>
      <c r="G117" t="s">
        <v>840</v>
      </c>
    </row>
    <row r="118" spans="1:7" x14ac:dyDescent="0.35">
      <c r="A118" s="39">
        <v>46195.50577546296</v>
      </c>
      <c r="B118" t="s">
        <v>805</v>
      </c>
      <c r="C118">
        <v>123034</v>
      </c>
      <c r="D118">
        <v>4</v>
      </c>
      <c r="E118">
        <v>8</v>
      </c>
      <c r="F118" t="s">
        <v>902</v>
      </c>
      <c r="G118" t="s">
        <v>840</v>
      </c>
    </row>
    <row r="119" spans="1:7" x14ac:dyDescent="0.35">
      <c r="A119" s="39">
        <v>46195.579351851855</v>
      </c>
      <c r="B119" t="s">
        <v>805</v>
      </c>
      <c r="C119">
        <v>123034</v>
      </c>
      <c r="D119">
        <v>1</v>
      </c>
      <c r="E119">
        <v>8</v>
      </c>
      <c r="F119" t="s">
        <v>911</v>
      </c>
      <c r="G119" t="s">
        <v>840</v>
      </c>
    </row>
    <row r="120" spans="1:7" x14ac:dyDescent="0.35">
      <c r="A120" s="39">
        <v>46195.966874999998</v>
      </c>
      <c r="B120" t="s">
        <v>805</v>
      </c>
      <c r="C120">
        <v>125435</v>
      </c>
      <c r="D120">
        <v>4</v>
      </c>
      <c r="E120">
        <v>8</v>
      </c>
      <c r="F120" t="s">
        <v>912</v>
      </c>
      <c r="G120" t="s">
        <v>840</v>
      </c>
    </row>
    <row r="121" spans="1:7" x14ac:dyDescent="0.35">
      <c r="A121" s="39">
        <v>46196.536481481482</v>
      </c>
      <c r="B121" t="s">
        <v>805</v>
      </c>
      <c r="C121">
        <v>124896</v>
      </c>
      <c r="D121">
        <v>2</v>
      </c>
      <c r="E121">
        <v>6</v>
      </c>
      <c r="F121" t="s">
        <v>888</v>
      </c>
      <c r="G121" t="s">
        <v>840</v>
      </c>
    </row>
    <row r="122" spans="1:7" x14ac:dyDescent="0.35">
      <c r="A122" s="39">
        <v>46196.727986111109</v>
      </c>
      <c r="B122" t="s">
        <v>805</v>
      </c>
      <c r="C122">
        <v>115987</v>
      </c>
      <c r="D122">
        <v>2</v>
      </c>
      <c r="E122">
        <v>10</v>
      </c>
      <c r="F122" t="s">
        <v>913</v>
      </c>
      <c r="G122" t="s">
        <v>840</v>
      </c>
    </row>
    <row r="123" spans="1:7" x14ac:dyDescent="0.35">
      <c r="A123" s="39">
        <v>46196.957881944443</v>
      </c>
      <c r="B123" t="s">
        <v>805</v>
      </c>
      <c r="C123">
        <v>124677</v>
      </c>
      <c r="D123">
        <v>4</v>
      </c>
      <c r="E123">
        <v>12</v>
      </c>
      <c r="F123" t="s">
        <v>914</v>
      </c>
      <c r="G123" t="s">
        <v>840</v>
      </c>
    </row>
    <row r="124" spans="1:7" x14ac:dyDescent="0.35">
      <c r="A124" s="39">
        <v>46197.040011574078</v>
      </c>
      <c r="B124" t="s">
        <v>805</v>
      </c>
      <c r="C124">
        <v>124379</v>
      </c>
      <c r="D124">
        <v>4</v>
      </c>
      <c r="E124">
        <v>14</v>
      </c>
      <c r="F124" t="s">
        <v>915</v>
      </c>
      <c r="G124" t="s">
        <v>840</v>
      </c>
    </row>
    <row r="125" spans="1:7" x14ac:dyDescent="0.35">
      <c r="A125" s="39">
        <v>46198.539479166669</v>
      </c>
      <c r="B125" t="s">
        <v>805</v>
      </c>
      <c r="C125">
        <v>114067</v>
      </c>
      <c r="D125">
        <v>4</v>
      </c>
      <c r="E125">
        <v>20</v>
      </c>
      <c r="F125" t="s">
        <v>894</v>
      </c>
      <c r="G125" t="s">
        <v>840</v>
      </c>
    </row>
    <row r="126" spans="1:7" x14ac:dyDescent="0.35">
      <c r="A126" s="39">
        <v>46198.643877314818</v>
      </c>
      <c r="B126" t="s">
        <v>805</v>
      </c>
      <c r="C126">
        <v>16978</v>
      </c>
      <c r="D126">
        <v>2</v>
      </c>
      <c r="E126">
        <v>10</v>
      </c>
      <c r="F126" t="s">
        <v>916</v>
      </c>
      <c r="G126" t="s">
        <v>840</v>
      </c>
    </row>
    <row r="127" spans="1:7" x14ac:dyDescent="0.35">
      <c r="A127" s="39">
        <v>46198.747858796298</v>
      </c>
      <c r="B127" t="s">
        <v>805</v>
      </c>
      <c r="C127">
        <v>16882</v>
      </c>
      <c r="D127">
        <v>1</v>
      </c>
      <c r="E127">
        <v>5</v>
      </c>
      <c r="F127" t="s">
        <v>917</v>
      </c>
      <c r="G127" t="s">
        <v>840</v>
      </c>
    </row>
    <row r="128" spans="1:7" x14ac:dyDescent="0.35">
      <c r="A128" s="39">
        <v>46198.85359953704</v>
      </c>
      <c r="B128" t="s">
        <v>805</v>
      </c>
      <c r="C128">
        <v>16962</v>
      </c>
      <c r="D128">
        <v>1</v>
      </c>
      <c r="E128">
        <v>7</v>
      </c>
      <c r="F128" t="s">
        <v>837</v>
      </c>
      <c r="G128" t="s">
        <v>840</v>
      </c>
    </row>
    <row r="129" spans="1:7" x14ac:dyDescent="0.35">
      <c r="A129" s="39">
        <v>46198.929097222222</v>
      </c>
      <c r="B129" t="s">
        <v>805</v>
      </c>
      <c r="C129">
        <v>16954</v>
      </c>
      <c r="D129">
        <v>1</v>
      </c>
      <c r="E129">
        <v>7</v>
      </c>
      <c r="F129" t="s">
        <v>918</v>
      </c>
      <c r="G129" t="s">
        <v>840</v>
      </c>
    </row>
    <row r="130" spans="1:7" x14ac:dyDescent="0.35">
      <c r="A130" s="39">
        <v>46199.369432870371</v>
      </c>
      <c r="B130" t="s">
        <v>805</v>
      </c>
      <c r="C130">
        <v>16890</v>
      </c>
      <c r="D130">
        <v>3</v>
      </c>
      <c r="E130">
        <v>11</v>
      </c>
      <c r="F130" t="s">
        <v>919</v>
      </c>
      <c r="G130" t="s">
        <v>840</v>
      </c>
    </row>
    <row r="131" spans="1:7" x14ac:dyDescent="0.35">
      <c r="A131" s="39">
        <v>46199.423321759263</v>
      </c>
      <c r="B131" t="s">
        <v>805</v>
      </c>
      <c r="C131">
        <v>6903</v>
      </c>
      <c r="D131">
        <v>4</v>
      </c>
      <c r="E131">
        <v>12</v>
      </c>
      <c r="F131" t="s">
        <v>920</v>
      </c>
      <c r="G131" t="s">
        <v>840</v>
      </c>
    </row>
    <row r="132" spans="1:7" x14ac:dyDescent="0.35">
      <c r="A132" s="39">
        <v>46199.462812500002</v>
      </c>
      <c r="B132" t="s">
        <v>805</v>
      </c>
      <c r="C132">
        <v>6904</v>
      </c>
      <c r="D132">
        <v>1</v>
      </c>
      <c r="E132">
        <v>7</v>
      </c>
      <c r="F132" t="s">
        <v>921</v>
      </c>
      <c r="G132" t="s">
        <v>840</v>
      </c>
    </row>
    <row r="133" spans="1:7" x14ac:dyDescent="0.35">
      <c r="A133" s="39">
        <v>46199.500011574077</v>
      </c>
      <c r="B133" t="s">
        <v>805</v>
      </c>
      <c r="C133">
        <v>6905</v>
      </c>
      <c r="D133">
        <v>1</v>
      </c>
      <c r="E133">
        <v>5</v>
      </c>
      <c r="F133" t="s">
        <v>844</v>
      </c>
      <c r="G133" t="s">
        <v>840</v>
      </c>
    </row>
    <row r="134" spans="1:7" x14ac:dyDescent="0.35">
      <c r="A134" s="39">
        <v>46202.5</v>
      </c>
      <c r="B134" t="s">
        <v>805</v>
      </c>
      <c r="C134">
        <v>123186</v>
      </c>
      <c r="D134">
        <v>2</v>
      </c>
      <c r="E134">
        <v>6</v>
      </c>
      <c r="F134" t="s">
        <v>922</v>
      </c>
      <c r="G134" t="s">
        <v>840</v>
      </c>
    </row>
    <row r="135" spans="1:7" x14ac:dyDescent="0.35">
      <c r="A135" s="39">
        <v>46202.580555555556</v>
      </c>
      <c r="B135" t="s">
        <v>805</v>
      </c>
      <c r="C135">
        <v>123208</v>
      </c>
      <c r="D135">
        <v>2</v>
      </c>
      <c r="E135">
        <v>6</v>
      </c>
      <c r="F135" t="s">
        <v>923</v>
      </c>
      <c r="G135" t="s">
        <v>840</v>
      </c>
    </row>
    <row r="136" spans="1:7" x14ac:dyDescent="0.35">
      <c r="A136" s="39">
        <v>46202.629756944443</v>
      </c>
      <c r="B136" t="s">
        <v>805</v>
      </c>
      <c r="C136">
        <v>125721</v>
      </c>
      <c r="D136">
        <v>2</v>
      </c>
      <c r="E136">
        <v>8</v>
      </c>
      <c r="F136" t="s">
        <v>924</v>
      </c>
      <c r="G136" t="s">
        <v>840</v>
      </c>
    </row>
    <row r="137" spans="1:7" x14ac:dyDescent="0.35">
      <c r="A137" s="39">
        <v>46202.92491898148</v>
      </c>
      <c r="B137" t="s">
        <v>805</v>
      </c>
      <c r="C137">
        <v>124644</v>
      </c>
      <c r="D137">
        <v>2</v>
      </c>
      <c r="E137">
        <v>7</v>
      </c>
      <c r="F137" t="s">
        <v>878</v>
      </c>
      <c r="G137" t="s">
        <v>840</v>
      </c>
    </row>
    <row r="138" spans="1:7" x14ac:dyDescent="0.35">
      <c r="A138" s="39">
        <v>46203.625856481478</v>
      </c>
      <c r="B138" t="s">
        <v>805</v>
      </c>
      <c r="C138">
        <v>122584</v>
      </c>
      <c r="D138">
        <v>1</v>
      </c>
      <c r="E138">
        <v>3</v>
      </c>
      <c r="F138" t="s">
        <v>925</v>
      </c>
      <c r="G138" t="s">
        <v>840</v>
      </c>
    </row>
    <row r="139" spans="1:7" x14ac:dyDescent="0.35">
      <c r="A139" s="39">
        <v>46203.639328703706</v>
      </c>
      <c r="B139" t="s">
        <v>805</v>
      </c>
      <c r="C139">
        <v>123852</v>
      </c>
      <c r="D139">
        <v>1</v>
      </c>
      <c r="E139">
        <v>3</v>
      </c>
      <c r="F139" t="s">
        <v>926</v>
      </c>
      <c r="G139" t="s">
        <v>840</v>
      </c>
    </row>
    <row r="140" spans="1:7" x14ac:dyDescent="0.35">
      <c r="A140" s="39">
        <v>46204.58216435185</v>
      </c>
      <c r="B140" t="s">
        <v>805</v>
      </c>
      <c r="C140">
        <v>131901</v>
      </c>
      <c r="D140">
        <v>2</v>
      </c>
      <c r="E140">
        <v>6</v>
      </c>
      <c r="F140" t="s">
        <v>845</v>
      </c>
      <c r="G140" t="s">
        <v>840</v>
      </c>
    </row>
    <row r="141" spans="1:7" x14ac:dyDescent="0.35">
      <c r="A141" s="39">
        <v>46204.629699074074</v>
      </c>
      <c r="B141" t="s">
        <v>805</v>
      </c>
      <c r="C141">
        <v>128317</v>
      </c>
      <c r="D141">
        <v>4</v>
      </c>
      <c r="E141">
        <v>14</v>
      </c>
      <c r="F141" t="s">
        <v>927</v>
      </c>
      <c r="G141" t="s">
        <v>840</v>
      </c>
    </row>
    <row r="142" spans="1:7" x14ac:dyDescent="0.35">
      <c r="A142" s="39">
        <v>46205.384652777779</v>
      </c>
      <c r="B142" t="s">
        <v>805</v>
      </c>
      <c r="C142">
        <v>129949</v>
      </c>
      <c r="D142">
        <v>2</v>
      </c>
      <c r="E142">
        <v>8</v>
      </c>
      <c r="F142" t="s">
        <v>928</v>
      </c>
      <c r="G142" t="s">
        <v>840</v>
      </c>
    </row>
    <row r="143" spans="1:7" x14ac:dyDescent="0.35">
      <c r="A143" s="39">
        <v>46205.434178240743</v>
      </c>
      <c r="B143" t="s">
        <v>805</v>
      </c>
      <c r="C143">
        <v>130837</v>
      </c>
      <c r="D143">
        <v>2</v>
      </c>
      <c r="E143">
        <v>8</v>
      </c>
      <c r="F143" t="s">
        <v>929</v>
      </c>
      <c r="G143" t="s">
        <v>840</v>
      </c>
    </row>
    <row r="144" spans="1:7" x14ac:dyDescent="0.35">
      <c r="A144" s="39">
        <v>46205.536087962966</v>
      </c>
      <c r="B144" t="s">
        <v>805</v>
      </c>
      <c r="C144">
        <v>130321</v>
      </c>
      <c r="D144">
        <v>4</v>
      </c>
      <c r="E144">
        <v>16</v>
      </c>
      <c r="F144" t="s">
        <v>930</v>
      </c>
      <c r="G144" t="s">
        <v>840</v>
      </c>
    </row>
    <row r="145" spans="1:7" x14ac:dyDescent="0.35">
      <c r="A145" s="39">
        <v>46205.66710648148</v>
      </c>
      <c r="B145" t="s">
        <v>805</v>
      </c>
      <c r="C145">
        <v>132813</v>
      </c>
      <c r="D145">
        <v>4</v>
      </c>
      <c r="E145">
        <v>14</v>
      </c>
      <c r="F145" t="s">
        <v>894</v>
      </c>
      <c r="G145" t="s">
        <v>840</v>
      </c>
    </row>
    <row r="146" spans="1:7" x14ac:dyDescent="0.35">
      <c r="A146" s="39">
        <v>46205.737800925926</v>
      </c>
      <c r="B146" t="s">
        <v>805</v>
      </c>
      <c r="C146">
        <v>131194</v>
      </c>
      <c r="D146">
        <v>1</v>
      </c>
      <c r="E146">
        <v>7</v>
      </c>
      <c r="F146" t="s">
        <v>931</v>
      </c>
      <c r="G146" t="s">
        <v>840</v>
      </c>
    </row>
    <row r="147" spans="1:7" x14ac:dyDescent="0.35">
      <c r="A147" s="39">
        <v>46205.80028935185</v>
      </c>
      <c r="B147" t="s">
        <v>805</v>
      </c>
      <c r="C147">
        <v>132618</v>
      </c>
      <c r="D147">
        <v>4</v>
      </c>
      <c r="E147">
        <v>20</v>
      </c>
      <c r="F147" t="s">
        <v>932</v>
      </c>
      <c r="G147" t="s">
        <v>840</v>
      </c>
    </row>
    <row r="148" spans="1:7" x14ac:dyDescent="0.35">
      <c r="A148" s="39">
        <v>46206.348425925928</v>
      </c>
      <c r="B148" t="s">
        <v>805</v>
      </c>
      <c r="C148">
        <v>132002</v>
      </c>
      <c r="D148">
        <v>4</v>
      </c>
      <c r="E148">
        <v>24</v>
      </c>
      <c r="F148" t="s">
        <v>933</v>
      </c>
      <c r="G148" t="s">
        <v>840</v>
      </c>
    </row>
    <row r="149" spans="1:7" x14ac:dyDescent="0.35">
      <c r="A149" s="39">
        <v>46206.398958333331</v>
      </c>
      <c r="B149" t="s">
        <v>805</v>
      </c>
      <c r="C149">
        <v>128498</v>
      </c>
      <c r="D149">
        <v>3</v>
      </c>
      <c r="E149">
        <v>11</v>
      </c>
      <c r="F149" t="s">
        <v>934</v>
      </c>
      <c r="G149" t="s">
        <v>840</v>
      </c>
    </row>
    <row r="150" spans="1:7" x14ac:dyDescent="0.35">
      <c r="A150" s="39">
        <v>46206.494317129633</v>
      </c>
      <c r="B150" t="s">
        <v>805</v>
      </c>
      <c r="C150">
        <v>128201</v>
      </c>
      <c r="D150">
        <v>4</v>
      </c>
      <c r="E150">
        <v>24</v>
      </c>
      <c r="F150" t="s">
        <v>935</v>
      </c>
      <c r="G150" t="s">
        <v>840</v>
      </c>
    </row>
    <row r="151" spans="1:7" x14ac:dyDescent="0.35">
      <c r="A151" s="39">
        <v>46206.55976851852</v>
      </c>
      <c r="B151" t="s">
        <v>805</v>
      </c>
      <c r="C151">
        <v>129218</v>
      </c>
      <c r="D151">
        <v>4</v>
      </c>
      <c r="E151">
        <v>14</v>
      </c>
      <c r="F151" t="s">
        <v>936</v>
      </c>
      <c r="G151" t="s">
        <v>840</v>
      </c>
    </row>
    <row r="152" spans="1:7" x14ac:dyDescent="0.35">
      <c r="A152" s="39">
        <v>46206.614699074074</v>
      </c>
      <c r="B152" t="s">
        <v>805</v>
      </c>
      <c r="C152">
        <v>130394</v>
      </c>
      <c r="D152">
        <v>2</v>
      </c>
      <c r="E152">
        <v>6</v>
      </c>
      <c r="F152" t="s">
        <v>937</v>
      </c>
      <c r="G152" t="s">
        <v>840</v>
      </c>
    </row>
    <row r="153" spans="1:7" x14ac:dyDescent="0.35">
      <c r="A153" s="39">
        <v>46206.78638888889</v>
      </c>
      <c r="B153" t="s">
        <v>805</v>
      </c>
      <c r="C153">
        <v>131670</v>
      </c>
      <c r="D153">
        <v>4</v>
      </c>
      <c r="E153">
        <v>20</v>
      </c>
      <c r="F153" t="s">
        <v>938</v>
      </c>
      <c r="G153" t="s">
        <v>840</v>
      </c>
    </row>
    <row r="154" spans="1:7" x14ac:dyDescent="0.35">
      <c r="A154" s="39">
        <v>46206.792384259257</v>
      </c>
      <c r="B154" t="s">
        <v>805</v>
      </c>
      <c r="C154">
        <v>131670</v>
      </c>
      <c r="D154">
        <v>4</v>
      </c>
      <c r="E154">
        <v>20</v>
      </c>
      <c r="F154" t="s">
        <v>939</v>
      </c>
      <c r="G154" t="s">
        <v>840</v>
      </c>
    </row>
    <row r="155" spans="1:7" x14ac:dyDescent="0.35">
      <c r="A155" s="39">
        <v>46209.514097222222</v>
      </c>
      <c r="B155" t="s">
        <v>805</v>
      </c>
      <c r="C155">
        <v>132983</v>
      </c>
      <c r="D155">
        <v>3</v>
      </c>
      <c r="E155">
        <v>15</v>
      </c>
      <c r="F155" t="s">
        <v>940</v>
      </c>
      <c r="G155" t="s">
        <v>840</v>
      </c>
    </row>
    <row r="156" spans="1:7" x14ac:dyDescent="0.35">
      <c r="A156" s="39">
        <v>46209.595011574071</v>
      </c>
      <c r="B156" t="s">
        <v>805</v>
      </c>
      <c r="C156">
        <v>122828</v>
      </c>
      <c r="D156">
        <v>2</v>
      </c>
      <c r="E156">
        <v>10</v>
      </c>
      <c r="F156" t="s">
        <v>839</v>
      </c>
      <c r="G156" t="s">
        <v>840</v>
      </c>
    </row>
    <row r="157" spans="1:7" x14ac:dyDescent="0.35">
      <c r="A157" s="39">
        <v>46209.637870370374</v>
      </c>
      <c r="B157" t="s">
        <v>805</v>
      </c>
      <c r="C157">
        <v>132004</v>
      </c>
      <c r="D157">
        <v>2</v>
      </c>
      <c r="E157">
        <v>8</v>
      </c>
      <c r="F157" t="s">
        <v>941</v>
      </c>
      <c r="G157" t="s">
        <v>840</v>
      </c>
    </row>
    <row r="158" spans="1:7" x14ac:dyDescent="0.35">
      <c r="A158" s="39">
        <v>46209.72115740741</v>
      </c>
      <c r="B158" t="s">
        <v>805</v>
      </c>
      <c r="C158">
        <v>131903</v>
      </c>
      <c r="D158">
        <v>2</v>
      </c>
      <c r="E158">
        <v>10</v>
      </c>
      <c r="F158" t="s">
        <v>942</v>
      </c>
      <c r="G158" t="s">
        <v>840</v>
      </c>
    </row>
    <row r="159" spans="1:7" x14ac:dyDescent="0.35">
      <c r="A159" s="39">
        <v>46209.761365740742</v>
      </c>
      <c r="B159" t="s">
        <v>805</v>
      </c>
      <c r="C159">
        <v>131328</v>
      </c>
      <c r="D159">
        <v>2</v>
      </c>
      <c r="E159">
        <v>8</v>
      </c>
      <c r="F159" t="s">
        <v>914</v>
      </c>
      <c r="G159" t="s">
        <v>840</v>
      </c>
    </row>
    <row r="160" spans="1:7" x14ac:dyDescent="0.35">
      <c r="A160" s="39">
        <v>46210.408634259256</v>
      </c>
      <c r="B160" t="s">
        <v>805</v>
      </c>
      <c r="C160">
        <v>129778</v>
      </c>
      <c r="D160">
        <v>2</v>
      </c>
      <c r="E160">
        <v>8</v>
      </c>
      <c r="F160" t="s">
        <v>943</v>
      </c>
      <c r="G160" t="s">
        <v>840</v>
      </c>
    </row>
    <row r="161" spans="1:7" x14ac:dyDescent="0.35">
      <c r="A161" s="39">
        <v>46210.463680555556</v>
      </c>
      <c r="B161" t="s">
        <v>805</v>
      </c>
      <c r="C161">
        <v>130679</v>
      </c>
      <c r="D161">
        <v>4</v>
      </c>
      <c r="E161">
        <v>14</v>
      </c>
      <c r="F161" t="s">
        <v>944</v>
      </c>
      <c r="G161" t="s">
        <v>840</v>
      </c>
    </row>
    <row r="162" spans="1:7" x14ac:dyDescent="0.35">
      <c r="A162" s="39">
        <v>46210.519432870373</v>
      </c>
      <c r="B162" t="s">
        <v>805</v>
      </c>
      <c r="C162">
        <v>129548</v>
      </c>
      <c r="D162">
        <v>2</v>
      </c>
      <c r="E162">
        <v>8</v>
      </c>
      <c r="F162" t="s">
        <v>945</v>
      </c>
      <c r="G162" t="s">
        <v>840</v>
      </c>
    </row>
    <row r="163" spans="1:7" x14ac:dyDescent="0.35">
      <c r="A163" s="39">
        <v>46210.700752314813</v>
      </c>
      <c r="B163" t="s">
        <v>805</v>
      </c>
      <c r="C163">
        <v>128372</v>
      </c>
      <c r="D163">
        <v>2</v>
      </c>
      <c r="E163">
        <v>8</v>
      </c>
      <c r="F163" t="s">
        <v>890</v>
      </c>
      <c r="G163" t="s">
        <v>840</v>
      </c>
    </row>
    <row r="164" spans="1:7" x14ac:dyDescent="0.35">
      <c r="A164" s="39">
        <v>46210.752615740741</v>
      </c>
      <c r="B164" t="s">
        <v>805</v>
      </c>
      <c r="C164">
        <v>128415</v>
      </c>
      <c r="D164">
        <v>4</v>
      </c>
      <c r="E164">
        <v>22</v>
      </c>
      <c r="F164" t="s">
        <v>832</v>
      </c>
      <c r="G164" t="s">
        <v>840</v>
      </c>
    </row>
    <row r="165" spans="1:7" x14ac:dyDescent="0.35">
      <c r="A165" s="39">
        <v>46210.795324074075</v>
      </c>
      <c r="B165" t="s">
        <v>805</v>
      </c>
      <c r="C165">
        <v>129188</v>
      </c>
      <c r="D165">
        <v>4</v>
      </c>
      <c r="E165">
        <v>20</v>
      </c>
      <c r="F165" t="s">
        <v>946</v>
      </c>
      <c r="G165" t="s">
        <v>840</v>
      </c>
    </row>
    <row r="166" spans="1:7" x14ac:dyDescent="0.35">
      <c r="A166" s="39">
        <v>46211.56486111111</v>
      </c>
      <c r="B166" t="s">
        <v>805</v>
      </c>
      <c r="C166">
        <v>132428</v>
      </c>
      <c r="D166">
        <v>2</v>
      </c>
      <c r="E166">
        <v>6</v>
      </c>
      <c r="F166" t="s">
        <v>947</v>
      </c>
      <c r="G166" t="s">
        <v>840</v>
      </c>
    </row>
    <row r="167" spans="1:7" x14ac:dyDescent="0.35">
      <c r="A167" s="39">
        <v>46211.583124999997</v>
      </c>
      <c r="B167" t="s">
        <v>805</v>
      </c>
      <c r="C167">
        <v>132276</v>
      </c>
      <c r="D167">
        <v>2</v>
      </c>
      <c r="E167">
        <v>6</v>
      </c>
      <c r="F167" t="s">
        <v>948</v>
      </c>
      <c r="G167" t="s">
        <v>840</v>
      </c>
    </row>
    <row r="168" spans="1:7" x14ac:dyDescent="0.35">
      <c r="A168" s="39">
        <v>46211.602210648147</v>
      </c>
      <c r="B168" t="s">
        <v>805</v>
      </c>
      <c r="C168">
        <v>130184</v>
      </c>
      <c r="D168">
        <v>2</v>
      </c>
      <c r="E168">
        <v>6</v>
      </c>
      <c r="F168" t="s">
        <v>949</v>
      </c>
      <c r="G168" t="s">
        <v>840</v>
      </c>
    </row>
    <row r="169" spans="1:7" x14ac:dyDescent="0.35">
      <c r="A169" s="39">
        <v>46211.625636574077</v>
      </c>
      <c r="B169" t="s">
        <v>805</v>
      </c>
      <c r="C169">
        <v>131052</v>
      </c>
      <c r="D169">
        <v>2</v>
      </c>
      <c r="E169">
        <v>8</v>
      </c>
      <c r="F169" t="s">
        <v>915</v>
      </c>
      <c r="G169" t="s">
        <v>840</v>
      </c>
    </row>
    <row r="170" spans="1:7" x14ac:dyDescent="0.35">
      <c r="A170" s="39">
        <v>46211.744120370371</v>
      </c>
      <c r="B170" t="s">
        <v>805</v>
      </c>
      <c r="C170">
        <v>130756</v>
      </c>
      <c r="D170">
        <v>2</v>
      </c>
      <c r="E170">
        <v>8</v>
      </c>
      <c r="F170" t="s">
        <v>931</v>
      </c>
      <c r="G170" t="s">
        <v>840</v>
      </c>
    </row>
    <row r="171" spans="1:7" x14ac:dyDescent="0.35">
      <c r="A171" s="39">
        <v>46212.441701388889</v>
      </c>
      <c r="B171" t="s">
        <v>805</v>
      </c>
      <c r="C171">
        <v>132500</v>
      </c>
      <c r="D171">
        <v>1</v>
      </c>
      <c r="E171">
        <v>7</v>
      </c>
      <c r="F171" t="s">
        <v>950</v>
      </c>
      <c r="G171" t="s">
        <v>840</v>
      </c>
    </row>
    <row r="172" spans="1:7" x14ac:dyDescent="0.35">
      <c r="A172" s="39">
        <v>46212.441932870373</v>
      </c>
    </row>
    <row r="173" spans="1:7" x14ac:dyDescent="0.35">
      <c r="A173" s="39">
        <v>46212.675092592595</v>
      </c>
      <c r="B173" t="s">
        <v>805</v>
      </c>
      <c r="C173">
        <v>130406</v>
      </c>
      <c r="D173">
        <v>5</v>
      </c>
      <c r="E173">
        <v>20</v>
      </c>
      <c r="F173" t="s">
        <v>951</v>
      </c>
      <c r="G173" t="s">
        <v>840</v>
      </c>
    </row>
    <row r="174" spans="1:7" x14ac:dyDescent="0.35">
      <c r="A174" s="39">
        <v>46212.728761574072</v>
      </c>
      <c r="B174" t="s">
        <v>805</v>
      </c>
      <c r="C174">
        <v>131012</v>
      </c>
      <c r="D174">
        <v>2</v>
      </c>
      <c r="E174">
        <v>10</v>
      </c>
      <c r="F174" t="s">
        <v>931</v>
      </c>
      <c r="G174" t="s">
        <v>840</v>
      </c>
    </row>
    <row r="175" spans="1:7" x14ac:dyDescent="0.35">
      <c r="A175" s="39">
        <v>46212.821481481478</v>
      </c>
      <c r="B175" t="s">
        <v>805</v>
      </c>
      <c r="C175">
        <v>128411</v>
      </c>
      <c r="D175">
        <v>4</v>
      </c>
      <c r="E175">
        <v>22</v>
      </c>
      <c r="F175" t="s">
        <v>875</v>
      </c>
      <c r="G175" t="s">
        <v>840</v>
      </c>
    </row>
    <row r="176" spans="1:7" x14ac:dyDescent="0.35">
      <c r="A176" s="39">
        <v>46213.049189814818</v>
      </c>
      <c r="B176" t="s">
        <v>805</v>
      </c>
      <c r="C176">
        <v>132371</v>
      </c>
      <c r="D176">
        <v>4</v>
      </c>
      <c r="E176">
        <v>14</v>
      </c>
      <c r="F176" t="s">
        <v>917</v>
      </c>
      <c r="G176" t="s">
        <v>840</v>
      </c>
    </row>
    <row r="177" spans="1:9" x14ac:dyDescent="0.35">
      <c r="A177" s="39">
        <v>46213.073125000003</v>
      </c>
      <c r="B177" t="s">
        <v>805</v>
      </c>
      <c r="C177">
        <v>130587</v>
      </c>
      <c r="D177">
        <v>2</v>
      </c>
      <c r="E177">
        <v>6</v>
      </c>
      <c r="F177" t="s">
        <v>952</v>
      </c>
      <c r="G177" t="s">
        <v>840</v>
      </c>
    </row>
    <row r="178" spans="1:9" x14ac:dyDescent="0.35">
      <c r="A178" s="39">
        <v>46230.377129629633</v>
      </c>
      <c r="B178" t="s">
        <v>805</v>
      </c>
      <c r="C178" t="s">
        <v>904</v>
      </c>
      <c r="D178">
        <v>1</v>
      </c>
      <c r="E178">
        <v>3</v>
      </c>
      <c r="F178" t="s">
        <v>950</v>
      </c>
      <c r="G178" t="s">
        <v>953</v>
      </c>
      <c r="I178">
        <v>0</v>
      </c>
    </row>
    <row r="179" spans="1:9" x14ac:dyDescent="0.35">
      <c r="A179" s="39">
        <v>46230.409791666665</v>
      </c>
      <c r="B179" t="s">
        <v>805</v>
      </c>
      <c r="C179" t="s">
        <v>904</v>
      </c>
      <c r="D179">
        <v>2</v>
      </c>
      <c r="E179">
        <v>8</v>
      </c>
      <c r="F179" t="s">
        <v>954</v>
      </c>
      <c r="G179" t="s">
        <v>953</v>
      </c>
      <c r="I179">
        <v>0</v>
      </c>
    </row>
    <row r="180" spans="1:9" x14ac:dyDescent="0.35">
      <c r="A180" s="39">
        <v>46230.649351851855</v>
      </c>
      <c r="B180" t="s">
        <v>805</v>
      </c>
      <c r="C180">
        <v>136577</v>
      </c>
      <c r="D180">
        <v>2</v>
      </c>
      <c r="E180">
        <v>6</v>
      </c>
      <c r="F180" t="s">
        <v>926</v>
      </c>
      <c r="G180" t="s">
        <v>953</v>
      </c>
      <c r="I180">
        <v>0</v>
      </c>
    </row>
    <row r="181" spans="1:9" x14ac:dyDescent="0.35">
      <c r="A181" s="39">
        <v>46230.727175925924</v>
      </c>
      <c r="B181" t="s">
        <v>805</v>
      </c>
      <c r="C181">
        <v>136393</v>
      </c>
      <c r="D181">
        <v>2</v>
      </c>
      <c r="E181">
        <v>6</v>
      </c>
      <c r="F181" t="s">
        <v>955</v>
      </c>
      <c r="G181" t="s">
        <v>953</v>
      </c>
      <c r="I181">
        <v>6</v>
      </c>
    </row>
    <row r="182" spans="1:9" x14ac:dyDescent="0.35">
      <c r="A182" s="39">
        <v>46230.738645833335</v>
      </c>
      <c r="B182" t="s">
        <v>805</v>
      </c>
      <c r="C182">
        <v>136393</v>
      </c>
      <c r="D182">
        <v>2</v>
      </c>
      <c r="E182">
        <v>6</v>
      </c>
      <c r="F182" t="s">
        <v>956</v>
      </c>
      <c r="G182" t="s">
        <v>953</v>
      </c>
      <c r="I182">
        <v>0</v>
      </c>
    </row>
    <row r="183" spans="1:9" x14ac:dyDescent="0.35">
      <c r="A183" s="39">
        <v>46230.763923611114</v>
      </c>
      <c r="B183" t="s">
        <v>805</v>
      </c>
      <c r="C183">
        <v>136393</v>
      </c>
      <c r="D183">
        <v>2</v>
      </c>
      <c r="E183">
        <v>6</v>
      </c>
      <c r="F183" t="s">
        <v>957</v>
      </c>
      <c r="G183">
        <v>3.4</v>
      </c>
      <c r="I183">
        <v>0</v>
      </c>
    </row>
    <row r="184" spans="1:9" x14ac:dyDescent="0.35">
      <c r="A184" s="39">
        <v>46230.768194444441</v>
      </c>
      <c r="B184" t="s">
        <v>805</v>
      </c>
      <c r="C184">
        <v>136393</v>
      </c>
      <c r="D184">
        <v>2</v>
      </c>
      <c r="E184">
        <v>6</v>
      </c>
      <c r="F184" t="s">
        <v>958</v>
      </c>
      <c r="G184">
        <v>3.4</v>
      </c>
      <c r="I184">
        <v>0</v>
      </c>
    </row>
    <row r="185" spans="1:9" x14ac:dyDescent="0.35">
      <c r="A185" s="39">
        <v>46231.658634259256</v>
      </c>
      <c r="B185" t="s">
        <v>805</v>
      </c>
      <c r="C185">
        <v>129098</v>
      </c>
      <c r="D185">
        <v>2</v>
      </c>
      <c r="E185">
        <v>6</v>
      </c>
      <c r="F185" t="s">
        <v>959</v>
      </c>
      <c r="G185">
        <v>3.4</v>
      </c>
      <c r="I185">
        <v>0</v>
      </c>
    </row>
    <row r="186" spans="1:9" x14ac:dyDescent="0.35">
      <c r="A186" s="39">
        <v>46231.665891203702</v>
      </c>
      <c r="B186" t="s">
        <v>805</v>
      </c>
      <c r="C186">
        <v>129098</v>
      </c>
      <c r="D186">
        <v>4</v>
      </c>
      <c r="E186">
        <v>16</v>
      </c>
      <c r="F186" t="s">
        <v>857</v>
      </c>
      <c r="G186">
        <v>3.4</v>
      </c>
      <c r="I186">
        <v>0</v>
      </c>
    </row>
    <row r="187" spans="1:9" x14ac:dyDescent="0.35">
      <c r="A187" s="39">
        <v>46231.669849537036</v>
      </c>
      <c r="B187" t="s">
        <v>805</v>
      </c>
      <c r="C187">
        <v>129098</v>
      </c>
      <c r="D187">
        <v>4</v>
      </c>
      <c r="E187">
        <v>16</v>
      </c>
      <c r="F187" t="s">
        <v>960</v>
      </c>
      <c r="G187">
        <v>3.4</v>
      </c>
      <c r="I187">
        <v>0</v>
      </c>
    </row>
    <row r="188" spans="1:9" x14ac:dyDescent="0.35">
      <c r="A188" s="39">
        <v>46232.349340277775</v>
      </c>
      <c r="B188" t="s">
        <v>805</v>
      </c>
      <c r="C188">
        <v>137237</v>
      </c>
      <c r="D188">
        <v>4</v>
      </c>
      <c r="E188">
        <v>20</v>
      </c>
      <c r="F188" t="s">
        <v>898</v>
      </c>
      <c r="G188">
        <v>3.4</v>
      </c>
      <c r="I188">
        <v>0</v>
      </c>
    </row>
    <row r="189" spans="1:9" x14ac:dyDescent="0.35">
      <c r="A189" s="39">
        <v>46232.422881944447</v>
      </c>
      <c r="B189" t="s">
        <v>805</v>
      </c>
      <c r="C189">
        <v>135779</v>
      </c>
      <c r="D189">
        <v>7</v>
      </c>
      <c r="E189">
        <v>23</v>
      </c>
      <c r="F189" t="s">
        <v>859</v>
      </c>
      <c r="G189">
        <v>3.4</v>
      </c>
      <c r="I189">
        <v>0</v>
      </c>
    </row>
    <row r="190" spans="1:9" x14ac:dyDescent="0.35">
      <c r="A190" s="39">
        <v>46232.510266203702</v>
      </c>
      <c r="B190" t="s">
        <v>805</v>
      </c>
      <c r="C190">
        <v>129250</v>
      </c>
      <c r="D190">
        <v>4</v>
      </c>
      <c r="E190">
        <v>14</v>
      </c>
      <c r="F190" t="s">
        <v>961</v>
      </c>
      <c r="G190">
        <v>3.4</v>
      </c>
      <c r="I190">
        <v>0</v>
      </c>
    </row>
    <row r="191" spans="1:9" x14ac:dyDescent="0.35">
      <c r="A191" s="39">
        <v>46232.60533564815</v>
      </c>
      <c r="B191" t="s">
        <v>805</v>
      </c>
      <c r="C191">
        <v>128568</v>
      </c>
      <c r="D191">
        <v>4</v>
      </c>
      <c r="E191">
        <v>22</v>
      </c>
      <c r="F191" t="s">
        <v>962</v>
      </c>
      <c r="G191">
        <v>3.4</v>
      </c>
      <c r="I191">
        <v>0</v>
      </c>
    </row>
    <row r="192" spans="1:9" x14ac:dyDescent="0.35">
      <c r="A192" s="39">
        <v>46232.771134259259</v>
      </c>
      <c r="B192" t="s">
        <v>805</v>
      </c>
      <c r="C192">
        <v>128480</v>
      </c>
      <c r="D192">
        <v>5</v>
      </c>
      <c r="E192">
        <v>25</v>
      </c>
      <c r="F192" t="s">
        <v>963</v>
      </c>
      <c r="G192">
        <v>3.4</v>
      </c>
      <c r="I192">
        <v>0</v>
      </c>
    </row>
    <row r="193" spans="1:9" x14ac:dyDescent="0.35">
      <c r="A193" s="39">
        <v>46233.394120370373</v>
      </c>
      <c r="B193" t="s">
        <v>805</v>
      </c>
      <c r="C193">
        <v>128504</v>
      </c>
      <c r="D193">
        <v>4</v>
      </c>
      <c r="E193">
        <v>20</v>
      </c>
      <c r="F193" t="s">
        <v>964</v>
      </c>
      <c r="G193">
        <v>3.4</v>
      </c>
      <c r="I193">
        <v>0</v>
      </c>
    </row>
    <row r="194" spans="1:9" x14ac:dyDescent="0.35">
      <c r="A194" s="39">
        <v>46252.410937499997</v>
      </c>
      <c r="B194" t="s">
        <v>805</v>
      </c>
      <c r="C194">
        <v>134372</v>
      </c>
      <c r="D194">
        <v>4</v>
      </c>
      <c r="E194">
        <v>28</v>
      </c>
      <c r="F194" t="s">
        <v>2846</v>
      </c>
      <c r="G194">
        <v>3.5</v>
      </c>
      <c r="H194" t="s">
        <v>2847</v>
      </c>
      <c r="I194">
        <v>0</v>
      </c>
    </row>
    <row r="195" spans="1:9" x14ac:dyDescent="0.35">
      <c r="A195" s="39">
        <v>46252.554490740738</v>
      </c>
      <c r="B195" t="s">
        <v>805</v>
      </c>
      <c r="C195">
        <v>134388</v>
      </c>
      <c r="D195">
        <v>2</v>
      </c>
      <c r="E195">
        <v>10</v>
      </c>
      <c r="F195" t="s">
        <v>914</v>
      </c>
      <c r="G195">
        <v>3.5</v>
      </c>
      <c r="H195" t="s">
        <v>2847</v>
      </c>
      <c r="I195">
        <v>0</v>
      </c>
    </row>
    <row r="196" spans="1:9" x14ac:dyDescent="0.35">
      <c r="A196" s="39">
        <v>46252.5934837963</v>
      </c>
      <c r="B196" t="s">
        <v>805</v>
      </c>
      <c r="C196">
        <v>134412</v>
      </c>
      <c r="D196">
        <v>4</v>
      </c>
      <c r="E196">
        <v>27</v>
      </c>
      <c r="F196" t="s">
        <v>2870</v>
      </c>
      <c r="G196">
        <v>3.5</v>
      </c>
      <c r="H196" t="s">
        <v>2847</v>
      </c>
      <c r="I196">
        <v>0</v>
      </c>
    </row>
    <row r="197" spans="1:9" x14ac:dyDescent="0.35">
      <c r="A197" s="39">
        <v>46252.61446759259</v>
      </c>
      <c r="B197" t="s">
        <v>805</v>
      </c>
      <c r="C197">
        <v>134412</v>
      </c>
      <c r="D197">
        <v>4</v>
      </c>
      <c r="E197">
        <v>27</v>
      </c>
      <c r="F197" t="s">
        <v>907</v>
      </c>
      <c r="G197">
        <v>3.5</v>
      </c>
      <c r="H197" t="s">
        <v>2847</v>
      </c>
      <c r="I197">
        <v>0</v>
      </c>
    </row>
    <row r="198" spans="1:9" x14ac:dyDescent="0.35">
      <c r="A198" s="39">
        <v>46252.645150462966</v>
      </c>
      <c r="B198" t="s">
        <v>805</v>
      </c>
      <c r="C198">
        <v>134436</v>
      </c>
      <c r="D198">
        <v>3</v>
      </c>
      <c r="E198">
        <v>19</v>
      </c>
      <c r="F198" t="s">
        <v>946</v>
      </c>
      <c r="G198">
        <v>3.5</v>
      </c>
      <c r="H198" t="s">
        <v>2847</v>
      </c>
      <c r="I198">
        <v>0</v>
      </c>
    </row>
    <row r="199" spans="1:9" x14ac:dyDescent="0.35">
      <c r="A199" s="39">
        <v>46252.663032407407</v>
      </c>
      <c r="B199" t="s">
        <v>805</v>
      </c>
      <c r="C199">
        <v>134436</v>
      </c>
      <c r="D199">
        <v>3</v>
      </c>
      <c r="E199">
        <v>19</v>
      </c>
      <c r="F199" t="s">
        <v>963</v>
      </c>
      <c r="G199">
        <v>3.5</v>
      </c>
      <c r="H199" t="s">
        <v>2847</v>
      </c>
      <c r="I199">
        <v>0</v>
      </c>
    </row>
    <row r="200" spans="1:9" x14ac:dyDescent="0.35">
      <c r="A200" s="39">
        <v>46252.836585648147</v>
      </c>
      <c r="B200" t="s">
        <v>805</v>
      </c>
      <c r="C200">
        <v>134444</v>
      </c>
      <c r="D200">
        <v>4</v>
      </c>
      <c r="E200">
        <v>22</v>
      </c>
      <c r="F200" t="s">
        <v>2896</v>
      </c>
      <c r="G200">
        <v>3.5</v>
      </c>
      <c r="H200" t="s">
        <v>2847</v>
      </c>
      <c r="I200">
        <v>0</v>
      </c>
    </row>
    <row r="201" spans="1:9" x14ac:dyDescent="0.35">
      <c r="A201" s="39">
        <v>46253.426493055558</v>
      </c>
      <c r="B201" t="s">
        <v>805</v>
      </c>
      <c r="C201">
        <v>134508</v>
      </c>
      <c r="D201">
        <v>4</v>
      </c>
      <c r="E201">
        <v>26</v>
      </c>
      <c r="F201" t="s">
        <v>963</v>
      </c>
      <c r="G201">
        <v>3.5</v>
      </c>
      <c r="H201" t="s">
        <v>2847</v>
      </c>
      <c r="I201">
        <v>0</v>
      </c>
    </row>
    <row r="202" spans="1:9" x14ac:dyDescent="0.35">
      <c r="A202" s="39">
        <v>46253.466967592591</v>
      </c>
      <c r="B202" t="s">
        <v>805</v>
      </c>
      <c r="C202">
        <v>135984</v>
      </c>
      <c r="D202">
        <v>4</v>
      </c>
      <c r="E202">
        <v>26</v>
      </c>
      <c r="F202" t="s">
        <v>2917</v>
      </c>
      <c r="G202">
        <v>3.5</v>
      </c>
      <c r="H202" t="s">
        <v>2847</v>
      </c>
      <c r="I202">
        <v>0</v>
      </c>
    </row>
    <row r="203" spans="1:9" x14ac:dyDescent="0.35">
      <c r="A203" s="39">
        <v>46253.510763888888</v>
      </c>
      <c r="B203" t="s">
        <v>805</v>
      </c>
      <c r="C203">
        <v>134556</v>
      </c>
      <c r="D203">
        <v>2</v>
      </c>
      <c r="E203">
        <v>14</v>
      </c>
      <c r="F203" t="s">
        <v>893</v>
      </c>
      <c r="G203">
        <v>3.5</v>
      </c>
      <c r="H203" t="s">
        <v>2847</v>
      </c>
      <c r="I203">
        <v>0</v>
      </c>
    </row>
    <row r="204" spans="1:9" x14ac:dyDescent="0.35">
      <c r="A204" s="39">
        <v>46253.569976851853</v>
      </c>
      <c r="B204" t="s">
        <v>805</v>
      </c>
      <c r="C204">
        <v>137083</v>
      </c>
      <c r="D204">
        <v>2</v>
      </c>
      <c r="E204">
        <v>12</v>
      </c>
      <c r="F204" t="s">
        <v>886</v>
      </c>
      <c r="G204">
        <v>3.5</v>
      </c>
      <c r="H204" t="s">
        <v>2847</v>
      </c>
      <c r="I204">
        <v>0</v>
      </c>
    </row>
    <row r="205" spans="1:9" x14ac:dyDescent="0.35">
      <c r="A205" s="39">
        <v>46253.682673611111</v>
      </c>
      <c r="B205" t="s">
        <v>805</v>
      </c>
      <c r="C205">
        <v>137323</v>
      </c>
      <c r="D205">
        <v>1</v>
      </c>
      <c r="E205">
        <v>7</v>
      </c>
      <c r="F205" t="s">
        <v>2951</v>
      </c>
      <c r="G205">
        <v>3.5</v>
      </c>
      <c r="H205" t="s">
        <v>2847</v>
      </c>
      <c r="I205">
        <v>0</v>
      </c>
    </row>
    <row r="206" spans="1:9" x14ac:dyDescent="0.35">
      <c r="A206" s="39">
        <v>46253.895208333335</v>
      </c>
      <c r="B206" t="s">
        <v>805</v>
      </c>
      <c r="C206">
        <v>134660</v>
      </c>
      <c r="D206">
        <v>4</v>
      </c>
      <c r="E206">
        <v>16</v>
      </c>
      <c r="F206" t="s">
        <v>930</v>
      </c>
      <c r="G206">
        <v>3.5</v>
      </c>
      <c r="H206" t="s">
        <v>2847</v>
      </c>
      <c r="I206">
        <v>0</v>
      </c>
    </row>
    <row r="207" spans="1:9" x14ac:dyDescent="0.35">
      <c r="A207" s="39">
        <v>46258.484247685185</v>
      </c>
      <c r="B207" t="s">
        <v>805</v>
      </c>
      <c r="C207">
        <v>134404</v>
      </c>
      <c r="D207">
        <v>1</v>
      </c>
      <c r="E207">
        <v>7</v>
      </c>
      <c r="F207" t="s">
        <v>2981</v>
      </c>
      <c r="G207">
        <v>3.5</v>
      </c>
      <c r="H207" t="s">
        <v>2847</v>
      </c>
      <c r="I207">
        <v>0</v>
      </c>
    </row>
    <row r="208" spans="1:9" x14ac:dyDescent="0.35">
      <c r="A208" s="39">
        <v>46259.370648148149</v>
      </c>
      <c r="B208" t="s">
        <v>805</v>
      </c>
      <c r="C208">
        <v>134700</v>
      </c>
      <c r="D208">
        <v>1</v>
      </c>
      <c r="E208">
        <v>7</v>
      </c>
      <c r="F208" t="s">
        <v>930</v>
      </c>
      <c r="G208">
        <v>3.5</v>
      </c>
      <c r="H208" t="s">
        <v>2847</v>
      </c>
      <c r="I208">
        <v>0</v>
      </c>
    </row>
    <row r="209" spans="1:9" x14ac:dyDescent="0.35">
      <c r="A209" s="39">
        <v>46259.421979166669</v>
      </c>
      <c r="B209" t="s">
        <v>805</v>
      </c>
      <c r="C209">
        <v>135992</v>
      </c>
      <c r="D209">
        <v>1</v>
      </c>
      <c r="E209">
        <v>7</v>
      </c>
      <c r="F209" t="s">
        <v>2982</v>
      </c>
      <c r="G209">
        <v>3.5</v>
      </c>
      <c r="H209" t="s">
        <v>2847</v>
      </c>
      <c r="I209">
        <v>0</v>
      </c>
    </row>
    <row r="210" spans="1:9" x14ac:dyDescent="0.35">
      <c r="A210" s="39">
        <v>46259.723553240743</v>
      </c>
      <c r="B210" t="s">
        <v>805</v>
      </c>
      <c r="C210">
        <v>135608</v>
      </c>
      <c r="D210">
        <v>2</v>
      </c>
      <c r="E210">
        <v>12</v>
      </c>
      <c r="F210" t="s">
        <v>2983</v>
      </c>
      <c r="G210">
        <v>3.5</v>
      </c>
      <c r="H210" t="s">
        <v>2847</v>
      </c>
      <c r="I210">
        <v>0</v>
      </c>
    </row>
    <row r="211" spans="1:9" x14ac:dyDescent="0.35">
      <c r="A211" s="39">
        <v>46260.471817129626</v>
      </c>
      <c r="B211" t="s">
        <v>805</v>
      </c>
      <c r="C211">
        <v>135640</v>
      </c>
      <c r="D211">
        <v>1</v>
      </c>
      <c r="E211">
        <v>7</v>
      </c>
      <c r="F211" t="s">
        <v>2846</v>
      </c>
      <c r="G211">
        <v>3.5</v>
      </c>
      <c r="H211" t="s">
        <v>2847</v>
      </c>
      <c r="I211">
        <v>0</v>
      </c>
    </row>
    <row r="212" spans="1:9" x14ac:dyDescent="0.35">
      <c r="A212" s="39">
        <v>46260.540011574078</v>
      </c>
      <c r="B212" t="s">
        <v>805</v>
      </c>
      <c r="C212">
        <v>136000</v>
      </c>
      <c r="D212">
        <v>2</v>
      </c>
      <c r="E212">
        <v>12</v>
      </c>
      <c r="F212" t="s">
        <v>3021</v>
      </c>
      <c r="G212">
        <v>3.5</v>
      </c>
      <c r="H212" t="s">
        <v>2847</v>
      </c>
      <c r="I212">
        <v>0</v>
      </c>
    </row>
    <row r="213" spans="1:9" x14ac:dyDescent="0.35">
      <c r="A213" s="39">
        <v>46260.645543981482</v>
      </c>
      <c r="B213" t="s">
        <v>805</v>
      </c>
      <c r="C213">
        <v>136833</v>
      </c>
      <c r="D213">
        <v>1</v>
      </c>
      <c r="E213">
        <v>7</v>
      </c>
      <c r="F213" t="s">
        <v>3022</v>
      </c>
      <c r="G213">
        <v>3.5</v>
      </c>
      <c r="H213" t="s">
        <v>2847</v>
      </c>
      <c r="I213">
        <v>0</v>
      </c>
    </row>
    <row r="214" spans="1:9" x14ac:dyDescent="0.35">
      <c r="A214" s="39">
        <v>46265.399363425924</v>
      </c>
      <c r="B214" t="s">
        <v>805</v>
      </c>
      <c r="C214">
        <v>136979</v>
      </c>
      <c r="D214">
        <v>1</v>
      </c>
      <c r="E214">
        <v>5</v>
      </c>
      <c r="F214" t="s">
        <v>856</v>
      </c>
      <c r="G214">
        <v>3.5</v>
      </c>
      <c r="H214" t="s">
        <v>2847</v>
      </c>
      <c r="I214">
        <v>0</v>
      </c>
    </row>
    <row r="215" spans="1:9" x14ac:dyDescent="0.35">
      <c r="A215" s="39">
        <v>46265.438449074078</v>
      </c>
      <c r="B215" t="s">
        <v>805</v>
      </c>
      <c r="C215">
        <v>137291</v>
      </c>
      <c r="D215">
        <v>1</v>
      </c>
      <c r="E215">
        <v>5</v>
      </c>
      <c r="F215" t="s">
        <v>915</v>
      </c>
      <c r="G215">
        <v>3.5</v>
      </c>
      <c r="H215" t="s">
        <v>2847</v>
      </c>
      <c r="I215">
        <v>0</v>
      </c>
    </row>
    <row r="216" spans="1:9" x14ac:dyDescent="0.35">
      <c r="A216" s="39">
        <v>46265.504270833335</v>
      </c>
      <c r="B216" t="s">
        <v>805</v>
      </c>
      <c r="C216">
        <v>137331</v>
      </c>
      <c r="D216">
        <v>2</v>
      </c>
      <c r="E216">
        <v>8</v>
      </c>
      <c r="F216" t="s">
        <v>3023</v>
      </c>
      <c r="G216">
        <v>3.5</v>
      </c>
      <c r="H216" t="s">
        <v>2847</v>
      </c>
      <c r="I216">
        <v>0</v>
      </c>
    </row>
    <row r="217" spans="1:9" x14ac:dyDescent="0.35">
      <c r="A217" s="39">
        <v>46265.558391203704</v>
      </c>
      <c r="B217" t="s">
        <v>805</v>
      </c>
      <c r="C217">
        <v>137347</v>
      </c>
      <c r="D217">
        <v>1</v>
      </c>
      <c r="E217">
        <v>7</v>
      </c>
      <c r="F217" t="s">
        <v>3024</v>
      </c>
      <c r="G217">
        <v>3.5</v>
      </c>
      <c r="H217" t="s">
        <v>2847</v>
      </c>
      <c r="I217">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C1" zoomScale="90" zoomScaleNormal="90" workbookViewId="0">
      <selection activeCell="C28" sqref="C28"/>
    </sheetView>
  </sheetViews>
  <sheetFormatPr defaultColWidth="8.81640625" defaultRowHeight="14.5" x14ac:dyDescent="0.35"/>
  <cols>
    <col min="1" max="1" width="13.453125" style="28" bestFit="1" customWidth="1"/>
    <col min="2" max="2" width="13.1796875" style="28" bestFit="1" customWidth="1"/>
    <col min="3" max="3" width="20" style="28" bestFit="1" customWidth="1"/>
    <col min="4" max="4" width="13.1796875" style="28" bestFit="1" customWidth="1"/>
    <col min="5" max="5" width="18.81640625" style="28" bestFit="1" customWidth="1"/>
    <col min="6" max="9" width="8.81640625" style="28" customWidth="1"/>
    <col min="10" max="10" width="19.1796875" bestFit="1" customWidth="1"/>
    <col min="11" max="11" width="255.54296875" bestFit="1" customWidth="1"/>
    <col min="12" max="12" width="8.81640625" style="28" customWidth="1"/>
    <col min="13" max="16384" width="8.81640625" style="28"/>
  </cols>
  <sheetData>
    <row r="1" spans="1:11" x14ac:dyDescent="0.35">
      <c r="A1" s="31" t="s">
        <v>0</v>
      </c>
      <c r="B1" s="32" t="s">
        <v>965</v>
      </c>
      <c r="C1" s="32" t="s">
        <v>966</v>
      </c>
      <c r="D1" s="32" t="s">
        <v>1</v>
      </c>
      <c r="E1" s="33" t="s">
        <v>967</v>
      </c>
      <c r="J1" t="s">
        <v>968</v>
      </c>
      <c r="K1" s="30" t="s">
        <v>969</v>
      </c>
    </row>
    <row r="2" spans="1:11" x14ac:dyDescent="0.35">
      <c r="A2" s="34" t="s">
        <v>970</v>
      </c>
      <c r="B2" s="35" t="s">
        <v>971</v>
      </c>
      <c r="C2" s="35" t="s">
        <v>972</v>
      </c>
      <c r="D2" s="35" t="s">
        <v>971</v>
      </c>
      <c r="E2" s="36" t="s">
        <v>973</v>
      </c>
      <c r="J2" t="s">
        <v>974</v>
      </c>
      <c r="K2" t="str">
        <f>IF(Sheet1!$J$6="Wise",IFERROR(VLOOKUP(Sheet1!$J$8, Template_DB!A:B, 2, FALSE), "Please Select an Escalation Scenario"),"" )</f>
        <v>Please Select an Escalation Scenario</v>
      </c>
    </row>
    <row r="3" spans="1:11" x14ac:dyDescent="0.35">
      <c r="A3" s="34" t="s">
        <v>970</v>
      </c>
      <c r="B3" s="35" t="s">
        <v>975</v>
      </c>
      <c r="C3" s="35" t="s">
        <v>976</v>
      </c>
      <c r="D3" s="35" t="s">
        <v>975</v>
      </c>
      <c r="E3" s="36" t="s">
        <v>977</v>
      </c>
      <c r="J3" t="s">
        <v>978</v>
      </c>
      <c r="K3" s="30"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v>
      </c>
    </row>
    <row r="4" spans="1:11" x14ac:dyDescent="0.35">
      <c r="A4" s="34" t="s">
        <v>970</v>
      </c>
      <c r="B4" s="35" t="s">
        <v>979</v>
      </c>
      <c r="C4" s="35" t="s">
        <v>980</v>
      </c>
      <c r="D4" s="35" t="s">
        <v>979</v>
      </c>
      <c r="E4" s="36" t="s">
        <v>977</v>
      </c>
      <c r="J4" t="s">
        <v>981</v>
      </c>
      <c r="K4" s="30" t="str">
        <f>Sheet1!J13</f>
        <v>Embertech LTD</v>
      </c>
    </row>
    <row r="5" spans="1:11" x14ac:dyDescent="0.35">
      <c r="A5" s="34" t="s">
        <v>982</v>
      </c>
      <c r="B5" s="35" t="s">
        <v>983</v>
      </c>
      <c r="C5" s="35" t="s">
        <v>984</v>
      </c>
      <c r="D5" s="35" t="s">
        <v>983</v>
      </c>
      <c r="E5" s="36" t="s">
        <v>977</v>
      </c>
      <c r="J5" t="s">
        <v>985</v>
      </c>
      <c r="K5" s="30">
        <f>Sheet1!J9</f>
        <v>134941</v>
      </c>
    </row>
    <row r="6" spans="1:11" ht="15" customHeight="1" thickBot="1" x14ac:dyDescent="0.4">
      <c r="A6" s="34" t="s">
        <v>982</v>
      </c>
      <c r="B6" s="37" t="s">
        <v>979</v>
      </c>
      <c r="C6" s="37" t="s">
        <v>986</v>
      </c>
      <c r="D6" s="37" t="s">
        <v>979</v>
      </c>
      <c r="E6" s="36" t="s">
        <v>977</v>
      </c>
      <c r="J6" t="s">
        <v>987</v>
      </c>
      <c r="K6" s="30" t="str">
        <f>Sheet1!J10</f>
        <v>ALERT2370284</v>
      </c>
    </row>
    <row r="7" spans="1:11" x14ac:dyDescent="0.35">
      <c r="J7" t="s">
        <v>988</v>
      </c>
      <c r="K7" s="30" t="str">
        <f>Sheet1!J14</f>
        <v>Kinyra, 1 Kinyras Tower, 3Rd Floor, Flat/Office 301, Agios Andreas, 1102, Nicosia, Cyprus</v>
      </c>
    </row>
    <row r="8" spans="1:11" x14ac:dyDescent="0.35">
      <c r="A8" t="s">
        <v>989</v>
      </c>
      <c r="D8" t="s">
        <v>971</v>
      </c>
      <c r="E8" t="s">
        <v>971</v>
      </c>
      <c r="J8" t="s">
        <v>990</v>
      </c>
      <c r="K8" s="30" t="str">
        <f>IF(COUNTA(Sheet1!J18:J23)&gt;1,SUBSTITUTE(_xlfn.TEXTJOIN(", ", TRUE, Sheet1!J18:J23), ", "," and ", COUNTA(Sheet1!J18:J23)-1), _xlfn.TEXTJOIN(", ", TRUE, Sheet1!J18:J23))</f>
        <v/>
      </c>
    </row>
    <row r="9" spans="1:11" x14ac:dyDescent="0.35">
      <c r="A9" t="s">
        <v>991</v>
      </c>
      <c r="D9" t="s">
        <v>975</v>
      </c>
      <c r="E9" t="s">
        <v>992</v>
      </c>
      <c r="J9" t="s">
        <v>993</v>
      </c>
      <c r="K9" s="30" t="str">
        <f ca="1">TEXT(K11/K10, "#,##0.00")</f>
        <v>56,240.00</v>
      </c>
    </row>
    <row r="10" spans="1:11" x14ac:dyDescent="0.35">
      <c r="D10" t="s">
        <v>979</v>
      </c>
      <c r="E10" t="s">
        <v>994</v>
      </c>
      <c r="J10" t="s">
        <v>995</v>
      </c>
      <c r="K10" s="30">
        <f ca="1">COUNT(INDIRECT("ConsolidatedData!K:K"))</f>
        <v>4</v>
      </c>
    </row>
    <row r="11" spans="1:11" x14ac:dyDescent="0.35">
      <c r="J11" t="s">
        <v>996</v>
      </c>
      <c r="K11" s="30" t="str">
        <f ca="1">TEXT(SUM(INDIRECT("ConsolidatedData!K:K")), "#,##0.00")</f>
        <v>224,960.00</v>
      </c>
    </row>
    <row r="12" spans="1:11" x14ac:dyDescent="0.35">
      <c r="J12" t="s">
        <v>997</v>
      </c>
      <c r="K12" s="30" t="str">
        <f ca="1">TEXT(MIN(INDIRECT("ConsolidatedData!L:L")),"mm/dd/yyyy")</f>
        <v>06/18/2026</v>
      </c>
    </row>
    <row r="13" spans="1:11" x14ac:dyDescent="0.35">
      <c r="J13" t="s">
        <v>998</v>
      </c>
      <c r="K13" s="30" t="str">
        <f ca="1">TEXT(MAX(INDIRECT("ConsolidatedData!L:L")),"mm/dd/yyyy")</f>
        <v>07/07/2026</v>
      </c>
    </row>
    <row r="14" spans="1:11" x14ac:dyDescent="0.35">
      <c r="J14" t="s">
        <v>999</v>
      </c>
      <c r="K14" s="30" t="str">
        <f t="array" aca="1" ref="K14" ca="1">_xlfn.TEXTJOIN(",",TRUE,_xlfn.UNIQUE(_xlfn._xlws.FILTER(INDIRECT("ConsolidatedData!F2:F10000"),INDIRECT("ConsolidatedData!F2:F10000")&lt;&gt;"")))</f>
        <v>MSP8489951319</v>
      </c>
    </row>
    <row r="15" spans="1:11" x14ac:dyDescent="0.35">
      <c r="J15" t="s">
        <v>1000</v>
      </c>
      <c r="K15" t="str">
        <f>IFERROR(VLOOKUP(Sheet1!J7, Program_Library!A:B, 2, FALSE), "Select a Program")</f>
        <v>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v>
      </c>
    </row>
    <row r="16" spans="1:11" x14ac:dyDescent="0.35">
      <c r="J16" t="s">
        <v>1001</v>
      </c>
      <c r="K16" t="str">
        <f>Sheet1!J7&amp;""</f>
        <v>Airwallex</v>
      </c>
    </row>
    <row r="17" spans="10:11" x14ac:dyDescent="0.35">
      <c r="J17" t="s">
        <v>1002</v>
      </c>
      <c r="K17" t="str">
        <f>Sheet1!J18&amp;""</f>
        <v/>
      </c>
    </row>
    <row r="18" spans="10:11" x14ac:dyDescent="0.35">
      <c r="J18" t="s">
        <v>1003</v>
      </c>
      <c r="K18" t="str">
        <f>Sheet1!J19&amp;""</f>
        <v/>
      </c>
    </row>
    <row r="19" spans="10:11" x14ac:dyDescent="0.35">
      <c r="J19" t="s">
        <v>1004</v>
      </c>
      <c r="K19" t="str">
        <f>Sheet1!J20&amp;""</f>
        <v/>
      </c>
    </row>
    <row r="20" spans="10:11" x14ac:dyDescent="0.35">
      <c r="J20" t="s">
        <v>1005</v>
      </c>
      <c r="K20" t="str">
        <f>Sheet1!J21&amp;""</f>
        <v/>
      </c>
    </row>
    <row r="21" spans="10:11" x14ac:dyDescent="0.35">
      <c r="J21" t="s">
        <v>1006</v>
      </c>
      <c r="K21" t="str">
        <f>Sheet1!J22&amp;""</f>
        <v/>
      </c>
    </row>
    <row r="22" spans="10:11" x14ac:dyDescent="0.35">
      <c r="J22" t="s">
        <v>1007</v>
      </c>
      <c r="K22" t="str">
        <f>Sheet1!J23&amp;""</f>
        <v/>
      </c>
    </row>
    <row r="23" spans="10:11" x14ac:dyDescent="0.35">
      <c r="J23" t="s">
        <v>1008</v>
      </c>
      <c r="K23" t="s">
        <v>3037</v>
      </c>
    </row>
    <row r="24" spans="10:11" x14ac:dyDescent="0.35">
      <c r="J24" t="s">
        <v>1009</v>
      </c>
      <c r="K24" s="30" t="str">
        <f>TEXT(_xlfn.MINIFS(ConsolidatedData!K:K, ConsolidatedData!K:K, "&gt;0"), "$#,##0.00")</f>
        <v>$24,960.00</v>
      </c>
    </row>
    <row r="25" spans="10:11" x14ac:dyDescent="0.35">
      <c r="J25" t="s">
        <v>1010</v>
      </c>
      <c r="K25" s="30" t="str">
        <f>TEXT(_xlfn.MAXIFS(ConsolidatedData!K:K, ConsolidatedData!K:K, "&gt;0"), "$#,##0.00")</f>
        <v>$100,000.00</v>
      </c>
    </row>
    <row r="26" spans="10:11" x14ac:dyDescent="0.35">
      <c r="J26" t="s">
        <v>1011</v>
      </c>
      <c r="K26" s="30" t="str">
        <f t="array" ref="K26">TEXT(SUMPRODUCT((ConsolidatedData!M:M="CR")*IFERROR(VALUE(SUBSTITUTE(ConsolidatedData!K:K, "$", "")), 0)), "#,##0.00")</f>
        <v>224,960.00</v>
      </c>
    </row>
    <row r="27" spans="10:11" x14ac:dyDescent="0.35">
      <c r="J27" t="s">
        <v>1012</v>
      </c>
      <c r="K27" s="30" t="str">
        <f t="array" ref="K27">TEXT(SUMPRODUCT((ConsolidatedData!M:M="DR")*IFERROR(VALUE(SUBSTITUTE(ConsolidatedData!K:K, "$", "")), 0)), "#,##0.00")</f>
        <v>0.00</v>
      </c>
    </row>
    <row r="28" spans="10:11" x14ac:dyDescent="0.35">
      <c r="J28" t="s">
        <v>1013</v>
      </c>
      <c r="K28" s="30">
        <f>COUNTIF(ConsolidatedData!M:M, "CR")</f>
        <v>4</v>
      </c>
    </row>
    <row r="29" spans="10:11" x14ac:dyDescent="0.35">
      <c r="J29" t="s">
        <v>1014</v>
      </c>
      <c r="K29" s="30">
        <f>COUNTIF(ConsolidatedData!M:M, "DR")</f>
        <v>0</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topLeftCell="A21" zoomScale="80" zoomScaleNormal="80" workbookViewId="0">
      <selection activeCell="B20" sqref="B20"/>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7" t="s">
        <v>1015</v>
      </c>
      <c r="B1" t="s">
        <v>1016</v>
      </c>
      <c r="C1" t="s">
        <v>1017</v>
      </c>
    </row>
    <row r="2" spans="1:3" ht="16" customHeight="1" x14ac:dyDescent="0.35">
      <c r="A2" s="27" t="s">
        <v>1018</v>
      </c>
      <c r="B2" t="str">
        <f t="shared" ref="B2:B49" si="0">LEFT(A2, FIND(" ", A2) -1)</f>
        <v>RULE02</v>
      </c>
      <c r="C2" t="str">
        <f t="shared" ref="C2:C49" si="1">MID(A2, FIND( " ", A2) + 1, LEN(A2))</f>
        <v>Large value card transactions for purchase</v>
      </c>
    </row>
    <row r="3" spans="1:3" ht="16" customHeight="1" x14ac:dyDescent="0.35">
      <c r="A3" s="27" t="s">
        <v>1019</v>
      </c>
      <c r="B3" t="str">
        <f t="shared" si="0"/>
        <v>RULE03</v>
      </c>
      <c r="C3" t="str">
        <f t="shared" si="1"/>
        <v>Large value cash withdrawals against card - Weekly</v>
      </c>
    </row>
    <row r="4" spans="1:3" ht="16" customHeight="1" x14ac:dyDescent="0.35">
      <c r="A4" s="27" t="s">
        <v>1020</v>
      </c>
      <c r="B4" t="str">
        <f t="shared" si="0"/>
        <v>RULE03A</v>
      </c>
      <c r="C4" t="str">
        <f t="shared" si="1"/>
        <v>Large value cash withdrawals against card - Monthly</v>
      </c>
    </row>
    <row r="5" spans="1:3" ht="16" customHeight="1" x14ac:dyDescent="0.35">
      <c r="A5" s="27" t="s">
        <v>1021</v>
      </c>
      <c r="B5" t="str">
        <f t="shared" si="0"/>
        <v>RULE04</v>
      </c>
      <c r="C5" t="str">
        <f t="shared" si="1"/>
        <v>Repeated small value cash withdrawals against card</v>
      </c>
    </row>
    <row r="6" spans="1:3" ht="16" customHeight="1" x14ac:dyDescent="0.35">
      <c r="A6" s="27" t="s">
        <v>1022</v>
      </c>
      <c r="B6" t="str">
        <f t="shared" si="0"/>
        <v>RULE05</v>
      </c>
      <c r="C6" t="str">
        <f t="shared" si="1"/>
        <v>Large repetitive card usage at the same merchant</v>
      </c>
    </row>
    <row r="7" spans="1:3" ht="16" customHeight="1" x14ac:dyDescent="0.35">
      <c r="A7" s="27" t="s">
        <v>1023</v>
      </c>
      <c r="B7" t="str">
        <f t="shared" si="0"/>
        <v>RULE06</v>
      </c>
      <c r="C7" t="str">
        <f t="shared" si="1"/>
        <v>High value cash deposits in a month</v>
      </c>
    </row>
    <row r="8" spans="1:3" ht="16" customHeight="1" x14ac:dyDescent="0.35">
      <c r="A8" s="27" t="s">
        <v>1024</v>
      </c>
      <c r="B8" t="str">
        <f t="shared" si="0"/>
        <v>RULE07</v>
      </c>
      <c r="C8" t="str">
        <f t="shared" si="1"/>
        <v>High value cash withdrawals in a month</v>
      </c>
    </row>
    <row r="9" spans="1:3" ht="16" customHeight="1" x14ac:dyDescent="0.35">
      <c r="A9" s="27" t="s">
        <v>1025</v>
      </c>
      <c r="B9" t="str">
        <f t="shared" si="0"/>
        <v>RULE10</v>
      </c>
      <c r="C9" t="str">
        <f t="shared" si="1"/>
        <v>Sudden high value transaction for the client</v>
      </c>
    </row>
    <row r="10" spans="1:3" ht="16" customHeight="1" x14ac:dyDescent="0.35">
      <c r="A10" s="27" t="s">
        <v>1026</v>
      </c>
      <c r="B10" t="str">
        <f t="shared" si="0"/>
        <v>RULE11</v>
      </c>
      <c r="C10" t="str">
        <f t="shared" si="1"/>
        <v>Structuring: Splitting of cash withdrawal just below $10,000 in multiple accounts in a day</v>
      </c>
    </row>
    <row r="11" spans="1:3" ht="16" customHeight="1" x14ac:dyDescent="0.35">
      <c r="A11" s="27" t="s">
        <v>1027</v>
      </c>
      <c r="B11" t="str">
        <f t="shared" si="0"/>
        <v>RULE12</v>
      </c>
      <c r="C11" t="str">
        <f t="shared" si="1"/>
        <v>Structuring: Splitting cash deposits just below $10,000 in multiple accounts in a day</v>
      </c>
    </row>
    <row r="12" spans="1:3" ht="16" customHeight="1" x14ac:dyDescent="0.35">
      <c r="A12" s="27" t="s">
        <v>1028</v>
      </c>
      <c r="B12" t="str">
        <f t="shared" si="0"/>
        <v>RULE14</v>
      </c>
      <c r="C12" t="str">
        <f t="shared" si="1"/>
        <v>Frequent low cash deposits</v>
      </c>
    </row>
    <row r="13" spans="1:3" ht="16" customHeight="1" x14ac:dyDescent="0.35">
      <c r="A13" s="27" t="s">
        <v>1029</v>
      </c>
      <c r="B13" t="str">
        <f t="shared" si="0"/>
        <v>RULE15</v>
      </c>
      <c r="C13" t="str">
        <f t="shared" si="1"/>
        <v>Frequent low cash withdrawals</v>
      </c>
    </row>
    <row r="14" spans="1:3" ht="16" customHeight="1" x14ac:dyDescent="0.35">
      <c r="A14" s="27" t="s">
        <v>1030</v>
      </c>
      <c r="B14" t="str">
        <f t="shared" si="0"/>
        <v>RULE20</v>
      </c>
      <c r="C14" t="str">
        <f t="shared" si="1"/>
        <v>Early withdrawal of CD's</v>
      </c>
    </row>
    <row r="15" spans="1:3" ht="16" customHeight="1" x14ac:dyDescent="0.35">
      <c r="A15" s="27" t="s">
        <v>1031</v>
      </c>
      <c r="B15" t="str">
        <f t="shared" si="0"/>
        <v>RULE21</v>
      </c>
      <c r="C15" t="str">
        <f t="shared" si="1"/>
        <v>High value inward remittance</v>
      </c>
    </row>
    <row r="16" spans="1:3" ht="16" customHeight="1" x14ac:dyDescent="0.35">
      <c r="A16" s="27" t="s">
        <v>1032</v>
      </c>
      <c r="B16" t="str">
        <f t="shared" si="0"/>
        <v>RULE24</v>
      </c>
      <c r="C16" t="str">
        <f t="shared" si="1"/>
        <v>Alerts on Foreign Inward remittance of beyond a threshold limit</v>
      </c>
    </row>
    <row r="17" spans="1:3" ht="16" customHeight="1" x14ac:dyDescent="0.35">
      <c r="A17" s="27" t="s">
        <v>1033</v>
      </c>
      <c r="B17" t="str">
        <f t="shared" si="0"/>
        <v>RULE27A</v>
      </c>
      <c r="C17" t="str">
        <f t="shared" si="1"/>
        <v>Many to One ACH</v>
      </c>
    </row>
    <row r="18" spans="1:3" ht="16" customHeight="1" x14ac:dyDescent="0.35">
      <c r="A18" s="27" t="s">
        <v>1034</v>
      </c>
      <c r="B18" t="str">
        <f t="shared" si="0"/>
        <v>RULE27A1</v>
      </c>
      <c r="C18" t="str">
        <f t="shared" si="1"/>
        <v>Many to One RDFI ACH</v>
      </c>
    </row>
    <row r="19" spans="1:3" ht="16" customHeight="1" x14ac:dyDescent="0.35">
      <c r="A19" s="27" t="s">
        <v>1035</v>
      </c>
      <c r="B19" t="str">
        <f t="shared" si="0"/>
        <v>RULE27A2</v>
      </c>
      <c r="C19" t="str">
        <f t="shared" si="1"/>
        <v>Many to One High Volume ACH</v>
      </c>
    </row>
    <row r="20" spans="1:3" ht="16" customHeight="1" x14ac:dyDescent="0.35">
      <c r="A20" s="27" t="s">
        <v>1036</v>
      </c>
      <c r="B20" t="str">
        <f t="shared" si="0"/>
        <v>RULE27B</v>
      </c>
      <c r="C20" t="str">
        <f t="shared" si="1"/>
        <v>Many to one fund transfer - Wires</v>
      </c>
    </row>
    <row r="21" spans="1:3" ht="16" customHeight="1" x14ac:dyDescent="0.35">
      <c r="A21" s="27" t="s">
        <v>1037</v>
      </c>
      <c r="B21" t="str">
        <f t="shared" si="0"/>
        <v>RULE27C</v>
      </c>
      <c r="C21" t="str">
        <f t="shared" si="1"/>
        <v>Many to one fund transfer - ACH E-Corp</v>
      </c>
    </row>
    <row r="22" spans="1:3" ht="16" customHeight="1" x14ac:dyDescent="0.35">
      <c r="A22" s="27" t="s">
        <v>1038</v>
      </c>
      <c r="B22" t="str">
        <f t="shared" si="0"/>
        <v>RULE27D</v>
      </c>
      <c r="C22" t="str">
        <f t="shared" si="1"/>
        <v>Pseudo Debit Many to One</v>
      </c>
    </row>
    <row r="23" spans="1:3" ht="16" customHeight="1" x14ac:dyDescent="0.35">
      <c r="A23" s="27" t="s">
        <v>1039</v>
      </c>
      <c r="B23" t="str">
        <f t="shared" si="0"/>
        <v>RULE28A</v>
      </c>
      <c r="C23" t="str">
        <f t="shared" si="1"/>
        <v>One to many fund transfer - ACH</v>
      </c>
    </row>
    <row r="24" spans="1:3" ht="16" customHeight="1" x14ac:dyDescent="0.35">
      <c r="A24" s="27" t="s">
        <v>1040</v>
      </c>
      <c r="B24" t="str">
        <f t="shared" si="0"/>
        <v>RULE28B</v>
      </c>
      <c r="C24" t="str">
        <f t="shared" si="1"/>
        <v>One to many fund transfer - Wires</v>
      </c>
    </row>
    <row r="25" spans="1:3" ht="16" customHeight="1" x14ac:dyDescent="0.35">
      <c r="A25" s="27" t="s">
        <v>1041</v>
      </c>
      <c r="B25" t="str">
        <f t="shared" si="0"/>
        <v>RULE28C</v>
      </c>
      <c r="C25" t="str">
        <f t="shared" si="1"/>
        <v>One to many fund transfer - ACH E-Corp</v>
      </c>
    </row>
    <row r="26" spans="1:3" ht="16" customHeight="1" x14ac:dyDescent="0.35">
      <c r="A26" s="27" t="s">
        <v>1042</v>
      </c>
      <c r="B26" t="str">
        <f t="shared" si="0"/>
        <v>RULE28D</v>
      </c>
      <c r="C26" t="str">
        <f t="shared" si="1"/>
        <v>Pseudo Debit One to Many</v>
      </c>
    </row>
    <row r="27" spans="1:3" ht="16" customHeight="1" x14ac:dyDescent="0.35">
      <c r="A27" s="27" t="s">
        <v>1043</v>
      </c>
      <c r="B27" t="str">
        <f t="shared" si="0"/>
        <v>RULE30</v>
      </c>
      <c r="C27" t="str">
        <f t="shared" si="1"/>
        <v>High value transactions with a country with high ML risk</v>
      </c>
    </row>
    <row r="28" spans="1:3" ht="16" customHeight="1" x14ac:dyDescent="0.35">
      <c r="A28" s="27" t="s">
        <v>1044</v>
      </c>
      <c r="B28" t="str">
        <f t="shared" si="0"/>
        <v>RULE31</v>
      </c>
      <c r="C28" t="str">
        <f t="shared" si="1"/>
        <v>Inward and outward ACH of same amount on same day</v>
      </c>
    </row>
    <row r="29" spans="1:3" ht="16" customHeight="1" x14ac:dyDescent="0.35">
      <c r="A29" s="27" t="s">
        <v>1045</v>
      </c>
      <c r="B29" t="str">
        <f t="shared" si="0"/>
        <v>RULE37</v>
      </c>
      <c r="C29" t="str">
        <f t="shared" si="1"/>
        <v>Opening and closing of loan accounts within short period</v>
      </c>
    </row>
    <row r="30" spans="1:3" ht="16" customHeight="1" x14ac:dyDescent="0.35">
      <c r="A30" s="27" t="s">
        <v>1046</v>
      </c>
      <c r="B30" t="str">
        <f t="shared" si="0"/>
        <v>RULE43</v>
      </c>
      <c r="C30" t="str">
        <f t="shared" si="1"/>
        <v>High value cash transactions inconsistent with profile</v>
      </c>
    </row>
    <row r="31" spans="1:3" ht="16" customHeight="1" x14ac:dyDescent="0.35">
      <c r="A31" s="27" t="s">
        <v>1047</v>
      </c>
      <c r="B31" t="str">
        <f t="shared" si="0"/>
        <v>RULE45</v>
      </c>
      <c r="C31" t="str">
        <f t="shared" si="1"/>
        <v>High value transactions by high-risk customers compared to profile.</v>
      </c>
    </row>
    <row r="32" spans="1:3" ht="16" customHeight="1" x14ac:dyDescent="0.35">
      <c r="A32" s="27" t="s">
        <v>1048</v>
      </c>
      <c r="B32" t="str">
        <f t="shared" si="0"/>
        <v>RULE50</v>
      </c>
      <c r="C32" t="str">
        <f t="shared" si="1"/>
        <v>Cash Deposit of total $10,000 or above in a day</v>
      </c>
    </row>
    <row r="33" spans="1:3" ht="16" customHeight="1" x14ac:dyDescent="0.35">
      <c r="A33" s="27" t="s">
        <v>1049</v>
      </c>
      <c r="B33" t="str">
        <f t="shared" si="0"/>
        <v>RULE51</v>
      </c>
      <c r="C33" t="str">
        <f t="shared" si="1"/>
        <v>Cash withdrawal of total $10,000 or above in a day</v>
      </c>
    </row>
    <row r="34" spans="1:3" ht="16" customHeight="1" x14ac:dyDescent="0.35">
      <c r="A34" s="27" t="s">
        <v>1050</v>
      </c>
      <c r="B34" t="str">
        <f t="shared" si="0"/>
        <v>RULE54</v>
      </c>
      <c r="C34" t="str">
        <f t="shared" si="1"/>
        <v>Deviation from historical behaviors-All</v>
      </c>
    </row>
    <row r="35" spans="1:3" ht="16" customHeight="1" x14ac:dyDescent="0.35">
      <c r="A35" s="27" t="s">
        <v>1015</v>
      </c>
      <c r="B35" t="str">
        <f t="shared" si="0"/>
        <v>Rule</v>
      </c>
      <c r="C35" t="str">
        <f t="shared" si="1"/>
        <v>Code Rule Name</v>
      </c>
    </row>
    <row r="36" spans="1:3" ht="16" customHeight="1" x14ac:dyDescent="0.35">
      <c r="A36" s="27" t="s">
        <v>1051</v>
      </c>
      <c r="B36" t="str">
        <f t="shared" si="0"/>
        <v>RULE54A1</v>
      </c>
      <c r="C36" t="str">
        <f t="shared" si="1"/>
        <v>Deviation from historical behaviors-Prepaid Consumer</v>
      </c>
    </row>
    <row r="37" spans="1:3" ht="16" customHeight="1" x14ac:dyDescent="0.35">
      <c r="A37" s="27" t="s">
        <v>1052</v>
      </c>
      <c r="B37" t="str">
        <f t="shared" si="0"/>
        <v>RULE54A2</v>
      </c>
      <c r="C37" t="str">
        <f t="shared" si="1"/>
        <v>Deviation from historical behaviors-Prepaid Corporate</v>
      </c>
    </row>
    <row r="38" spans="1:3" ht="16" customHeight="1" x14ac:dyDescent="0.35">
      <c r="A38" s="27" t="s">
        <v>1053</v>
      </c>
      <c r="B38" t="str">
        <f t="shared" si="0"/>
        <v>RULE56</v>
      </c>
      <c r="C38" t="str">
        <f t="shared" si="1"/>
        <v>Pattern of "funding" in pre-pay card and rapid "spending" - min pre-load "spend"</v>
      </c>
    </row>
    <row r="39" spans="1:3" ht="16" customHeight="1" x14ac:dyDescent="0.35">
      <c r="A39" s="27" t="s">
        <v>1054</v>
      </c>
      <c r="B39" t="str">
        <f t="shared" si="0"/>
        <v>RULE76</v>
      </c>
      <c r="C39" t="str">
        <f t="shared" si="1"/>
        <v>Structuring patterns for IN wires between certain amounts.</v>
      </c>
    </row>
    <row r="40" spans="1:3" ht="16" customHeight="1" x14ac:dyDescent="0.35">
      <c r="A40" s="27" t="s">
        <v>1055</v>
      </c>
      <c r="B40" t="str">
        <f t="shared" si="0"/>
        <v>RULE79</v>
      </c>
      <c r="C40" t="str">
        <f t="shared" si="1"/>
        <v>Incoming Activity from High Risk Jurisdiction</v>
      </c>
    </row>
    <row r="41" spans="1:3" ht="16" customHeight="1" x14ac:dyDescent="0.35">
      <c r="A41" s="27" t="s">
        <v>1056</v>
      </c>
      <c r="B41" t="str">
        <f t="shared" si="0"/>
        <v>RULE79A</v>
      </c>
      <c r="C41" t="str">
        <f t="shared" si="1"/>
        <v>Incoming HR Jurisdiction High Volume Program</v>
      </c>
    </row>
    <row r="42" spans="1:3" ht="16" customHeight="1" x14ac:dyDescent="0.35">
      <c r="A42" s="27" t="s">
        <v>1057</v>
      </c>
      <c r="B42" t="str">
        <f t="shared" si="0"/>
        <v>RULE79B</v>
      </c>
      <c r="C42" t="str">
        <f t="shared" si="1"/>
        <v>Incoming Activity from Prohibited Jurisdiction</v>
      </c>
    </row>
    <row r="43" spans="1:3" ht="16" customHeight="1" x14ac:dyDescent="0.35">
      <c r="A43" s="27" t="s">
        <v>1058</v>
      </c>
      <c r="B43" t="str">
        <f t="shared" si="0"/>
        <v>RULE80</v>
      </c>
      <c r="C43" t="str">
        <f t="shared" si="1"/>
        <v>Outgoing Activity to High Risk Jurisdiction</v>
      </c>
    </row>
    <row r="44" spans="1:3" ht="16" customHeight="1" x14ac:dyDescent="0.35">
      <c r="A44" s="27" t="s">
        <v>1059</v>
      </c>
      <c r="B44" t="str">
        <f t="shared" si="0"/>
        <v>RULE80A</v>
      </c>
      <c r="C44" t="str">
        <f t="shared" si="1"/>
        <v>Outgoing Activity to High Risk Jurisdiction-TransferWise</v>
      </c>
    </row>
    <row r="45" spans="1:3" ht="16" customHeight="1" x14ac:dyDescent="0.35">
      <c r="A45" s="27" t="s">
        <v>1060</v>
      </c>
      <c r="B45" t="str">
        <f t="shared" si="0"/>
        <v>RULE80B</v>
      </c>
      <c r="C45" t="str">
        <f t="shared" si="1"/>
        <v>Outgoing Activity to Prohibited Jurisdiction</v>
      </c>
    </row>
    <row r="46" spans="1:3" ht="16" customHeight="1" x14ac:dyDescent="0.35">
      <c r="A46" s="27" t="s">
        <v>1061</v>
      </c>
      <c r="B46" t="str">
        <f t="shared" si="0"/>
        <v>RULE85</v>
      </c>
      <c r="C46" t="str">
        <f t="shared" si="1"/>
        <v>Transactions Involving Restricted or Prohibited Industries</v>
      </c>
    </row>
    <row r="47" spans="1:3" ht="16" customHeight="1" x14ac:dyDescent="0.35">
      <c r="A47" s="27" t="s">
        <v>1062</v>
      </c>
      <c r="B47" t="str">
        <f t="shared" si="0"/>
        <v>RULE86</v>
      </c>
      <c r="C47" t="str">
        <f t="shared" si="1"/>
        <v>Incoming wires from High-Risk Business</v>
      </c>
    </row>
    <row r="48" spans="1:3" ht="16" customHeight="1" x14ac:dyDescent="0.35">
      <c r="A48" s="27" t="s">
        <v>1063</v>
      </c>
      <c r="B48" t="str">
        <f t="shared" si="0"/>
        <v>RULE87</v>
      </c>
      <c r="C48" t="str">
        <f t="shared" si="1"/>
        <v>Outgoing Wires from High-Risk Business</v>
      </c>
    </row>
    <row r="49" spans="1:3" ht="16" customHeight="1" x14ac:dyDescent="0.35">
      <c r="A49" s="27" t="s">
        <v>1064</v>
      </c>
      <c r="B49" t="str">
        <f t="shared" si="0"/>
        <v>RULE88</v>
      </c>
      <c r="C49" t="str">
        <f t="shared" si="1"/>
        <v>Frequent low cash deposits</v>
      </c>
    </row>
    <row r="50" spans="1:3" ht="16" customHeight="1" x14ac:dyDescent="0.35">
      <c r="A50"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I178" sqref="I89:I178"/>
    </sheetView>
  </sheetViews>
  <sheetFormatPr defaultRowHeight="14.5" x14ac:dyDescent="0.35"/>
  <cols>
    <col min="1" max="1" width="46.81640625" bestFit="1" customWidth="1"/>
    <col min="2" max="2" width="255.54296875" bestFit="1" customWidth="1"/>
  </cols>
  <sheetData>
    <row r="1" spans="1:2" ht="16" customHeight="1" thickBot="1" x14ac:dyDescent="0.4">
      <c r="A1" s="4" t="s">
        <v>992</v>
      </c>
      <c r="B1" s="5" t="s">
        <v>1065</v>
      </c>
    </row>
    <row r="2" spans="1:2" ht="16" customHeight="1" thickBot="1" x14ac:dyDescent="0.4">
      <c r="A2" s="6" t="s">
        <v>1066</v>
      </c>
      <c r="B2" s="7" t="s">
        <v>1067</v>
      </c>
    </row>
    <row r="3" spans="1:2" ht="16" customHeight="1" thickBot="1" x14ac:dyDescent="0.4">
      <c r="A3" s="8" t="s">
        <v>1068</v>
      </c>
      <c r="B3" s="7" t="s">
        <v>1069</v>
      </c>
    </row>
    <row r="4" spans="1:2" ht="16" customHeight="1" thickBot="1" x14ac:dyDescent="0.4">
      <c r="A4" s="8" t="s">
        <v>1070</v>
      </c>
      <c r="B4" s="7" t="s">
        <v>1071</v>
      </c>
    </row>
    <row r="5" spans="1:2" ht="16" customHeight="1" thickBot="1" x14ac:dyDescent="0.4">
      <c r="A5" s="8" t="s">
        <v>1072</v>
      </c>
      <c r="B5" s="7" t="s">
        <v>1073</v>
      </c>
    </row>
    <row r="6" spans="1:2" ht="16" customHeight="1" thickBot="1" x14ac:dyDescent="0.4">
      <c r="A6" s="8" t="s">
        <v>1074</v>
      </c>
      <c r="B6" s="7" t="s">
        <v>1075</v>
      </c>
    </row>
    <row r="7" spans="1:2" ht="16" customHeight="1" thickBot="1" x14ac:dyDescent="0.4">
      <c r="A7" s="8" t="s">
        <v>1076</v>
      </c>
      <c r="B7" s="7" t="s">
        <v>1077</v>
      </c>
    </row>
    <row r="8" spans="1:2" ht="16" customHeight="1" thickBot="1" x14ac:dyDescent="0.4">
      <c r="A8" s="8" t="s">
        <v>1078</v>
      </c>
      <c r="B8" s="7" t="s">
        <v>1079</v>
      </c>
    </row>
    <row r="9" spans="1:2" ht="16" customHeight="1" thickBot="1" x14ac:dyDescent="0.4">
      <c r="A9" s="8" t="s">
        <v>1080</v>
      </c>
      <c r="B9" s="7" t="s">
        <v>1081</v>
      </c>
    </row>
    <row r="10" spans="1:2" ht="16" customHeight="1" thickBot="1" x14ac:dyDescent="0.4">
      <c r="A10" s="8" t="s">
        <v>1082</v>
      </c>
      <c r="B10" s="7" t="s">
        <v>1083</v>
      </c>
    </row>
    <row r="11" spans="1:2" ht="62.15" customHeight="1" x14ac:dyDescent="0.35">
      <c r="A11" s="12" t="s">
        <v>1084</v>
      </c>
      <c r="B11" s="13" t="s">
        <v>1085</v>
      </c>
    </row>
    <row r="12" spans="1:2" ht="16" customHeight="1" thickBot="1" x14ac:dyDescent="0.4">
      <c r="A12" s="8" t="s">
        <v>1086</v>
      </c>
      <c r="B12" s="7" t="s">
        <v>1087</v>
      </c>
    </row>
    <row r="13" spans="1:2" ht="93" customHeight="1" x14ac:dyDescent="0.35">
      <c r="A13" s="12" t="s">
        <v>1088</v>
      </c>
      <c r="B13" s="13" t="s">
        <v>1089</v>
      </c>
    </row>
    <row r="14" spans="1:2" ht="16" customHeight="1" thickBot="1" x14ac:dyDescent="0.4">
      <c r="A14" s="8" t="s">
        <v>1090</v>
      </c>
      <c r="B14" s="7" t="s">
        <v>1091</v>
      </c>
    </row>
    <row r="15" spans="1:2" ht="16" customHeight="1" thickBot="1" x14ac:dyDescent="0.4">
      <c r="A15" s="8" t="s">
        <v>1092</v>
      </c>
      <c r="B15" s="7" t="s">
        <v>1093</v>
      </c>
    </row>
    <row r="16" spans="1:2" ht="62.15" customHeight="1" x14ac:dyDescent="0.35">
      <c r="A16" s="12" t="s">
        <v>1094</v>
      </c>
      <c r="B16" s="14" t="s">
        <v>1095</v>
      </c>
    </row>
    <row r="17" spans="1:2" ht="16" customHeight="1" thickBot="1" x14ac:dyDescent="0.4">
      <c r="A17" s="8" t="s">
        <v>1096</v>
      </c>
      <c r="B17" s="7" t="s">
        <v>1097</v>
      </c>
    </row>
    <row r="18" spans="1:2" ht="16" customHeight="1" thickBot="1" x14ac:dyDescent="0.4">
      <c r="A18" s="8" t="s">
        <v>1098</v>
      </c>
      <c r="B18" s="7" t="s">
        <v>1099</v>
      </c>
    </row>
    <row r="19" spans="1:2" ht="16" customHeight="1" thickBot="1" x14ac:dyDescent="0.4">
      <c r="A19" s="8" t="s">
        <v>1100</v>
      </c>
      <c r="B19" s="7" t="s">
        <v>1101</v>
      </c>
    </row>
    <row r="20" spans="1:2" ht="16" customHeight="1" thickBot="1" x14ac:dyDescent="0.4">
      <c r="A20" s="8" t="s">
        <v>1102</v>
      </c>
      <c r="B20" s="10" t="s">
        <v>1103</v>
      </c>
    </row>
    <row r="21" spans="1:2" ht="16" customHeight="1" thickBot="1" x14ac:dyDescent="0.4">
      <c r="A21" s="8" t="s">
        <v>1104</v>
      </c>
      <c r="B21" s="7" t="s">
        <v>1105</v>
      </c>
    </row>
    <row r="22" spans="1:2" ht="16" customHeight="1" thickBot="1" x14ac:dyDescent="0.4">
      <c r="A22" s="8" t="s">
        <v>1106</v>
      </c>
      <c r="B22" s="7" t="s">
        <v>1107</v>
      </c>
    </row>
    <row r="23" spans="1:2" ht="16" customHeight="1" thickBot="1" x14ac:dyDescent="0.4">
      <c r="A23" s="8" t="s">
        <v>1108</v>
      </c>
      <c r="B23" s="7" t="s">
        <v>1109</v>
      </c>
    </row>
    <row r="24" spans="1:2" ht="16" customHeight="1" thickBot="1" x14ac:dyDescent="0.4">
      <c r="A24" s="8" t="s">
        <v>1110</v>
      </c>
      <c r="B24" s="7" t="s">
        <v>1111</v>
      </c>
    </row>
    <row r="25" spans="1:2" ht="16" customHeight="1" thickBot="1" x14ac:dyDescent="0.4">
      <c r="A25" s="8" t="s">
        <v>1112</v>
      </c>
      <c r="B25" s="9" t="s">
        <v>1113</v>
      </c>
    </row>
    <row r="26" spans="1:2" ht="16" customHeight="1" thickBot="1" x14ac:dyDescent="0.4">
      <c r="A26" s="8" t="s">
        <v>1114</v>
      </c>
      <c r="B26" s="7" t="s">
        <v>1115</v>
      </c>
    </row>
    <row r="27" spans="1:2" ht="16" customHeight="1" thickBot="1" x14ac:dyDescent="0.4">
      <c r="A27" s="8" t="s">
        <v>1116</v>
      </c>
      <c r="B27" s="7" t="s">
        <v>1117</v>
      </c>
    </row>
    <row r="28" spans="1:2" ht="16" customHeight="1" thickBot="1" x14ac:dyDescent="0.4">
      <c r="A28" s="8" t="s">
        <v>1118</v>
      </c>
      <c r="B28" s="7" t="s">
        <v>1119</v>
      </c>
    </row>
    <row r="29" spans="1:2" ht="16" customHeight="1" thickBot="1" x14ac:dyDescent="0.4">
      <c r="A29" s="8" t="s">
        <v>1120</v>
      </c>
      <c r="B29" s="7" t="s">
        <v>1121</v>
      </c>
    </row>
    <row r="30" spans="1:2" ht="16" customHeight="1" thickBot="1" x14ac:dyDescent="0.4">
      <c r="A30" s="8" t="s">
        <v>1122</v>
      </c>
      <c r="B30" s="7" t="s">
        <v>1123</v>
      </c>
    </row>
    <row r="31" spans="1:2" ht="16" customHeight="1" thickBot="1" x14ac:dyDescent="0.4">
      <c r="A31" s="8" t="s">
        <v>1124</v>
      </c>
      <c r="B31" s="7" t="s">
        <v>1125</v>
      </c>
    </row>
    <row r="32" spans="1:2" ht="16" customHeight="1" thickBot="1" x14ac:dyDescent="0.4">
      <c r="A32" s="8" t="s">
        <v>1126</v>
      </c>
      <c r="B32" s="7" t="s">
        <v>1127</v>
      </c>
    </row>
    <row r="33" spans="1:2" ht="16" customHeight="1" thickBot="1" x14ac:dyDescent="0.4">
      <c r="A33" s="8" t="s">
        <v>1128</v>
      </c>
      <c r="B33" s="7" t="s">
        <v>1129</v>
      </c>
    </row>
    <row r="34" spans="1:2" ht="16" customHeight="1" thickBot="1" x14ac:dyDescent="0.4">
      <c r="A34" s="8" t="s">
        <v>1130</v>
      </c>
      <c r="B34" s="7" t="s">
        <v>1131</v>
      </c>
    </row>
    <row r="35" spans="1:2" ht="16" customHeight="1" thickBot="1" x14ac:dyDescent="0.4">
      <c r="A35" s="8" t="s">
        <v>1132</v>
      </c>
      <c r="B35" s="7" t="s">
        <v>1133</v>
      </c>
    </row>
    <row r="36" spans="1:2" ht="16" customHeight="1" thickBot="1" x14ac:dyDescent="0.4">
      <c r="A36" s="8" t="s">
        <v>1134</v>
      </c>
      <c r="B36" s="7" t="s">
        <v>1135</v>
      </c>
    </row>
    <row r="37" spans="1:2" ht="16" customHeight="1" thickBot="1" x14ac:dyDescent="0.4">
      <c r="A37" s="8" t="s">
        <v>1136</v>
      </c>
      <c r="B37" s="7" t="s">
        <v>1137</v>
      </c>
    </row>
    <row r="38" spans="1:2" ht="16" customHeight="1" thickBot="1" x14ac:dyDescent="0.4">
      <c r="A38" s="8" t="s">
        <v>1138</v>
      </c>
      <c r="B38" s="7" t="s">
        <v>1139</v>
      </c>
    </row>
    <row r="39" spans="1:2" ht="16" customHeight="1" thickBot="1" x14ac:dyDescent="0.4">
      <c r="A39" s="8" t="s">
        <v>1140</v>
      </c>
      <c r="B39" s="7" t="s">
        <v>1141</v>
      </c>
    </row>
    <row r="40" spans="1:2" ht="16" customHeight="1" thickBot="1" x14ac:dyDescent="0.4">
      <c r="A40" s="8" t="s">
        <v>1142</v>
      </c>
      <c r="B40" s="7" t="s">
        <v>1143</v>
      </c>
    </row>
    <row r="41" spans="1:2" ht="16" customHeight="1" thickBot="1" x14ac:dyDescent="0.4">
      <c r="A41" s="8" t="s">
        <v>1144</v>
      </c>
      <c r="B41" s="7" t="s">
        <v>1145</v>
      </c>
    </row>
    <row r="42" spans="1:2" ht="16" customHeight="1" thickBot="1" x14ac:dyDescent="0.4">
      <c r="A42" s="8" t="s">
        <v>1146</v>
      </c>
      <c r="B42" s="9" t="s">
        <v>1147</v>
      </c>
    </row>
    <row r="43" spans="1:2" ht="16" customHeight="1" thickBot="1" x14ac:dyDescent="0.4">
      <c r="A43" s="8" t="s">
        <v>1148</v>
      </c>
      <c r="B43" s="7" t="s">
        <v>1149</v>
      </c>
    </row>
    <row r="44" spans="1:2" ht="16" customHeight="1" thickBot="1" x14ac:dyDescent="0.4">
      <c r="A44" s="8" t="s">
        <v>1150</v>
      </c>
      <c r="B44" s="7" t="s">
        <v>1151</v>
      </c>
    </row>
    <row r="45" spans="1:2" ht="16" customHeight="1" thickBot="1" x14ac:dyDescent="0.4">
      <c r="A45" s="8" t="s">
        <v>1152</v>
      </c>
      <c r="B45" s="7" t="s">
        <v>1153</v>
      </c>
    </row>
    <row r="46" spans="1:2" ht="16" customHeight="1" thickBot="1" x14ac:dyDescent="0.4">
      <c r="A46" s="8" t="s">
        <v>1154</v>
      </c>
      <c r="B46" s="9" t="s">
        <v>1155</v>
      </c>
    </row>
    <row r="47" spans="1:2" ht="16" customHeight="1" thickBot="1" x14ac:dyDescent="0.4">
      <c r="A47" s="8" t="s">
        <v>1156</v>
      </c>
      <c r="B47" s="7" t="s">
        <v>1157</v>
      </c>
    </row>
    <row r="48" spans="1:2" ht="16" customHeight="1" thickBot="1" x14ac:dyDescent="0.4">
      <c r="A48" s="8" t="s">
        <v>1158</v>
      </c>
      <c r="B48" s="7" t="s">
        <v>1159</v>
      </c>
    </row>
    <row r="49" spans="1:2" ht="16" customHeight="1" thickBot="1" x14ac:dyDescent="0.4">
      <c r="A49" s="8" t="s">
        <v>1160</v>
      </c>
      <c r="B49" s="7" t="s">
        <v>1161</v>
      </c>
    </row>
    <row r="50" spans="1:2" ht="16" customHeight="1" thickBot="1" x14ac:dyDescent="0.4">
      <c r="A50" s="11" t="s">
        <v>1162</v>
      </c>
      <c r="B50" s="7" t="s">
        <v>1163</v>
      </c>
    </row>
    <row r="51" spans="1:2" ht="16" customHeight="1" thickBot="1" x14ac:dyDescent="0.4">
      <c r="A51" s="8" t="s">
        <v>1164</v>
      </c>
      <c r="B51" s="7" t="s">
        <v>1165</v>
      </c>
    </row>
    <row r="52" spans="1:2" ht="16" customHeight="1" thickBot="1" x14ac:dyDescent="0.4">
      <c r="A52" s="8" t="s">
        <v>1166</v>
      </c>
      <c r="B52" s="7" t="s">
        <v>1167</v>
      </c>
    </row>
    <row r="53" spans="1:2" ht="16" customHeight="1" thickBot="1" x14ac:dyDescent="0.4">
      <c r="A53" s="8" t="s">
        <v>1168</v>
      </c>
      <c r="B53" s="7" t="s">
        <v>1169</v>
      </c>
    </row>
    <row r="54" spans="1:2" ht="16" customHeight="1" thickBot="1" x14ac:dyDescent="0.4">
      <c r="A54" s="8" t="s">
        <v>1170</v>
      </c>
      <c r="B54" s="7" t="s">
        <v>1171</v>
      </c>
    </row>
    <row r="55" spans="1:2" ht="16" customHeight="1" thickBot="1" x14ac:dyDescent="0.4">
      <c r="A55" s="8" t="s">
        <v>1172</v>
      </c>
      <c r="B55" s="7" t="s">
        <v>1173</v>
      </c>
    </row>
    <row r="56" spans="1:2" ht="16" customHeight="1" thickBot="1" x14ac:dyDescent="0.4">
      <c r="A56" s="8" t="s">
        <v>1174</v>
      </c>
      <c r="B56" s="7" t="s">
        <v>1175</v>
      </c>
    </row>
    <row r="57" spans="1:2" ht="16" customHeight="1" thickBot="1" x14ac:dyDescent="0.4">
      <c r="A57" s="8" t="s">
        <v>1176</v>
      </c>
      <c r="B57" s="7" t="s">
        <v>1177</v>
      </c>
    </row>
    <row r="58" spans="1:2" ht="16" customHeight="1" thickBot="1" x14ac:dyDescent="0.4">
      <c r="A58" s="8" t="s">
        <v>1178</v>
      </c>
      <c r="B58" s="9" t="s">
        <v>1179</v>
      </c>
    </row>
    <row r="59" spans="1:2" ht="16" customHeight="1" thickBot="1" x14ac:dyDescent="0.4">
      <c r="A59" s="8" t="s">
        <v>1180</v>
      </c>
      <c r="B59" s="7" t="s">
        <v>1181</v>
      </c>
    </row>
    <row r="60" spans="1:2" ht="18" customHeight="1" thickBot="1" x14ac:dyDescent="0.4">
      <c r="A60" s="8" t="s">
        <v>1182</v>
      </c>
      <c r="B60" s="7" t="s">
        <v>1183</v>
      </c>
    </row>
    <row r="61" spans="1:2" ht="16" customHeight="1" thickBot="1" x14ac:dyDescent="0.4">
      <c r="A61" s="8" t="s">
        <v>1184</v>
      </c>
      <c r="B61" s="7" t="s">
        <v>1185</v>
      </c>
    </row>
    <row r="62" spans="1:2" ht="16" customHeight="1" thickBot="1" x14ac:dyDescent="0.4">
      <c r="A62" s="8" t="s">
        <v>1186</v>
      </c>
      <c r="B62" s="7" t="s">
        <v>1187</v>
      </c>
    </row>
    <row r="63" spans="1:2" ht="16" customHeight="1" thickBot="1" x14ac:dyDescent="0.4">
      <c r="A63" s="8" t="s">
        <v>1188</v>
      </c>
      <c r="B63" s="7" t="s">
        <v>1189</v>
      </c>
    </row>
    <row r="64" spans="1:2" ht="16" customHeight="1" thickBot="1" x14ac:dyDescent="0.4">
      <c r="A64" s="8" t="s">
        <v>1190</v>
      </c>
      <c r="B64" s="7" t="s">
        <v>1191</v>
      </c>
    </row>
    <row r="65" spans="1:2" ht="16" customHeight="1" thickBot="1" x14ac:dyDescent="0.4">
      <c r="A65" s="8" t="s">
        <v>1192</v>
      </c>
      <c r="B65" s="7" t="s">
        <v>1193</v>
      </c>
    </row>
    <row r="66" spans="1:2" ht="16" customHeight="1" thickBot="1" x14ac:dyDescent="0.4">
      <c r="A66" s="8" t="s">
        <v>1194</v>
      </c>
      <c r="B66" s="7" t="s">
        <v>1195</v>
      </c>
    </row>
    <row r="67" spans="1:2" ht="16" customHeight="1" thickBot="1" x14ac:dyDescent="0.4">
      <c r="A67" s="8" t="s">
        <v>1196</v>
      </c>
      <c r="B67" s="7" t="s">
        <v>1197</v>
      </c>
    </row>
    <row r="68" spans="1:2" ht="16" customHeight="1" thickBot="1" x14ac:dyDescent="0.4">
      <c r="A68" s="8" t="s">
        <v>1198</v>
      </c>
      <c r="B68" s="7" t="s">
        <v>1199</v>
      </c>
    </row>
    <row r="69" spans="1:2" ht="16" customHeight="1" thickBot="1" x14ac:dyDescent="0.4">
      <c r="A69" s="8" t="s">
        <v>1200</v>
      </c>
      <c r="B69" s="7" t="s">
        <v>1201</v>
      </c>
    </row>
    <row r="70" spans="1:2" ht="16" customHeight="1" thickBot="1" x14ac:dyDescent="0.4">
      <c r="A70" s="8" t="s">
        <v>1202</v>
      </c>
      <c r="B70" s="7" t="s">
        <v>1203</v>
      </c>
    </row>
    <row r="71" spans="1:2" ht="16" customHeight="1" thickBot="1" x14ac:dyDescent="0.4">
      <c r="A71" s="8" t="s">
        <v>1204</v>
      </c>
      <c r="B71" s="9" t="s">
        <v>1205</v>
      </c>
    </row>
    <row r="72" spans="1:2" ht="16" customHeight="1" thickBot="1" x14ac:dyDescent="0.4">
      <c r="A72" s="8" t="s">
        <v>1206</v>
      </c>
      <c r="B72" s="7" t="s">
        <v>1207</v>
      </c>
    </row>
    <row r="73" spans="1:2" ht="16" customHeight="1" thickBot="1" x14ac:dyDescent="0.4">
      <c r="A73" s="8" t="s">
        <v>1208</v>
      </c>
      <c r="B73" s="7" t="s">
        <v>1209</v>
      </c>
    </row>
    <row r="74" spans="1:2" ht="16" customHeight="1" thickBot="1" x14ac:dyDescent="0.4">
      <c r="A74" s="8" t="s">
        <v>1210</v>
      </c>
      <c r="B74" s="7" t="s">
        <v>1211</v>
      </c>
    </row>
    <row r="75" spans="1:2" ht="16" customHeight="1" thickBot="1" x14ac:dyDescent="0.4">
      <c r="A75" s="8" t="s">
        <v>1212</v>
      </c>
      <c r="B75" s="7" t="s">
        <v>1213</v>
      </c>
    </row>
    <row r="76" spans="1:2" ht="16" customHeight="1" thickBot="1" x14ac:dyDescent="0.4">
      <c r="A76" s="8" t="s">
        <v>1214</v>
      </c>
      <c r="B76" s="7" t="s">
        <v>1215</v>
      </c>
    </row>
    <row r="77" spans="1:2" ht="16" customHeight="1" thickBot="1" x14ac:dyDescent="0.4">
      <c r="A77" s="8" t="s">
        <v>1216</v>
      </c>
      <c r="B77" s="7" t="s">
        <v>1217</v>
      </c>
    </row>
    <row r="78" spans="1:2" ht="16" customHeight="1" thickBot="1" x14ac:dyDescent="0.4">
      <c r="A78" s="8" t="s">
        <v>1218</v>
      </c>
      <c r="B78" s="7" t="s">
        <v>1219</v>
      </c>
    </row>
    <row r="79" spans="1:2" ht="16" customHeight="1" thickBot="1" x14ac:dyDescent="0.4">
      <c r="A79" s="8" t="s">
        <v>1220</v>
      </c>
      <c r="B79" s="7" t="s">
        <v>1221</v>
      </c>
    </row>
    <row r="80" spans="1:2" ht="16" customHeight="1" thickBot="1" x14ac:dyDescent="0.4">
      <c r="A80" s="8" t="s">
        <v>1222</v>
      </c>
      <c r="B80" s="7" t="s">
        <v>1223</v>
      </c>
    </row>
    <row r="81" spans="1:2" ht="16" customHeight="1" thickBot="1" x14ac:dyDescent="0.4">
      <c r="A81" s="8" t="s">
        <v>1224</v>
      </c>
      <c r="B81" s="7" t="s">
        <v>1225</v>
      </c>
    </row>
    <row r="82" spans="1:2" ht="16" customHeight="1" thickBot="1" x14ac:dyDescent="0.4">
      <c r="A82" s="8" t="s">
        <v>1226</v>
      </c>
      <c r="B82" s="7" t="s">
        <v>1227</v>
      </c>
    </row>
    <row r="83" spans="1:2" ht="16" customHeight="1" thickBot="1" x14ac:dyDescent="0.4">
      <c r="A83" s="8" t="s">
        <v>1228</v>
      </c>
      <c r="B83" s="7" t="s">
        <v>1229</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abSelected="1" topLeftCell="A5" zoomScale="50" zoomScaleNormal="50" workbookViewId="0">
      <selection activeCell="B6" sqref="B6"/>
    </sheetView>
  </sheetViews>
  <sheetFormatPr defaultRowHeight="14.5" x14ac:dyDescent="0.35"/>
  <cols>
    <col min="1" max="1" width="34" style="2" customWidth="1"/>
    <col min="2" max="2" width="95" style="1" customWidth="1"/>
  </cols>
  <sheetData>
    <row r="1" spans="1:2" ht="20.149999999999999" customHeight="1" x14ac:dyDescent="0.35">
      <c r="A1" s="15" t="s">
        <v>1230</v>
      </c>
      <c r="B1" s="15" t="s">
        <v>1231</v>
      </c>
    </row>
    <row r="2" spans="1:2" ht="110.15" customHeight="1" x14ac:dyDescent="0.35">
      <c r="A2" s="17" t="s">
        <v>972</v>
      </c>
      <c r="B2" s="18" t="s">
        <v>3051</v>
      </c>
    </row>
    <row r="3" spans="1:2" ht="110.15" customHeight="1" x14ac:dyDescent="0.35">
      <c r="A3" s="17" t="s">
        <v>976</v>
      </c>
      <c r="B3" s="18" t="s">
        <v>3051</v>
      </c>
    </row>
    <row r="4" spans="1:2" ht="110.15" customHeight="1" x14ac:dyDescent="0.35">
      <c r="A4" s="17" t="s">
        <v>984</v>
      </c>
      <c r="B4" s="18" t="s">
        <v>1232</v>
      </c>
    </row>
    <row r="5" spans="1:2" ht="110.15" customHeight="1" x14ac:dyDescent="0.35">
      <c r="A5" s="17" t="s">
        <v>1233</v>
      </c>
      <c r="B5" s="18" t="s">
        <v>3051</v>
      </c>
    </row>
    <row r="6" spans="1:2" ht="110.15" customHeight="1" x14ac:dyDescent="0.35">
      <c r="A6" s="17" t="s">
        <v>1234</v>
      </c>
      <c r="B6" s="18" t="s">
        <v>1235</v>
      </c>
    </row>
    <row r="7" spans="1:2" ht="110.15" customHeight="1" x14ac:dyDescent="0.35">
      <c r="A7" s="17" t="s">
        <v>1236</v>
      </c>
      <c r="B7" s="18" t="s">
        <v>2974</v>
      </c>
    </row>
    <row r="8" spans="1:2" ht="110.15" customHeight="1" x14ac:dyDescent="0.35">
      <c r="A8" s="17" t="s">
        <v>1237</v>
      </c>
      <c r="B8" s="18" t="s">
        <v>2973</v>
      </c>
    </row>
    <row r="9" spans="1:2" ht="110.15" customHeight="1" x14ac:dyDescent="0.35">
      <c r="A9" s="17" t="s">
        <v>1238</v>
      </c>
      <c r="B9" s="18" t="s">
        <v>2972</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I178" sqref="I89:I178"/>
    </sheetView>
  </sheetViews>
  <sheetFormatPr defaultRowHeight="14.5" x14ac:dyDescent="0.35"/>
  <cols>
    <col min="1" max="1" width="26.81640625" style="2" bestFit="1" customWidth="1"/>
    <col min="2" max="2" width="83.453125" style="1" customWidth="1"/>
  </cols>
  <sheetData>
    <row r="1" spans="1:2" ht="15" customHeight="1" thickBot="1" x14ac:dyDescent="0.4">
      <c r="A1" s="15" t="s">
        <v>1239</v>
      </c>
      <c r="B1" s="16" t="s">
        <v>1240</v>
      </c>
    </row>
    <row r="2" spans="1:2" ht="56.5" customHeight="1" x14ac:dyDescent="0.35">
      <c r="A2" s="17" t="s">
        <v>1241</v>
      </c>
      <c r="B2" s="18" t="s">
        <v>1242</v>
      </c>
    </row>
    <row r="3" spans="1:2" ht="70" customHeight="1" x14ac:dyDescent="0.35">
      <c r="A3" s="19" t="s">
        <v>1243</v>
      </c>
      <c r="B3" s="20" t="s">
        <v>1244</v>
      </c>
    </row>
    <row r="4" spans="1:2" ht="174" customHeight="1" x14ac:dyDescent="0.35">
      <c r="A4" s="19" t="s">
        <v>1245</v>
      </c>
      <c r="B4" s="20" t="s">
        <v>1246</v>
      </c>
    </row>
    <row r="5" spans="1:2" ht="130.5" customHeight="1" x14ac:dyDescent="0.35">
      <c r="A5" s="19" t="s">
        <v>1247</v>
      </c>
      <c r="B5" s="20" t="s">
        <v>1248</v>
      </c>
    </row>
    <row r="6" spans="1:2" ht="159.65" customHeight="1" x14ac:dyDescent="0.35">
      <c r="A6" s="19" t="s">
        <v>1249</v>
      </c>
      <c r="B6" s="20" t="s">
        <v>1250</v>
      </c>
    </row>
    <row r="7" spans="1:2" ht="116.15" customHeight="1" x14ac:dyDescent="0.35">
      <c r="A7" s="19" t="s">
        <v>1251</v>
      </c>
      <c r="B7" s="20" t="s">
        <v>1252</v>
      </c>
    </row>
    <row r="8" spans="1:2" ht="130.5" customHeight="1" x14ac:dyDescent="0.35">
      <c r="A8" s="19" t="s">
        <v>1253</v>
      </c>
      <c r="B8" s="20" t="s">
        <v>1254</v>
      </c>
    </row>
    <row r="9" spans="1:2" ht="145" customHeight="1" x14ac:dyDescent="0.35">
      <c r="A9" s="19" t="s">
        <v>1255</v>
      </c>
      <c r="B9" s="20" t="s">
        <v>1256</v>
      </c>
    </row>
    <row r="10" spans="1:2" ht="145.5" customHeight="1" thickBot="1" x14ac:dyDescent="0.4">
      <c r="A10" s="21" t="s">
        <v>1241</v>
      </c>
      <c r="B10" s="22" t="s">
        <v>1257</v>
      </c>
    </row>
    <row r="11" spans="1:2" ht="409.5" customHeight="1" x14ac:dyDescent="0.35">
      <c r="A11" s="23" t="s">
        <v>1233</v>
      </c>
      <c r="B11" s="24" t="s">
        <v>1258</v>
      </c>
    </row>
    <row r="12" spans="1:2" ht="409.6" customHeight="1" thickBot="1" x14ac:dyDescent="0.4">
      <c r="A12" s="25" t="s">
        <v>1234</v>
      </c>
      <c r="B12" s="26" t="s">
        <v>1259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364"/>
  <sheetViews>
    <sheetView topLeftCell="A283" zoomScale="85" zoomScaleNormal="85" workbookViewId="0">
      <selection activeCell="I178" sqref="I89:I178"/>
    </sheetView>
  </sheetViews>
  <sheetFormatPr defaultRowHeight="14.5" x14ac:dyDescent="0.35"/>
  <cols>
    <col min="1" max="1" width="15.1796875" bestFit="1" customWidth="1"/>
    <col min="2" max="2" width="10.90625" bestFit="1" customWidth="1"/>
    <col min="3" max="3" width="11.453125" bestFit="1" customWidth="1"/>
    <col min="4" max="4" width="13.453125" bestFit="1" customWidth="1"/>
    <col min="5" max="5" width="40.54296875" bestFit="1" customWidth="1"/>
    <col min="6" max="6" width="85" bestFit="1" customWidth="1"/>
    <col min="7" max="7" width="28.81640625" bestFit="1" customWidth="1"/>
    <col min="8" max="8" width="146.1796875" bestFit="1" customWidth="1"/>
    <col min="9" max="9" width="11.54296875" bestFit="1" customWidth="1"/>
    <col min="10" max="10" width="113.1796875" bestFit="1" customWidth="1"/>
    <col min="11" max="11" width="255.6328125" bestFit="1" customWidth="1"/>
  </cols>
  <sheetData>
    <row r="1" spans="1:11" x14ac:dyDescent="0.35">
      <c r="A1" s="40" t="s">
        <v>796</v>
      </c>
      <c r="B1" s="40" t="s">
        <v>1260</v>
      </c>
      <c r="C1" s="40" t="s">
        <v>798</v>
      </c>
      <c r="D1" s="40" t="s">
        <v>5</v>
      </c>
      <c r="E1" s="40" t="s">
        <v>6</v>
      </c>
      <c r="F1" s="40" t="s">
        <v>1261</v>
      </c>
      <c r="G1" s="40" t="s">
        <v>1262</v>
      </c>
      <c r="H1" s="40" t="s">
        <v>1263</v>
      </c>
      <c r="I1" s="40" t="s">
        <v>802</v>
      </c>
      <c r="J1" s="40" t="s">
        <v>1264</v>
      </c>
      <c r="K1" s="40" t="s">
        <v>1265</v>
      </c>
    </row>
    <row r="2" spans="1:11" x14ac:dyDescent="0.35">
      <c r="A2" s="39">
        <v>46233.471296296295</v>
      </c>
      <c r="B2" t="s">
        <v>805</v>
      </c>
      <c r="C2" t="s">
        <v>904</v>
      </c>
      <c r="D2" t="s">
        <v>1266</v>
      </c>
      <c r="E2" t="s">
        <v>1267</v>
      </c>
      <c r="G2" t="s">
        <v>1268</v>
      </c>
      <c r="H2" t="s">
        <v>1269</v>
      </c>
      <c r="I2" t="s">
        <v>807</v>
      </c>
      <c r="J2" t="s">
        <v>1270</v>
      </c>
    </row>
    <row r="3" spans="1:11" x14ac:dyDescent="0.35">
      <c r="A3" s="39">
        <v>46233.473692129628</v>
      </c>
      <c r="B3" t="s">
        <v>805</v>
      </c>
      <c r="C3" t="s">
        <v>904</v>
      </c>
      <c r="E3" t="s">
        <v>1267</v>
      </c>
      <c r="G3" t="s">
        <v>1271</v>
      </c>
      <c r="H3" t="s">
        <v>1272</v>
      </c>
      <c r="I3">
        <v>3.5</v>
      </c>
      <c r="J3" t="s">
        <v>1273</v>
      </c>
      <c r="K3" t="s">
        <v>1274</v>
      </c>
    </row>
    <row r="4" spans="1:11" x14ac:dyDescent="0.35">
      <c r="A4" s="39">
        <v>46233.479386574072</v>
      </c>
      <c r="B4" t="s">
        <v>805</v>
      </c>
      <c r="C4" t="s">
        <v>904</v>
      </c>
      <c r="E4" t="s">
        <v>1267</v>
      </c>
      <c r="G4" t="s">
        <v>1275</v>
      </c>
      <c r="H4" t="s">
        <v>1276</v>
      </c>
      <c r="I4" t="s">
        <v>807</v>
      </c>
      <c r="K4" t="s">
        <v>1277</v>
      </c>
    </row>
    <row r="5" spans="1:11" x14ac:dyDescent="0.35">
      <c r="A5" s="39">
        <v>46233.534942129627</v>
      </c>
      <c r="B5" t="s">
        <v>805</v>
      </c>
      <c r="C5">
        <v>132002</v>
      </c>
      <c r="D5" t="s">
        <v>1278</v>
      </c>
      <c r="G5" t="s">
        <v>1268</v>
      </c>
      <c r="H5" t="s">
        <v>1279</v>
      </c>
      <c r="I5" t="s">
        <v>807</v>
      </c>
      <c r="J5" t="s">
        <v>1270</v>
      </c>
    </row>
    <row r="6" spans="1:11" x14ac:dyDescent="0.35">
      <c r="A6" s="39">
        <v>46233.575636574074</v>
      </c>
      <c r="B6" t="s">
        <v>805</v>
      </c>
      <c r="C6">
        <v>132002</v>
      </c>
      <c r="D6" t="s">
        <v>1278</v>
      </c>
      <c r="E6" t="s">
        <v>1280</v>
      </c>
      <c r="F6" t="s">
        <v>1281</v>
      </c>
      <c r="G6" t="s">
        <v>1275</v>
      </c>
      <c r="H6" t="s">
        <v>1282</v>
      </c>
      <c r="I6" t="s">
        <v>807</v>
      </c>
      <c r="K6" t="s">
        <v>1283</v>
      </c>
    </row>
    <row r="7" spans="1:11" x14ac:dyDescent="0.35">
      <c r="A7" s="39">
        <v>46233.612384259257</v>
      </c>
      <c r="B7" t="s">
        <v>805</v>
      </c>
      <c r="C7">
        <v>132002</v>
      </c>
      <c r="D7" t="s">
        <v>1278</v>
      </c>
      <c r="E7" t="s">
        <v>1280</v>
      </c>
      <c r="F7" t="s">
        <v>1281</v>
      </c>
      <c r="G7" t="s">
        <v>1275</v>
      </c>
      <c r="H7" t="s">
        <v>1282</v>
      </c>
      <c r="I7" t="s">
        <v>807</v>
      </c>
      <c r="K7" t="s">
        <v>1283</v>
      </c>
    </row>
    <row r="8" spans="1:11" x14ac:dyDescent="0.35">
      <c r="A8" s="39">
        <v>46233.644895833335</v>
      </c>
      <c r="B8" t="s">
        <v>805</v>
      </c>
      <c r="C8">
        <v>131328</v>
      </c>
      <c r="D8" t="s">
        <v>1284</v>
      </c>
      <c r="G8" t="s">
        <v>1268</v>
      </c>
      <c r="H8" t="s">
        <v>1285</v>
      </c>
      <c r="I8" t="s">
        <v>807</v>
      </c>
      <c r="J8" t="s">
        <v>1270</v>
      </c>
    </row>
    <row r="9" spans="1:11" x14ac:dyDescent="0.35">
      <c r="A9" s="39">
        <v>46233.662002314813</v>
      </c>
      <c r="B9" t="s">
        <v>805</v>
      </c>
      <c r="C9">
        <v>131328</v>
      </c>
      <c r="D9" t="s">
        <v>1284</v>
      </c>
      <c r="E9" t="s">
        <v>1286</v>
      </c>
      <c r="F9" t="s">
        <v>1287</v>
      </c>
      <c r="G9" t="s">
        <v>1275</v>
      </c>
      <c r="H9" t="s">
        <v>1288</v>
      </c>
      <c r="I9" t="s">
        <v>807</v>
      </c>
      <c r="K9" t="s">
        <v>1289</v>
      </c>
    </row>
    <row r="10" spans="1:11" x14ac:dyDescent="0.35">
      <c r="A10" s="39">
        <v>46233.675682870373</v>
      </c>
      <c r="B10" t="s">
        <v>805</v>
      </c>
      <c r="C10">
        <v>114067</v>
      </c>
      <c r="D10" t="s">
        <v>1290</v>
      </c>
      <c r="E10" t="s">
        <v>1291</v>
      </c>
      <c r="G10" t="s">
        <v>1268</v>
      </c>
      <c r="H10" t="s">
        <v>1292</v>
      </c>
      <c r="I10" t="s">
        <v>807</v>
      </c>
      <c r="J10" t="s">
        <v>1270</v>
      </c>
    </row>
    <row r="11" spans="1:11" x14ac:dyDescent="0.35">
      <c r="A11" s="39">
        <v>46233.693287037036</v>
      </c>
      <c r="B11" t="s">
        <v>805</v>
      </c>
      <c r="C11">
        <v>114067</v>
      </c>
      <c r="D11" t="s">
        <v>1290</v>
      </c>
      <c r="E11" t="s">
        <v>1291</v>
      </c>
      <c r="F11" t="s">
        <v>1293</v>
      </c>
      <c r="G11" t="s">
        <v>1275</v>
      </c>
      <c r="H11" t="s">
        <v>1294</v>
      </c>
      <c r="I11" t="s">
        <v>807</v>
      </c>
      <c r="K11" t="s">
        <v>1295</v>
      </c>
    </row>
    <row r="12" spans="1:11" x14ac:dyDescent="0.35">
      <c r="A12" s="39">
        <v>46233.700289351851</v>
      </c>
      <c r="B12" t="s">
        <v>805</v>
      </c>
      <c r="C12">
        <v>131903</v>
      </c>
      <c r="D12" t="s">
        <v>1296</v>
      </c>
      <c r="E12" t="s">
        <v>1297</v>
      </c>
      <c r="G12" t="s">
        <v>1268</v>
      </c>
      <c r="H12" t="s">
        <v>1298</v>
      </c>
      <c r="I12" t="s">
        <v>807</v>
      </c>
      <c r="J12" t="s">
        <v>1270</v>
      </c>
    </row>
    <row r="13" spans="1:11" x14ac:dyDescent="0.35">
      <c r="A13" s="39">
        <v>46233.703460648147</v>
      </c>
      <c r="B13" t="s">
        <v>805</v>
      </c>
      <c r="C13">
        <v>131903</v>
      </c>
      <c r="D13" t="s">
        <v>1296</v>
      </c>
      <c r="E13" t="s">
        <v>1297</v>
      </c>
      <c r="F13" t="s">
        <v>1299</v>
      </c>
      <c r="G13" t="s">
        <v>1275</v>
      </c>
      <c r="H13" t="s">
        <v>1300</v>
      </c>
      <c r="I13" t="s">
        <v>807</v>
      </c>
      <c r="K13" t="s">
        <v>1301</v>
      </c>
    </row>
    <row r="14" spans="1:11" x14ac:dyDescent="0.35">
      <c r="A14" s="39">
        <v>46233.715231481481</v>
      </c>
      <c r="B14" t="s">
        <v>805</v>
      </c>
      <c r="C14">
        <v>131903</v>
      </c>
      <c r="D14" t="s">
        <v>1296</v>
      </c>
      <c r="E14" t="s">
        <v>1297</v>
      </c>
      <c r="G14" t="s">
        <v>1275</v>
      </c>
      <c r="H14" t="s">
        <v>1300</v>
      </c>
      <c r="I14" t="s">
        <v>807</v>
      </c>
      <c r="K14" t="s">
        <v>1301</v>
      </c>
    </row>
    <row r="15" spans="1:11" x14ac:dyDescent="0.35">
      <c r="A15" s="39">
        <v>46233.978009259263</v>
      </c>
      <c r="B15" t="s">
        <v>805</v>
      </c>
      <c r="C15">
        <v>131903</v>
      </c>
      <c r="D15" t="s">
        <v>1296</v>
      </c>
      <c r="E15" t="s">
        <v>1297</v>
      </c>
      <c r="G15" t="s">
        <v>1268</v>
      </c>
      <c r="H15" t="s">
        <v>1298</v>
      </c>
      <c r="I15" t="s">
        <v>807</v>
      </c>
      <c r="J15" t="s">
        <v>1270</v>
      </c>
    </row>
    <row r="16" spans="1:11" x14ac:dyDescent="0.35">
      <c r="A16" s="39">
        <v>46233.983958333331</v>
      </c>
      <c r="B16" t="s">
        <v>805</v>
      </c>
      <c r="C16">
        <v>131903</v>
      </c>
      <c r="D16" t="s">
        <v>1296</v>
      </c>
      <c r="E16" t="s">
        <v>1297</v>
      </c>
      <c r="G16" t="s">
        <v>1268</v>
      </c>
      <c r="H16" t="s">
        <v>1298</v>
      </c>
      <c r="I16" t="s">
        <v>807</v>
      </c>
      <c r="J16" t="s">
        <v>1270</v>
      </c>
    </row>
    <row r="17" spans="1:11" x14ac:dyDescent="0.35">
      <c r="A17" s="39">
        <v>46233.989317129628</v>
      </c>
      <c r="B17" t="s">
        <v>805</v>
      </c>
      <c r="C17">
        <v>131903</v>
      </c>
      <c r="D17" t="s">
        <v>1296</v>
      </c>
      <c r="E17" t="s">
        <v>1297</v>
      </c>
      <c r="G17" t="s">
        <v>1271</v>
      </c>
      <c r="H17" t="s">
        <v>1302</v>
      </c>
      <c r="I17">
        <v>3.5</v>
      </c>
      <c r="J17" t="s">
        <v>1303</v>
      </c>
      <c r="K17" t="s">
        <v>1304</v>
      </c>
    </row>
    <row r="18" spans="1:11" x14ac:dyDescent="0.35">
      <c r="A18" s="39">
        <v>46233.998425925929</v>
      </c>
      <c r="B18" t="s">
        <v>805</v>
      </c>
      <c r="C18">
        <v>131903</v>
      </c>
      <c r="D18" t="s">
        <v>1296</v>
      </c>
      <c r="E18" t="s">
        <v>1297</v>
      </c>
      <c r="G18" t="s">
        <v>1305</v>
      </c>
      <c r="H18" t="s">
        <v>1306</v>
      </c>
      <c r="I18" t="s">
        <v>1307</v>
      </c>
      <c r="J18" t="s">
        <v>1308</v>
      </c>
    </row>
    <row r="19" spans="1:11" x14ac:dyDescent="0.35">
      <c r="A19" s="39">
        <v>46234.001666666663</v>
      </c>
      <c r="B19" t="s">
        <v>805</v>
      </c>
      <c r="C19">
        <v>131903</v>
      </c>
      <c r="D19" t="s">
        <v>1296</v>
      </c>
      <c r="E19" t="s">
        <v>1297</v>
      </c>
      <c r="G19" t="s">
        <v>1268</v>
      </c>
      <c r="H19" t="s">
        <v>1298</v>
      </c>
      <c r="I19" t="s">
        <v>807</v>
      </c>
      <c r="J19" t="s">
        <v>1270</v>
      </c>
    </row>
    <row r="20" spans="1:11" x14ac:dyDescent="0.35">
      <c r="A20" s="39">
        <v>46234.005787037036</v>
      </c>
      <c r="B20" t="s">
        <v>805</v>
      </c>
      <c r="C20">
        <v>131903</v>
      </c>
      <c r="D20" t="s">
        <v>1296</v>
      </c>
      <c r="E20" t="s">
        <v>1297</v>
      </c>
      <c r="G20" t="s">
        <v>1271</v>
      </c>
      <c r="H20" t="s">
        <v>1302</v>
      </c>
      <c r="I20">
        <v>3.5</v>
      </c>
      <c r="J20" t="s">
        <v>1309</v>
      </c>
      <c r="K20" t="s">
        <v>1310</v>
      </c>
    </row>
    <row r="21" spans="1:11" x14ac:dyDescent="0.35">
      <c r="A21" s="39">
        <v>46234.491574074076</v>
      </c>
      <c r="B21" t="s">
        <v>805</v>
      </c>
      <c r="C21">
        <v>115987</v>
      </c>
      <c r="D21" t="s">
        <v>1311</v>
      </c>
      <c r="G21" t="s">
        <v>1268</v>
      </c>
      <c r="H21" t="s">
        <v>1312</v>
      </c>
      <c r="I21" t="s">
        <v>807</v>
      </c>
      <c r="J21" t="s">
        <v>1270</v>
      </c>
    </row>
    <row r="22" spans="1:11" x14ac:dyDescent="0.35">
      <c r="A22" s="39">
        <v>46234.520289351851</v>
      </c>
      <c r="B22" t="s">
        <v>805</v>
      </c>
      <c r="C22">
        <v>115987</v>
      </c>
      <c r="D22" t="s">
        <v>1311</v>
      </c>
      <c r="E22" t="s">
        <v>1313</v>
      </c>
      <c r="F22" t="s">
        <v>1314</v>
      </c>
      <c r="G22" t="s">
        <v>1275</v>
      </c>
      <c r="H22" t="s">
        <v>1315</v>
      </c>
      <c r="I22" t="s">
        <v>807</v>
      </c>
      <c r="K22" t="s">
        <v>1316</v>
      </c>
    </row>
    <row r="23" spans="1:11" x14ac:dyDescent="0.35">
      <c r="A23" s="39">
        <v>46234.522303240738</v>
      </c>
      <c r="B23" t="s">
        <v>805</v>
      </c>
      <c r="C23">
        <v>115987</v>
      </c>
      <c r="D23" t="s">
        <v>1311</v>
      </c>
      <c r="E23" t="s">
        <v>1317</v>
      </c>
      <c r="F23" t="s">
        <v>1318</v>
      </c>
      <c r="G23" t="s">
        <v>1275</v>
      </c>
      <c r="H23" t="s">
        <v>1319</v>
      </c>
      <c r="I23" t="s">
        <v>807</v>
      </c>
      <c r="K23" t="s">
        <v>1316</v>
      </c>
    </row>
    <row r="24" spans="1:11" x14ac:dyDescent="0.35">
      <c r="A24" s="39">
        <v>46237.510150462964</v>
      </c>
      <c r="B24" t="s">
        <v>805</v>
      </c>
      <c r="C24">
        <v>135281</v>
      </c>
      <c r="D24" t="s">
        <v>1320</v>
      </c>
      <c r="E24" t="s">
        <v>1321</v>
      </c>
      <c r="F24" t="s">
        <v>1322</v>
      </c>
      <c r="G24" t="s">
        <v>1305</v>
      </c>
      <c r="H24" t="s">
        <v>1323</v>
      </c>
      <c r="I24" t="s">
        <v>1307</v>
      </c>
      <c r="J24" t="s">
        <v>1308</v>
      </c>
    </row>
    <row r="25" spans="1:11" x14ac:dyDescent="0.35">
      <c r="A25" s="39">
        <v>46237.511030092595</v>
      </c>
      <c r="B25" t="s">
        <v>805</v>
      </c>
      <c r="C25">
        <v>135281</v>
      </c>
      <c r="D25" t="s">
        <v>1320</v>
      </c>
      <c r="E25" t="s">
        <v>1321</v>
      </c>
      <c r="F25" t="s">
        <v>1322</v>
      </c>
      <c r="G25" t="s">
        <v>1268</v>
      </c>
      <c r="H25" t="s">
        <v>1324</v>
      </c>
      <c r="I25" t="s">
        <v>807</v>
      </c>
      <c r="J25" t="s">
        <v>1270</v>
      </c>
    </row>
    <row r="26" spans="1:11" x14ac:dyDescent="0.35">
      <c r="A26" s="39">
        <v>46237.513472222221</v>
      </c>
      <c r="B26" t="s">
        <v>805</v>
      </c>
      <c r="C26">
        <v>135281</v>
      </c>
      <c r="D26" t="s">
        <v>1320</v>
      </c>
      <c r="E26" t="s">
        <v>1321</v>
      </c>
      <c r="F26" t="s">
        <v>1322</v>
      </c>
      <c r="G26" t="s">
        <v>1271</v>
      </c>
      <c r="H26" t="s">
        <v>1325</v>
      </c>
      <c r="I26">
        <v>3.5</v>
      </c>
      <c r="J26" t="s">
        <v>1326</v>
      </c>
      <c r="K26" t="s">
        <v>1327</v>
      </c>
    </row>
    <row r="27" spans="1:11" x14ac:dyDescent="0.35">
      <c r="A27" s="39">
        <v>46237.514120370368</v>
      </c>
      <c r="B27" t="s">
        <v>805</v>
      </c>
      <c r="C27">
        <v>135281</v>
      </c>
      <c r="D27" t="s">
        <v>1320</v>
      </c>
      <c r="E27" t="s">
        <v>1321</v>
      </c>
      <c r="F27" t="s">
        <v>1322</v>
      </c>
      <c r="G27" t="s">
        <v>1275</v>
      </c>
      <c r="H27" t="s">
        <v>1328</v>
      </c>
      <c r="I27" t="s">
        <v>807</v>
      </c>
      <c r="K27" t="s">
        <v>1329</v>
      </c>
    </row>
    <row r="28" spans="1:11" x14ac:dyDescent="0.35">
      <c r="A28" s="39">
        <v>46237.563564814816</v>
      </c>
      <c r="B28" t="s">
        <v>805</v>
      </c>
      <c r="C28">
        <v>136313</v>
      </c>
      <c r="D28" t="s">
        <v>1330</v>
      </c>
      <c r="E28" t="s">
        <v>1331</v>
      </c>
      <c r="G28" t="s">
        <v>1305</v>
      </c>
      <c r="H28" t="s">
        <v>1332</v>
      </c>
      <c r="I28" t="s">
        <v>1307</v>
      </c>
      <c r="J28" t="s">
        <v>1308</v>
      </c>
    </row>
    <row r="29" spans="1:11" x14ac:dyDescent="0.35">
      <c r="A29" s="39">
        <v>46237.565879629627</v>
      </c>
      <c r="B29" t="s">
        <v>805</v>
      </c>
      <c r="C29">
        <v>136313</v>
      </c>
      <c r="D29" t="s">
        <v>1330</v>
      </c>
      <c r="E29" t="s">
        <v>1331</v>
      </c>
      <c r="G29" t="s">
        <v>1268</v>
      </c>
      <c r="H29" t="s">
        <v>1333</v>
      </c>
      <c r="I29" t="s">
        <v>807</v>
      </c>
      <c r="J29" t="s">
        <v>1270</v>
      </c>
    </row>
    <row r="30" spans="1:11" x14ac:dyDescent="0.35">
      <c r="A30" s="39">
        <v>46237.573298611111</v>
      </c>
      <c r="B30" t="s">
        <v>805</v>
      </c>
      <c r="C30">
        <v>136313</v>
      </c>
      <c r="D30" t="s">
        <v>1330</v>
      </c>
      <c r="E30" t="s">
        <v>1331</v>
      </c>
      <c r="F30" t="s">
        <v>1334</v>
      </c>
      <c r="G30" t="s">
        <v>1271</v>
      </c>
      <c r="H30" t="s">
        <v>1335</v>
      </c>
      <c r="I30">
        <v>3.5</v>
      </c>
      <c r="J30" t="s">
        <v>1336</v>
      </c>
      <c r="K30" t="s">
        <v>1337</v>
      </c>
    </row>
    <row r="31" spans="1:11" x14ac:dyDescent="0.35">
      <c r="A31" s="39">
        <v>46237.582349537035</v>
      </c>
      <c r="B31" t="s">
        <v>805</v>
      </c>
      <c r="C31">
        <v>136313</v>
      </c>
      <c r="D31" t="s">
        <v>1330</v>
      </c>
      <c r="E31" t="s">
        <v>1331</v>
      </c>
      <c r="F31" t="s">
        <v>1334</v>
      </c>
      <c r="G31" t="s">
        <v>1275</v>
      </c>
      <c r="H31" t="s">
        <v>1338</v>
      </c>
      <c r="I31" t="s">
        <v>807</v>
      </c>
      <c r="K31" t="s">
        <v>1339</v>
      </c>
    </row>
    <row r="32" spans="1:11" x14ac:dyDescent="0.35">
      <c r="A32" s="39">
        <v>46237.586331018516</v>
      </c>
      <c r="B32" t="s">
        <v>805</v>
      </c>
      <c r="C32">
        <v>136313</v>
      </c>
      <c r="D32" t="s">
        <v>1330</v>
      </c>
      <c r="E32" t="s">
        <v>1331</v>
      </c>
      <c r="F32" t="s">
        <v>1334</v>
      </c>
      <c r="G32" t="s">
        <v>1268</v>
      </c>
      <c r="H32" t="s">
        <v>1340</v>
      </c>
      <c r="I32" t="s">
        <v>807</v>
      </c>
      <c r="J32" t="s">
        <v>1341</v>
      </c>
    </row>
    <row r="33" spans="1:11" x14ac:dyDescent="0.35">
      <c r="A33" s="39">
        <v>46237.753506944442</v>
      </c>
      <c r="B33" t="s">
        <v>805</v>
      </c>
      <c r="C33">
        <v>134049</v>
      </c>
      <c r="D33" t="s">
        <v>1342</v>
      </c>
      <c r="E33" t="s">
        <v>1343</v>
      </c>
      <c r="G33" t="s">
        <v>1305</v>
      </c>
      <c r="H33" t="s">
        <v>1344</v>
      </c>
      <c r="I33" t="s">
        <v>1307</v>
      </c>
      <c r="J33" t="s">
        <v>1308</v>
      </c>
    </row>
    <row r="34" spans="1:11" x14ac:dyDescent="0.35">
      <c r="A34" s="39">
        <v>46237.755011574074</v>
      </c>
      <c r="B34" t="s">
        <v>805</v>
      </c>
      <c r="C34">
        <v>134049</v>
      </c>
      <c r="D34" t="s">
        <v>1342</v>
      </c>
      <c r="E34" t="s">
        <v>1343</v>
      </c>
      <c r="G34" t="s">
        <v>1268</v>
      </c>
      <c r="H34" t="s">
        <v>1345</v>
      </c>
      <c r="I34" t="s">
        <v>807</v>
      </c>
      <c r="J34" t="s">
        <v>1270</v>
      </c>
    </row>
    <row r="35" spans="1:11" x14ac:dyDescent="0.35">
      <c r="A35" s="39">
        <v>46237.767858796295</v>
      </c>
      <c r="B35" t="s">
        <v>805</v>
      </c>
      <c r="C35">
        <v>134049</v>
      </c>
      <c r="D35" t="s">
        <v>1342</v>
      </c>
      <c r="E35" t="s">
        <v>1343</v>
      </c>
      <c r="F35" t="s">
        <v>1346</v>
      </c>
      <c r="G35" t="s">
        <v>1271</v>
      </c>
      <c r="H35" t="s">
        <v>1347</v>
      </c>
      <c r="I35">
        <v>3.5</v>
      </c>
      <c r="J35" t="s">
        <v>1348</v>
      </c>
      <c r="K35" t="s">
        <v>1349</v>
      </c>
    </row>
    <row r="36" spans="1:11" x14ac:dyDescent="0.35">
      <c r="A36" s="39">
        <v>46237.785891203705</v>
      </c>
      <c r="B36" t="s">
        <v>805</v>
      </c>
      <c r="C36">
        <v>134049</v>
      </c>
      <c r="D36" t="s">
        <v>1342</v>
      </c>
      <c r="E36" t="s">
        <v>1343</v>
      </c>
      <c r="F36" t="s">
        <v>1346</v>
      </c>
      <c r="G36" t="s">
        <v>1275</v>
      </c>
      <c r="H36" t="s">
        <v>1350</v>
      </c>
      <c r="I36" t="s">
        <v>807</v>
      </c>
      <c r="K36" t="s">
        <v>1351</v>
      </c>
    </row>
    <row r="37" spans="1:11" x14ac:dyDescent="0.35">
      <c r="A37" s="39">
        <v>46237.844837962963</v>
      </c>
      <c r="B37" t="s">
        <v>805</v>
      </c>
      <c r="C37">
        <v>137857</v>
      </c>
      <c r="D37" t="s">
        <v>1352</v>
      </c>
      <c r="E37" t="s">
        <v>1353</v>
      </c>
      <c r="G37" t="s">
        <v>1305</v>
      </c>
      <c r="H37" t="s">
        <v>1354</v>
      </c>
      <c r="I37" t="s">
        <v>1307</v>
      </c>
      <c r="J37" t="s">
        <v>1308</v>
      </c>
    </row>
    <row r="38" spans="1:11" x14ac:dyDescent="0.35">
      <c r="A38" s="39">
        <v>46237.846319444441</v>
      </c>
      <c r="B38" t="s">
        <v>805</v>
      </c>
      <c r="C38">
        <v>137857</v>
      </c>
      <c r="D38" t="s">
        <v>1352</v>
      </c>
      <c r="E38" t="s">
        <v>1353</v>
      </c>
      <c r="G38" t="s">
        <v>1268</v>
      </c>
      <c r="H38" t="s">
        <v>1355</v>
      </c>
      <c r="I38" t="s">
        <v>807</v>
      </c>
      <c r="J38" t="s">
        <v>1270</v>
      </c>
    </row>
    <row r="39" spans="1:11" x14ac:dyDescent="0.35">
      <c r="A39" s="39">
        <v>46237.864085648151</v>
      </c>
      <c r="B39" t="s">
        <v>805</v>
      </c>
      <c r="C39">
        <v>137857</v>
      </c>
      <c r="D39" t="s">
        <v>1352</v>
      </c>
      <c r="E39" t="s">
        <v>1353</v>
      </c>
      <c r="G39" t="s">
        <v>1271</v>
      </c>
      <c r="H39" t="s">
        <v>1356</v>
      </c>
      <c r="I39">
        <v>3.5</v>
      </c>
      <c r="J39" t="s">
        <v>1357</v>
      </c>
      <c r="K39" t="s">
        <v>1358</v>
      </c>
    </row>
    <row r="40" spans="1:11" x14ac:dyDescent="0.35">
      <c r="A40" s="39">
        <v>46237.871041666665</v>
      </c>
      <c r="B40" t="s">
        <v>805</v>
      </c>
      <c r="C40">
        <v>137857</v>
      </c>
      <c r="D40" t="s">
        <v>1352</v>
      </c>
      <c r="E40" t="s">
        <v>1353</v>
      </c>
      <c r="G40" t="s">
        <v>1275</v>
      </c>
      <c r="H40" t="s">
        <v>1359</v>
      </c>
      <c r="I40" t="s">
        <v>807</v>
      </c>
      <c r="K40" t="s">
        <v>1360</v>
      </c>
    </row>
    <row r="41" spans="1:11" x14ac:dyDescent="0.35">
      <c r="A41" s="39">
        <v>46237.899710648147</v>
      </c>
      <c r="B41" t="s">
        <v>805</v>
      </c>
      <c r="C41">
        <v>137313</v>
      </c>
      <c r="D41" t="s">
        <v>1361</v>
      </c>
      <c r="E41" t="s">
        <v>1362</v>
      </c>
      <c r="G41" t="s">
        <v>1271</v>
      </c>
      <c r="H41" t="s">
        <v>1363</v>
      </c>
      <c r="I41">
        <v>3.5</v>
      </c>
      <c r="J41" t="s">
        <v>1364</v>
      </c>
      <c r="K41" t="s">
        <v>1365</v>
      </c>
    </row>
    <row r="42" spans="1:11" x14ac:dyDescent="0.35">
      <c r="A42" s="39">
        <v>46237.910173611112</v>
      </c>
      <c r="B42" t="s">
        <v>805</v>
      </c>
      <c r="C42">
        <v>137313</v>
      </c>
      <c r="D42" t="s">
        <v>1361</v>
      </c>
      <c r="E42" t="s">
        <v>1362</v>
      </c>
      <c r="G42" t="s">
        <v>1305</v>
      </c>
      <c r="H42" t="s">
        <v>1366</v>
      </c>
      <c r="I42" t="s">
        <v>1307</v>
      </c>
      <c r="J42" t="s">
        <v>1308</v>
      </c>
    </row>
    <row r="43" spans="1:11" x14ac:dyDescent="0.35">
      <c r="A43" s="39">
        <v>46237.911145833335</v>
      </c>
      <c r="B43" t="s">
        <v>805</v>
      </c>
      <c r="C43">
        <v>137313</v>
      </c>
      <c r="D43" t="s">
        <v>1361</v>
      </c>
      <c r="E43" t="s">
        <v>1362</v>
      </c>
      <c r="G43" t="s">
        <v>1268</v>
      </c>
      <c r="H43" t="s">
        <v>1367</v>
      </c>
      <c r="I43" t="s">
        <v>807</v>
      </c>
      <c r="J43" t="s">
        <v>1270</v>
      </c>
    </row>
    <row r="44" spans="1:11" x14ac:dyDescent="0.35">
      <c r="A44" s="39">
        <v>46237.921539351853</v>
      </c>
      <c r="B44" t="s">
        <v>805</v>
      </c>
      <c r="C44">
        <v>137313</v>
      </c>
      <c r="D44" t="s">
        <v>1361</v>
      </c>
      <c r="E44" t="s">
        <v>1362</v>
      </c>
      <c r="G44" t="s">
        <v>1275</v>
      </c>
      <c r="H44" t="s">
        <v>1368</v>
      </c>
      <c r="I44" t="s">
        <v>807</v>
      </c>
      <c r="K44" t="s">
        <v>1369</v>
      </c>
    </row>
    <row r="45" spans="1:11" x14ac:dyDescent="0.35">
      <c r="A45" s="39">
        <v>46237.956319444442</v>
      </c>
      <c r="B45" t="s">
        <v>805</v>
      </c>
      <c r="C45">
        <v>134521</v>
      </c>
      <c r="D45" t="s">
        <v>1370</v>
      </c>
      <c r="E45" t="s">
        <v>1371</v>
      </c>
      <c r="F45" t="s">
        <v>1372</v>
      </c>
      <c r="G45" t="s">
        <v>1305</v>
      </c>
      <c r="H45" t="s">
        <v>1373</v>
      </c>
      <c r="I45" t="s">
        <v>1307</v>
      </c>
      <c r="J45" t="s">
        <v>1308</v>
      </c>
    </row>
    <row r="46" spans="1:11" x14ac:dyDescent="0.35">
      <c r="A46" s="39">
        <v>46237.959398148145</v>
      </c>
      <c r="B46" t="s">
        <v>805</v>
      </c>
      <c r="C46">
        <v>134521</v>
      </c>
      <c r="D46" t="s">
        <v>1370</v>
      </c>
      <c r="E46" t="s">
        <v>1371</v>
      </c>
      <c r="F46" t="s">
        <v>1372</v>
      </c>
      <c r="G46" t="s">
        <v>1268</v>
      </c>
      <c r="H46" t="s">
        <v>1374</v>
      </c>
      <c r="I46" t="s">
        <v>807</v>
      </c>
      <c r="J46" t="s">
        <v>1270</v>
      </c>
    </row>
    <row r="47" spans="1:11" x14ac:dyDescent="0.35">
      <c r="A47" s="39">
        <v>46237.962361111109</v>
      </c>
      <c r="B47" t="s">
        <v>805</v>
      </c>
      <c r="C47">
        <v>134521</v>
      </c>
      <c r="D47" t="s">
        <v>1370</v>
      </c>
      <c r="E47" t="s">
        <v>1371</v>
      </c>
      <c r="F47" t="s">
        <v>1372</v>
      </c>
      <c r="G47" t="s">
        <v>1271</v>
      </c>
      <c r="H47" t="s">
        <v>1375</v>
      </c>
      <c r="I47">
        <v>3.5</v>
      </c>
      <c r="J47" t="s">
        <v>1376</v>
      </c>
      <c r="K47" t="s">
        <v>1377</v>
      </c>
    </row>
    <row r="48" spans="1:11" x14ac:dyDescent="0.35">
      <c r="A48" s="39">
        <v>46237.970219907409</v>
      </c>
      <c r="B48" t="s">
        <v>805</v>
      </c>
      <c r="C48">
        <v>134521</v>
      </c>
      <c r="D48" t="s">
        <v>1370</v>
      </c>
      <c r="E48" t="s">
        <v>1371</v>
      </c>
      <c r="F48" t="s">
        <v>1372</v>
      </c>
      <c r="G48" t="s">
        <v>1275</v>
      </c>
      <c r="H48" t="s">
        <v>1378</v>
      </c>
      <c r="I48" t="s">
        <v>807</v>
      </c>
      <c r="K48" t="s">
        <v>1379</v>
      </c>
    </row>
    <row r="49" spans="1:11" x14ac:dyDescent="0.35">
      <c r="A49" s="39">
        <v>46237.988564814812</v>
      </c>
      <c r="B49" t="s">
        <v>805</v>
      </c>
      <c r="C49">
        <v>135873</v>
      </c>
      <c r="D49" t="s">
        <v>1380</v>
      </c>
      <c r="E49" t="s">
        <v>1381</v>
      </c>
      <c r="G49" t="s">
        <v>1305</v>
      </c>
      <c r="H49" t="s">
        <v>1382</v>
      </c>
      <c r="I49" t="s">
        <v>1307</v>
      </c>
      <c r="J49" t="s">
        <v>1308</v>
      </c>
    </row>
    <row r="50" spans="1:11" x14ac:dyDescent="0.35">
      <c r="A50" s="39">
        <v>46237.989849537036</v>
      </c>
      <c r="B50" t="s">
        <v>805</v>
      </c>
      <c r="C50">
        <v>135873</v>
      </c>
      <c r="D50" t="s">
        <v>1380</v>
      </c>
      <c r="E50" t="s">
        <v>1381</v>
      </c>
      <c r="G50" t="s">
        <v>1268</v>
      </c>
      <c r="H50" t="s">
        <v>1383</v>
      </c>
      <c r="I50" t="s">
        <v>807</v>
      </c>
      <c r="J50" t="s">
        <v>1270</v>
      </c>
    </row>
    <row r="51" spans="1:11" x14ac:dyDescent="0.35">
      <c r="A51" s="39">
        <v>46238.342835648145</v>
      </c>
      <c r="B51" t="s">
        <v>805</v>
      </c>
      <c r="C51">
        <v>135873</v>
      </c>
      <c r="D51" t="s">
        <v>1380</v>
      </c>
      <c r="E51" t="s">
        <v>1381</v>
      </c>
      <c r="F51" t="s">
        <v>1384</v>
      </c>
      <c r="G51" t="s">
        <v>1271</v>
      </c>
      <c r="H51" t="s">
        <v>1385</v>
      </c>
      <c r="I51">
        <v>3.5</v>
      </c>
      <c r="J51" t="s">
        <v>1386</v>
      </c>
      <c r="K51" t="s">
        <v>1387</v>
      </c>
    </row>
    <row r="52" spans="1:11" x14ac:dyDescent="0.35">
      <c r="A52" s="39">
        <v>46238.349328703705</v>
      </c>
      <c r="B52" t="s">
        <v>805</v>
      </c>
      <c r="C52">
        <v>135873</v>
      </c>
      <c r="D52" t="s">
        <v>1380</v>
      </c>
      <c r="E52" t="s">
        <v>1381</v>
      </c>
      <c r="F52" t="s">
        <v>1384</v>
      </c>
      <c r="G52" t="s">
        <v>1271</v>
      </c>
      <c r="H52" t="s">
        <v>1385</v>
      </c>
      <c r="I52">
        <v>3.5</v>
      </c>
      <c r="J52" t="s">
        <v>1388</v>
      </c>
      <c r="K52" t="s">
        <v>1387</v>
      </c>
    </row>
    <row r="53" spans="1:11" x14ac:dyDescent="0.35">
      <c r="A53" s="39">
        <v>46238.375868055555</v>
      </c>
      <c r="B53" t="s">
        <v>805</v>
      </c>
      <c r="C53">
        <v>135873</v>
      </c>
      <c r="D53" t="s">
        <v>1380</v>
      </c>
      <c r="E53" t="s">
        <v>1381</v>
      </c>
      <c r="F53" t="s">
        <v>1384</v>
      </c>
      <c r="G53" t="s">
        <v>1271</v>
      </c>
      <c r="H53" t="s">
        <v>1385</v>
      </c>
      <c r="I53">
        <v>3.5</v>
      </c>
      <c r="J53" t="s">
        <v>1389</v>
      </c>
      <c r="K53" t="s">
        <v>1387</v>
      </c>
    </row>
    <row r="54" spans="1:11" x14ac:dyDescent="0.35">
      <c r="A54" s="39">
        <v>46238.389317129629</v>
      </c>
      <c r="B54" t="s">
        <v>805</v>
      </c>
      <c r="C54">
        <v>135873</v>
      </c>
      <c r="D54" t="s">
        <v>1380</v>
      </c>
      <c r="E54" t="s">
        <v>1381</v>
      </c>
      <c r="F54" t="s">
        <v>1384</v>
      </c>
      <c r="G54" t="s">
        <v>1275</v>
      </c>
      <c r="H54" t="s">
        <v>1390</v>
      </c>
      <c r="I54" t="s">
        <v>807</v>
      </c>
      <c r="K54" t="s">
        <v>1391</v>
      </c>
    </row>
    <row r="55" spans="1:11" x14ac:dyDescent="0.35">
      <c r="A55" s="39">
        <v>46238.421030092592</v>
      </c>
      <c r="B55" t="s">
        <v>805</v>
      </c>
      <c r="C55">
        <v>138337</v>
      </c>
      <c r="D55" t="s">
        <v>1392</v>
      </c>
      <c r="E55" t="s">
        <v>1393</v>
      </c>
      <c r="G55" t="s">
        <v>1305</v>
      </c>
      <c r="H55" t="s">
        <v>1394</v>
      </c>
      <c r="I55" t="s">
        <v>1307</v>
      </c>
      <c r="J55" t="s">
        <v>1308</v>
      </c>
    </row>
    <row r="56" spans="1:11" x14ac:dyDescent="0.35">
      <c r="A56" s="39">
        <v>46238.422430555554</v>
      </c>
      <c r="B56" t="s">
        <v>805</v>
      </c>
      <c r="C56">
        <v>138337</v>
      </c>
      <c r="D56" t="s">
        <v>1392</v>
      </c>
      <c r="E56" t="s">
        <v>1393</v>
      </c>
      <c r="G56" t="s">
        <v>1268</v>
      </c>
      <c r="H56" t="s">
        <v>1395</v>
      </c>
      <c r="I56" t="s">
        <v>807</v>
      </c>
      <c r="J56" t="s">
        <v>1270</v>
      </c>
    </row>
    <row r="57" spans="1:11" x14ac:dyDescent="0.35">
      <c r="A57" s="39">
        <v>46238.465729166666</v>
      </c>
      <c r="B57" t="s">
        <v>805</v>
      </c>
      <c r="C57">
        <v>138337</v>
      </c>
      <c r="D57" t="s">
        <v>1392</v>
      </c>
      <c r="E57" t="s">
        <v>1393</v>
      </c>
      <c r="F57" t="s">
        <v>1396</v>
      </c>
      <c r="G57" t="s">
        <v>1271</v>
      </c>
      <c r="H57" t="s">
        <v>1397</v>
      </c>
      <c r="I57">
        <v>3.5</v>
      </c>
      <c r="J57" t="s">
        <v>1398</v>
      </c>
      <c r="K57" t="s">
        <v>1399</v>
      </c>
    </row>
    <row r="58" spans="1:11" x14ac:dyDescent="0.35">
      <c r="A58" s="39">
        <v>46238.492175925923</v>
      </c>
      <c r="B58" t="s">
        <v>805</v>
      </c>
      <c r="C58">
        <v>138337</v>
      </c>
      <c r="D58" t="s">
        <v>1392</v>
      </c>
      <c r="E58" t="s">
        <v>1393</v>
      </c>
      <c r="F58" t="s">
        <v>1396</v>
      </c>
      <c r="G58" t="s">
        <v>1275</v>
      </c>
      <c r="H58" t="s">
        <v>1400</v>
      </c>
      <c r="I58" t="s">
        <v>807</v>
      </c>
      <c r="K58" t="s">
        <v>1401</v>
      </c>
    </row>
    <row r="59" spans="1:11" x14ac:dyDescent="0.35">
      <c r="A59" s="39">
        <v>46238.527581018519</v>
      </c>
      <c r="B59" t="s">
        <v>805</v>
      </c>
      <c r="C59">
        <v>139093</v>
      </c>
      <c r="D59" t="s">
        <v>1402</v>
      </c>
      <c r="E59" t="s">
        <v>1403</v>
      </c>
      <c r="F59" t="s">
        <v>1404</v>
      </c>
      <c r="G59" t="s">
        <v>1305</v>
      </c>
      <c r="H59" t="s">
        <v>1405</v>
      </c>
      <c r="I59" t="s">
        <v>1307</v>
      </c>
      <c r="J59" t="s">
        <v>1308</v>
      </c>
    </row>
    <row r="60" spans="1:11" x14ac:dyDescent="0.35">
      <c r="A60" s="39">
        <v>46238.529085648152</v>
      </c>
      <c r="B60" t="s">
        <v>805</v>
      </c>
      <c r="C60">
        <v>139093</v>
      </c>
      <c r="D60" t="s">
        <v>1402</v>
      </c>
      <c r="E60" t="s">
        <v>1403</v>
      </c>
      <c r="F60" t="s">
        <v>1404</v>
      </c>
      <c r="G60" t="s">
        <v>1268</v>
      </c>
      <c r="H60" t="s">
        <v>1406</v>
      </c>
      <c r="I60" t="s">
        <v>807</v>
      </c>
      <c r="J60" t="s">
        <v>1270</v>
      </c>
    </row>
    <row r="61" spans="1:11" x14ac:dyDescent="0.35">
      <c r="A61" s="39">
        <v>46238.533483796295</v>
      </c>
      <c r="B61" t="s">
        <v>805</v>
      </c>
      <c r="C61">
        <v>139093</v>
      </c>
      <c r="D61" t="s">
        <v>1402</v>
      </c>
      <c r="E61" t="s">
        <v>1403</v>
      </c>
      <c r="F61" t="s">
        <v>1404</v>
      </c>
      <c r="G61" t="s">
        <v>1275</v>
      </c>
      <c r="H61" t="s">
        <v>1407</v>
      </c>
      <c r="I61" t="s">
        <v>807</v>
      </c>
      <c r="K61" t="s">
        <v>1408</v>
      </c>
    </row>
    <row r="62" spans="1:11" x14ac:dyDescent="0.35">
      <c r="A62" s="39">
        <v>46238.54146990741</v>
      </c>
      <c r="B62" t="s">
        <v>805</v>
      </c>
      <c r="C62">
        <v>139093</v>
      </c>
      <c r="D62" t="s">
        <v>1402</v>
      </c>
      <c r="E62" t="s">
        <v>1403</v>
      </c>
      <c r="F62" t="s">
        <v>1404</v>
      </c>
      <c r="G62" t="s">
        <v>1271</v>
      </c>
      <c r="H62" t="s">
        <v>1409</v>
      </c>
      <c r="I62">
        <v>3.5</v>
      </c>
      <c r="J62" t="s">
        <v>1410</v>
      </c>
      <c r="K62" t="s">
        <v>1411</v>
      </c>
    </row>
    <row r="63" spans="1:11" x14ac:dyDescent="0.35">
      <c r="A63" s="39">
        <v>46238.542847222219</v>
      </c>
      <c r="B63" t="s">
        <v>805</v>
      </c>
      <c r="C63">
        <v>139093</v>
      </c>
      <c r="D63" t="s">
        <v>1402</v>
      </c>
      <c r="E63" t="s">
        <v>1403</v>
      </c>
      <c r="F63" t="s">
        <v>1404</v>
      </c>
      <c r="G63" t="s">
        <v>1271</v>
      </c>
      <c r="H63" t="s">
        <v>1409</v>
      </c>
      <c r="I63">
        <v>3.5</v>
      </c>
      <c r="J63" t="s">
        <v>1412</v>
      </c>
      <c r="K63" t="s">
        <v>1411</v>
      </c>
    </row>
    <row r="64" spans="1:11" x14ac:dyDescent="0.35">
      <c r="A64" s="39">
        <v>46238.576539351852</v>
      </c>
      <c r="B64" t="s">
        <v>805</v>
      </c>
      <c r="C64">
        <v>134925</v>
      </c>
      <c r="D64" t="s">
        <v>1413</v>
      </c>
      <c r="E64" t="s">
        <v>1414</v>
      </c>
      <c r="F64" t="s">
        <v>1415</v>
      </c>
      <c r="G64" t="s">
        <v>1305</v>
      </c>
      <c r="H64" t="s">
        <v>1416</v>
      </c>
      <c r="I64" t="s">
        <v>1307</v>
      </c>
      <c r="J64" t="s">
        <v>1308</v>
      </c>
    </row>
    <row r="65" spans="1:11" x14ac:dyDescent="0.35">
      <c r="A65" s="39">
        <v>46238.578981481478</v>
      </c>
      <c r="B65" t="s">
        <v>805</v>
      </c>
      <c r="C65">
        <v>134925</v>
      </c>
      <c r="D65" t="s">
        <v>1413</v>
      </c>
      <c r="E65" t="s">
        <v>1414</v>
      </c>
      <c r="F65" t="s">
        <v>1415</v>
      </c>
      <c r="G65" t="s">
        <v>1268</v>
      </c>
      <c r="H65" t="s">
        <v>1417</v>
      </c>
      <c r="I65" t="s">
        <v>807</v>
      </c>
      <c r="J65" t="s">
        <v>1270</v>
      </c>
    </row>
    <row r="66" spans="1:11" x14ac:dyDescent="0.35">
      <c r="A66" s="39">
        <v>46238.583611111113</v>
      </c>
      <c r="B66" t="s">
        <v>805</v>
      </c>
      <c r="C66">
        <v>134925</v>
      </c>
      <c r="D66" t="s">
        <v>1413</v>
      </c>
      <c r="E66" t="s">
        <v>1414</v>
      </c>
      <c r="F66" t="s">
        <v>1415</v>
      </c>
      <c r="G66" t="s">
        <v>1271</v>
      </c>
      <c r="H66" t="s">
        <v>1418</v>
      </c>
      <c r="I66">
        <v>3.5</v>
      </c>
      <c r="J66" t="s">
        <v>1419</v>
      </c>
      <c r="K66" t="s">
        <v>1420</v>
      </c>
    </row>
    <row r="67" spans="1:11" x14ac:dyDescent="0.35">
      <c r="A67" s="39">
        <v>46238.588969907411</v>
      </c>
      <c r="B67" t="s">
        <v>805</v>
      </c>
      <c r="C67">
        <v>134925</v>
      </c>
      <c r="D67" t="s">
        <v>1413</v>
      </c>
      <c r="E67" t="s">
        <v>1414</v>
      </c>
      <c r="F67" t="s">
        <v>1415</v>
      </c>
      <c r="G67" t="s">
        <v>1275</v>
      </c>
      <c r="H67" t="s">
        <v>1421</v>
      </c>
      <c r="I67" t="s">
        <v>807</v>
      </c>
      <c r="K67" t="s">
        <v>1422</v>
      </c>
    </row>
    <row r="68" spans="1:11" x14ac:dyDescent="0.35">
      <c r="A68" s="39">
        <v>46238.604513888888</v>
      </c>
      <c r="B68" t="s">
        <v>805</v>
      </c>
      <c r="C68">
        <v>134917</v>
      </c>
      <c r="D68" t="s">
        <v>1423</v>
      </c>
      <c r="E68" t="s">
        <v>1424</v>
      </c>
      <c r="G68" t="s">
        <v>1305</v>
      </c>
      <c r="H68" t="s">
        <v>1425</v>
      </c>
      <c r="I68" t="s">
        <v>1307</v>
      </c>
      <c r="J68" t="s">
        <v>1308</v>
      </c>
    </row>
    <row r="69" spans="1:11" x14ac:dyDescent="0.35">
      <c r="A69" s="39">
        <v>46238.605868055558</v>
      </c>
      <c r="B69" t="s">
        <v>805</v>
      </c>
      <c r="C69">
        <v>134917</v>
      </c>
      <c r="D69" t="s">
        <v>1423</v>
      </c>
      <c r="E69" t="s">
        <v>1424</v>
      </c>
      <c r="G69" t="s">
        <v>1268</v>
      </c>
      <c r="H69" t="s">
        <v>1426</v>
      </c>
      <c r="I69" t="s">
        <v>807</v>
      </c>
      <c r="J69" t="s">
        <v>1270</v>
      </c>
    </row>
    <row r="70" spans="1:11" x14ac:dyDescent="0.35">
      <c r="A70" s="39">
        <v>46238.629525462966</v>
      </c>
      <c r="B70" t="s">
        <v>805</v>
      </c>
      <c r="C70">
        <v>134917</v>
      </c>
      <c r="D70" t="s">
        <v>1423</v>
      </c>
      <c r="E70" t="s">
        <v>1424</v>
      </c>
      <c r="F70" t="s">
        <v>1427</v>
      </c>
      <c r="G70" t="s">
        <v>1271</v>
      </c>
      <c r="H70" t="s">
        <v>1428</v>
      </c>
      <c r="I70">
        <v>3.5</v>
      </c>
      <c r="J70" t="s">
        <v>1429</v>
      </c>
      <c r="K70" t="s">
        <v>1430</v>
      </c>
    </row>
    <row r="71" spans="1:11" x14ac:dyDescent="0.35">
      <c r="A71" s="39">
        <v>46238.63689814815</v>
      </c>
      <c r="B71" t="s">
        <v>805</v>
      </c>
      <c r="C71">
        <v>134917</v>
      </c>
      <c r="D71" t="s">
        <v>1423</v>
      </c>
      <c r="E71" t="s">
        <v>1424</v>
      </c>
      <c r="F71" t="s">
        <v>1427</v>
      </c>
      <c r="G71" t="s">
        <v>1275</v>
      </c>
      <c r="H71" t="s">
        <v>1431</v>
      </c>
      <c r="I71" t="s">
        <v>807</v>
      </c>
      <c r="K71" t="s">
        <v>1432</v>
      </c>
    </row>
    <row r="72" spans="1:11" x14ac:dyDescent="0.35">
      <c r="A72" s="39">
        <v>46238.687141203707</v>
      </c>
      <c r="B72" t="s">
        <v>805</v>
      </c>
      <c r="C72">
        <v>134941</v>
      </c>
      <c r="D72" t="s">
        <v>1433</v>
      </c>
      <c r="E72" t="s">
        <v>1434</v>
      </c>
      <c r="G72" t="s">
        <v>1305</v>
      </c>
      <c r="H72" t="s">
        <v>1435</v>
      </c>
      <c r="I72" t="s">
        <v>1307</v>
      </c>
      <c r="J72" t="s">
        <v>1308</v>
      </c>
    </row>
    <row r="73" spans="1:11" x14ac:dyDescent="0.35">
      <c r="A73" s="39">
        <v>46238.690289351849</v>
      </c>
      <c r="B73" t="s">
        <v>805</v>
      </c>
      <c r="C73">
        <v>134941</v>
      </c>
      <c r="D73" t="s">
        <v>1433</v>
      </c>
      <c r="E73" t="s">
        <v>1434</v>
      </c>
      <c r="G73" t="s">
        <v>1268</v>
      </c>
      <c r="H73" t="s">
        <v>1436</v>
      </c>
      <c r="I73" t="s">
        <v>807</v>
      </c>
      <c r="J73" t="s">
        <v>1270</v>
      </c>
    </row>
    <row r="74" spans="1:11" x14ac:dyDescent="0.35">
      <c r="A74" s="39">
        <v>46238.698148148149</v>
      </c>
      <c r="B74" t="s">
        <v>805</v>
      </c>
      <c r="C74">
        <v>134941</v>
      </c>
      <c r="D74" t="s">
        <v>1433</v>
      </c>
      <c r="E74" t="s">
        <v>1434</v>
      </c>
      <c r="G74" t="s">
        <v>1271</v>
      </c>
      <c r="H74" t="s">
        <v>1437</v>
      </c>
      <c r="I74">
        <v>3.5</v>
      </c>
      <c r="J74" t="s">
        <v>1438</v>
      </c>
      <c r="K74" t="s">
        <v>1439</v>
      </c>
    </row>
    <row r="75" spans="1:11" x14ac:dyDescent="0.35">
      <c r="A75" s="39">
        <v>46238.705625000002</v>
      </c>
      <c r="B75" t="s">
        <v>805</v>
      </c>
      <c r="C75">
        <v>134941</v>
      </c>
      <c r="D75" t="s">
        <v>1433</v>
      </c>
      <c r="E75" t="s">
        <v>1434</v>
      </c>
      <c r="G75" t="s">
        <v>1275</v>
      </c>
      <c r="H75" t="s">
        <v>1440</v>
      </c>
      <c r="I75" t="s">
        <v>807</v>
      </c>
      <c r="K75" t="s">
        <v>1441</v>
      </c>
    </row>
    <row r="76" spans="1:11" x14ac:dyDescent="0.35">
      <c r="A76" s="39">
        <v>46239.362361111111</v>
      </c>
      <c r="B76" t="s">
        <v>805</v>
      </c>
      <c r="C76">
        <v>134825</v>
      </c>
      <c r="D76" t="s">
        <v>1442</v>
      </c>
      <c r="E76" t="s">
        <v>1443</v>
      </c>
      <c r="G76" t="s">
        <v>1305</v>
      </c>
      <c r="H76" t="s">
        <v>1444</v>
      </c>
      <c r="I76" t="s">
        <v>1307</v>
      </c>
      <c r="J76" t="s">
        <v>1308</v>
      </c>
    </row>
    <row r="77" spans="1:11" x14ac:dyDescent="0.35">
      <c r="A77" s="39">
        <v>46239.363877314812</v>
      </c>
      <c r="B77" t="s">
        <v>805</v>
      </c>
      <c r="C77">
        <v>134825</v>
      </c>
      <c r="D77" t="s">
        <v>1442</v>
      </c>
      <c r="E77" t="s">
        <v>1443</v>
      </c>
      <c r="G77" t="s">
        <v>1268</v>
      </c>
      <c r="H77" t="s">
        <v>1445</v>
      </c>
      <c r="I77" t="s">
        <v>807</v>
      </c>
      <c r="J77" t="s">
        <v>1270</v>
      </c>
    </row>
    <row r="78" spans="1:11" x14ac:dyDescent="0.35">
      <c r="A78" s="39">
        <v>46239.376377314817</v>
      </c>
      <c r="B78" t="s">
        <v>805</v>
      </c>
      <c r="C78">
        <v>134825</v>
      </c>
      <c r="D78" t="s">
        <v>1442</v>
      </c>
      <c r="E78" t="s">
        <v>1443</v>
      </c>
      <c r="F78" t="s">
        <v>1446</v>
      </c>
      <c r="G78" t="s">
        <v>1271</v>
      </c>
      <c r="H78" t="s">
        <v>1447</v>
      </c>
      <c r="I78">
        <v>3.5</v>
      </c>
      <c r="J78" t="s">
        <v>1448</v>
      </c>
      <c r="K78" t="s">
        <v>1449</v>
      </c>
    </row>
    <row r="79" spans="1:11" x14ac:dyDescent="0.35">
      <c r="A79" s="39">
        <v>46239.377962962964</v>
      </c>
      <c r="B79" t="s">
        <v>805</v>
      </c>
      <c r="C79">
        <v>134825</v>
      </c>
      <c r="D79" t="s">
        <v>1442</v>
      </c>
      <c r="E79" t="s">
        <v>1443</v>
      </c>
      <c r="F79" t="s">
        <v>1446</v>
      </c>
      <c r="G79" t="s">
        <v>1450</v>
      </c>
      <c r="H79" t="s">
        <v>1451</v>
      </c>
      <c r="I79" t="s">
        <v>807</v>
      </c>
      <c r="K79" t="s">
        <v>1452</v>
      </c>
    </row>
    <row r="80" spans="1:11" x14ac:dyDescent="0.35">
      <c r="A80" s="39">
        <v>46239.415682870371</v>
      </c>
      <c r="B80" t="s">
        <v>805</v>
      </c>
      <c r="C80">
        <v>134901</v>
      </c>
      <c r="D80" t="s">
        <v>1453</v>
      </c>
      <c r="E80" t="s">
        <v>1454</v>
      </c>
      <c r="G80" t="s">
        <v>1305</v>
      </c>
      <c r="H80" t="s">
        <v>1455</v>
      </c>
      <c r="I80" t="s">
        <v>1307</v>
      </c>
      <c r="J80" t="s">
        <v>1308</v>
      </c>
    </row>
    <row r="81" spans="1:11" x14ac:dyDescent="0.35">
      <c r="A81" s="39">
        <v>46239.417256944442</v>
      </c>
      <c r="B81" t="s">
        <v>805</v>
      </c>
      <c r="C81">
        <v>134901</v>
      </c>
      <c r="D81" t="s">
        <v>1453</v>
      </c>
      <c r="E81" t="s">
        <v>1454</v>
      </c>
      <c r="G81" t="s">
        <v>1268</v>
      </c>
      <c r="H81" t="s">
        <v>1456</v>
      </c>
      <c r="I81" t="s">
        <v>807</v>
      </c>
      <c r="J81" t="s">
        <v>1270</v>
      </c>
    </row>
    <row r="82" spans="1:11" x14ac:dyDescent="0.35">
      <c r="A82" s="39">
        <v>46239.424178240741</v>
      </c>
      <c r="B82" t="s">
        <v>805</v>
      </c>
      <c r="C82">
        <v>134901</v>
      </c>
      <c r="D82" t="s">
        <v>1453</v>
      </c>
      <c r="E82" t="s">
        <v>1454</v>
      </c>
      <c r="F82" t="s">
        <v>1457</v>
      </c>
      <c r="G82" t="s">
        <v>1271</v>
      </c>
      <c r="H82" t="s">
        <v>1458</v>
      </c>
      <c r="I82">
        <v>3.5</v>
      </c>
      <c r="J82" t="s">
        <v>1459</v>
      </c>
      <c r="K82" t="s">
        <v>1460</v>
      </c>
    </row>
    <row r="83" spans="1:11" x14ac:dyDescent="0.35">
      <c r="A83" s="39">
        <v>46239.448136574072</v>
      </c>
      <c r="B83" t="s">
        <v>805</v>
      </c>
      <c r="C83">
        <v>134901</v>
      </c>
      <c r="D83" t="s">
        <v>1453</v>
      </c>
      <c r="E83" t="s">
        <v>1454</v>
      </c>
      <c r="F83" t="s">
        <v>1457</v>
      </c>
      <c r="G83" t="s">
        <v>1275</v>
      </c>
      <c r="H83" t="s">
        <v>1461</v>
      </c>
      <c r="I83" t="s">
        <v>807</v>
      </c>
      <c r="K83" t="s">
        <v>1462</v>
      </c>
    </row>
    <row r="84" spans="1:11" x14ac:dyDescent="0.35">
      <c r="A84" s="39">
        <v>46239.487442129626</v>
      </c>
      <c r="B84" t="s">
        <v>805</v>
      </c>
      <c r="C84">
        <v>134933</v>
      </c>
      <c r="D84" t="s">
        <v>1463</v>
      </c>
      <c r="E84" t="s">
        <v>1464</v>
      </c>
      <c r="G84" t="s">
        <v>1305</v>
      </c>
      <c r="H84" t="s">
        <v>1465</v>
      </c>
      <c r="I84" t="s">
        <v>1307</v>
      </c>
      <c r="J84" t="s">
        <v>1308</v>
      </c>
    </row>
    <row r="85" spans="1:11" x14ac:dyDescent="0.35">
      <c r="A85" s="39">
        <v>46239.488553240742</v>
      </c>
      <c r="B85" t="s">
        <v>805</v>
      </c>
      <c r="C85">
        <v>134933</v>
      </c>
      <c r="D85" t="s">
        <v>1463</v>
      </c>
      <c r="E85" t="s">
        <v>1464</v>
      </c>
      <c r="G85" t="s">
        <v>1268</v>
      </c>
      <c r="H85" t="s">
        <v>1466</v>
      </c>
      <c r="I85" t="s">
        <v>807</v>
      </c>
      <c r="J85" t="s">
        <v>1270</v>
      </c>
    </row>
    <row r="86" spans="1:11" x14ac:dyDescent="0.35">
      <c r="A86" s="39">
        <v>46239.505115740743</v>
      </c>
      <c r="B86" t="s">
        <v>805</v>
      </c>
      <c r="C86">
        <v>134933</v>
      </c>
      <c r="D86" t="s">
        <v>1463</v>
      </c>
      <c r="E86" t="s">
        <v>1464</v>
      </c>
      <c r="F86" t="s">
        <v>1467</v>
      </c>
      <c r="G86" t="s">
        <v>1271</v>
      </c>
      <c r="H86" t="s">
        <v>1468</v>
      </c>
      <c r="I86">
        <v>3.5</v>
      </c>
      <c r="J86" t="s">
        <v>1469</v>
      </c>
      <c r="K86" t="s">
        <v>1470</v>
      </c>
    </row>
    <row r="87" spans="1:11" x14ac:dyDescent="0.35">
      <c r="A87" s="39">
        <v>46239.526446759257</v>
      </c>
      <c r="B87" t="s">
        <v>805</v>
      </c>
      <c r="C87">
        <v>134933</v>
      </c>
      <c r="D87" t="s">
        <v>1463</v>
      </c>
      <c r="E87" t="s">
        <v>1464</v>
      </c>
      <c r="F87" t="s">
        <v>1467</v>
      </c>
      <c r="G87" t="s">
        <v>1275</v>
      </c>
      <c r="H87" t="s">
        <v>1471</v>
      </c>
      <c r="I87" t="s">
        <v>807</v>
      </c>
      <c r="K87" t="s">
        <v>1472</v>
      </c>
    </row>
    <row r="88" spans="1:11" x14ac:dyDescent="0.35">
      <c r="A88" s="39">
        <v>46239.545891203707</v>
      </c>
      <c r="B88" t="s">
        <v>805</v>
      </c>
      <c r="C88">
        <v>139022</v>
      </c>
      <c r="D88" t="s">
        <v>1473</v>
      </c>
      <c r="E88" t="s">
        <v>1474</v>
      </c>
      <c r="F88" t="s">
        <v>1475</v>
      </c>
      <c r="G88" t="s">
        <v>1305</v>
      </c>
      <c r="H88" t="s">
        <v>1476</v>
      </c>
      <c r="I88" t="s">
        <v>1307</v>
      </c>
      <c r="J88" t="s">
        <v>1308</v>
      </c>
    </row>
    <row r="89" spans="1:11" x14ac:dyDescent="0.35">
      <c r="A89" s="39">
        <v>46239.547430555554</v>
      </c>
      <c r="B89" t="s">
        <v>805</v>
      </c>
      <c r="C89">
        <v>139022</v>
      </c>
      <c r="D89" t="s">
        <v>1473</v>
      </c>
      <c r="E89" t="s">
        <v>1474</v>
      </c>
      <c r="F89" t="s">
        <v>1475</v>
      </c>
      <c r="G89" t="s">
        <v>1268</v>
      </c>
      <c r="H89" t="s">
        <v>1477</v>
      </c>
      <c r="I89" t="s">
        <v>807</v>
      </c>
      <c r="J89" t="s">
        <v>1270</v>
      </c>
    </row>
    <row r="90" spans="1:11" x14ac:dyDescent="0.35">
      <c r="A90" s="39">
        <v>46239.551180555558</v>
      </c>
      <c r="B90" t="s">
        <v>805</v>
      </c>
      <c r="C90">
        <v>139022</v>
      </c>
      <c r="D90" t="s">
        <v>1473</v>
      </c>
      <c r="E90" t="s">
        <v>1474</v>
      </c>
      <c r="F90" t="s">
        <v>1475</v>
      </c>
      <c r="G90" t="s">
        <v>1271</v>
      </c>
      <c r="H90" t="s">
        <v>1478</v>
      </c>
      <c r="I90">
        <v>3.5</v>
      </c>
      <c r="J90" t="s">
        <v>1479</v>
      </c>
      <c r="K90" t="s">
        <v>1480</v>
      </c>
    </row>
    <row r="91" spans="1:11" x14ac:dyDescent="0.35">
      <c r="A91" s="39">
        <v>46239.55300925926</v>
      </c>
      <c r="B91" t="s">
        <v>805</v>
      </c>
      <c r="C91">
        <v>139022</v>
      </c>
      <c r="D91" t="s">
        <v>1473</v>
      </c>
      <c r="E91" t="s">
        <v>1474</v>
      </c>
      <c r="F91" t="s">
        <v>1475</v>
      </c>
      <c r="G91" t="s">
        <v>1271</v>
      </c>
      <c r="H91" t="s">
        <v>1478</v>
      </c>
      <c r="I91">
        <v>3.5</v>
      </c>
      <c r="J91" t="s">
        <v>1481</v>
      </c>
      <c r="K91" t="s">
        <v>1480</v>
      </c>
    </row>
    <row r="92" spans="1:11" x14ac:dyDescent="0.35">
      <c r="A92" s="39">
        <v>46239.561261574076</v>
      </c>
      <c r="B92" t="s">
        <v>805</v>
      </c>
      <c r="C92">
        <v>139022</v>
      </c>
      <c r="D92" t="s">
        <v>1473</v>
      </c>
      <c r="E92" t="s">
        <v>1474</v>
      </c>
      <c r="F92" t="s">
        <v>1475</v>
      </c>
      <c r="G92" t="s">
        <v>1275</v>
      </c>
      <c r="H92" t="s">
        <v>1482</v>
      </c>
      <c r="I92" t="s">
        <v>807</v>
      </c>
      <c r="K92" t="s">
        <v>1483</v>
      </c>
    </row>
    <row r="93" spans="1:11" x14ac:dyDescent="0.35">
      <c r="A93" s="39">
        <v>46239.579583333332</v>
      </c>
      <c r="B93" t="s">
        <v>805</v>
      </c>
      <c r="C93">
        <v>138974</v>
      </c>
      <c r="D93" t="s">
        <v>1484</v>
      </c>
      <c r="E93" t="s">
        <v>1485</v>
      </c>
      <c r="G93" t="s">
        <v>1305</v>
      </c>
      <c r="H93" t="s">
        <v>1486</v>
      </c>
      <c r="I93" t="s">
        <v>1307</v>
      </c>
      <c r="J93" t="s">
        <v>1308</v>
      </c>
    </row>
    <row r="94" spans="1:11" x14ac:dyDescent="0.35">
      <c r="A94" s="39">
        <v>46239.580925925926</v>
      </c>
      <c r="B94" t="s">
        <v>805</v>
      </c>
      <c r="C94">
        <v>138974</v>
      </c>
      <c r="D94" t="s">
        <v>1484</v>
      </c>
      <c r="E94" t="s">
        <v>1485</v>
      </c>
      <c r="G94" t="s">
        <v>1268</v>
      </c>
      <c r="H94" t="s">
        <v>1487</v>
      </c>
      <c r="I94" t="s">
        <v>807</v>
      </c>
      <c r="J94" t="s">
        <v>1270</v>
      </c>
    </row>
    <row r="95" spans="1:11" x14ac:dyDescent="0.35">
      <c r="A95" s="39">
        <v>46239.587534722225</v>
      </c>
      <c r="B95" t="s">
        <v>805</v>
      </c>
      <c r="C95">
        <v>138974</v>
      </c>
      <c r="D95" t="s">
        <v>1484</v>
      </c>
      <c r="E95" t="s">
        <v>1485</v>
      </c>
      <c r="F95" t="s">
        <v>1488</v>
      </c>
      <c r="G95" t="s">
        <v>1271</v>
      </c>
      <c r="H95" t="s">
        <v>1489</v>
      </c>
      <c r="I95">
        <v>3.5</v>
      </c>
      <c r="J95" t="s">
        <v>1490</v>
      </c>
      <c r="K95" t="s">
        <v>1491</v>
      </c>
    </row>
    <row r="96" spans="1:11" x14ac:dyDescent="0.35">
      <c r="A96" s="39">
        <v>46239.601643518516</v>
      </c>
      <c r="B96" t="s">
        <v>805</v>
      </c>
      <c r="C96">
        <v>138974</v>
      </c>
      <c r="D96" t="s">
        <v>1484</v>
      </c>
      <c r="E96" t="s">
        <v>1485</v>
      </c>
      <c r="F96" t="s">
        <v>1488</v>
      </c>
      <c r="G96" t="s">
        <v>1275</v>
      </c>
      <c r="H96" t="s">
        <v>1492</v>
      </c>
      <c r="I96" t="s">
        <v>807</v>
      </c>
      <c r="K96" t="s">
        <v>1493</v>
      </c>
    </row>
    <row r="97" spans="1:11" x14ac:dyDescent="0.35">
      <c r="A97" s="39">
        <v>46239.617048611108</v>
      </c>
      <c r="B97" t="s">
        <v>805</v>
      </c>
      <c r="C97">
        <v>134612</v>
      </c>
      <c r="D97" t="s">
        <v>1494</v>
      </c>
      <c r="E97" t="s">
        <v>1495</v>
      </c>
      <c r="G97" t="s">
        <v>1305</v>
      </c>
      <c r="H97" t="s">
        <v>1496</v>
      </c>
      <c r="I97" t="s">
        <v>1307</v>
      </c>
      <c r="J97" t="s">
        <v>1308</v>
      </c>
    </row>
    <row r="98" spans="1:11" x14ac:dyDescent="0.35">
      <c r="A98" s="39">
        <v>46239.620983796296</v>
      </c>
      <c r="B98" t="s">
        <v>805</v>
      </c>
      <c r="C98">
        <v>134612</v>
      </c>
      <c r="D98" t="s">
        <v>1494</v>
      </c>
      <c r="E98" t="s">
        <v>1495</v>
      </c>
      <c r="G98" t="s">
        <v>1268</v>
      </c>
      <c r="H98" t="s">
        <v>1497</v>
      </c>
      <c r="I98" t="s">
        <v>807</v>
      </c>
      <c r="J98" t="s">
        <v>1270</v>
      </c>
    </row>
    <row r="99" spans="1:11" x14ac:dyDescent="0.35">
      <c r="A99" s="39">
        <v>46239.633657407408</v>
      </c>
      <c r="B99" t="s">
        <v>805</v>
      </c>
      <c r="C99">
        <v>134612</v>
      </c>
      <c r="D99" t="s">
        <v>1494</v>
      </c>
      <c r="E99" t="s">
        <v>1495</v>
      </c>
      <c r="F99" t="s">
        <v>1498</v>
      </c>
      <c r="G99" t="s">
        <v>1271</v>
      </c>
      <c r="H99" t="s">
        <v>1499</v>
      </c>
      <c r="I99">
        <v>3.5</v>
      </c>
      <c r="J99" t="s">
        <v>1479</v>
      </c>
      <c r="K99" t="s">
        <v>1500</v>
      </c>
    </row>
    <row r="100" spans="1:11" x14ac:dyDescent="0.35">
      <c r="A100" s="39">
        <v>46239.639143518521</v>
      </c>
      <c r="B100" t="s">
        <v>805</v>
      </c>
      <c r="C100">
        <v>134612</v>
      </c>
      <c r="D100" t="s">
        <v>1494</v>
      </c>
      <c r="E100" t="s">
        <v>1495</v>
      </c>
      <c r="F100" t="s">
        <v>1498</v>
      </c>
      <c r="G100" t="s">
        <v>1275</v>
      </c>
      <c r="H100" t="s">
        <v>1501</v>
      </c>
      <c r="I100" t="s">
        <v>807</v>
      </c>
      <c r="K100" t="s">
        <v>1502</v>
      </c>
    </row>
    <row r="101" spans="1:11" x14ac:dyDescent="0.35">
      <c r="A101" s="39">
        <v>46240.478726851848</v>
      </c>
      <c r="B101" t="s">
        <v>805</v>
      </c>
      <c r="C101">
        <v>138580</v>
      </c>
      <c r="D101" t="s">
        <v>1503</v>
      </c>
      <c r="E101" t="s">
        <v>1504</v>
      </c>
      <c r="F101" t="s">
        <v>1505</v>
      </c>
      <c r="G101" t="s">
        <v>1305</v>
      </c>
      <c r="H101" t="s">
        <v>1506</v>
      </c>
      <c r="I101" t="s">
        <v>1307</v>
      </c>
      <c r="J101" t="s">
        <v>1308</v>
      </c>
    </row>
    <row r="102" spans="1:11" x14ac:dyDescent="0.35">
      <c r="A102" s="39">
        <v>46240.479050925926</v>
      </c>
      <c r="B102" t="s">
        <v>805</v>
      </c>
      <c r="C102">
        <v>138580</v>
      </c>
      <c r="D102" t="s">
        <v>1503</v>
      </c>
      <c r="E102" t="s">
        <v>1504</v>
      </c>
      <c r="F102" t="s">
        <v>1505</v>
      </c>
      <c r="G102" t="s">
        <v>1305</v>
      </c>
      <c r="H102" t="s">
        <v>1506</v>
      </c>
      <c r="I102" t="s">
        <v>1307</v>
      </c>
      <c r="J102" t="s">
        <v>1308</v>
      </c>
    </row>
    <row r="103" spans="1:11" x14ac:dyDescent="0.35">
      <c r="A103" s="39">
        <v>46240.481724537036</v>
      </c>
      <c r="B103" t="s">
        <v>805</v>
      </c>
      <c r="C103">
        <v>138580</v>
      </c>
      <c r="D103" t="s">
        <v>1503</v>
      </c>
      <c r="E103" t="s">
        <v>1504</v>
      </c>
      <c r="F103" t="s">
        <v>1505</v>
      </c>
      <c r="G103" t="s">
        <v>1268</v>
      </c>
      <c r="H103" t="s">
        <v>1507</v>
      </c>
      <c r="I103" t="s">
        <v>807</v>
      </c>
      <c r="J103" t="s">
        <v>1270</v>
      </c>
    </row>
    <row r="104" spans="1:11" x14ac:dyDescent="0.35">
      <c r="A104" s="39">
        <v>46240.484432870369</v>
      </c>
      <c r="B104" t="s">
        <v>805</v>
      </c>
      <c r="C104">
        <v>138580</v>
      </c>
      <c r="D104" t="s">
        <v>1503</v>
      </c>
      <c r="E104" t="s">
        <v>1504</v>
      </c>
      <c r="F104" t="s">
        <v>1505</v>
      </c>
      <c r="G104" t="s">
        <v>1275</v>
      </c>
      <c r="H104" t="s">
        <v>1508</v>
      </c>
      <c r="I104" t="s">
        <v>807</v>
      </c>
      <c r="K104" t="s">
        <v>1509</v>
      </c>
    </row>
    <row r="105" spans="1:11" x14ac:dyDescent="0.35">
      <c r="A105" s="39">
        <v>46240.510729166665</v>
      </c>
      <c r="B105" t="s">
        <v>805</v>
      </c>
      <c r="C105">
        <v>138580</v>
      </c>
      <c r="D105" t="s">
        <v>1503</v>
      </c>
      <c r="E105" t="s">
        <v>1504</v>
      </c>
      <c r="F105" t="s">
        <v>1505</v>
      </c>
      <c r="G105" t="s">
        <v>1450</v>
      </c>
      <c r="H105" t="s">
        <v>1510</v>
      </c>
      <c r="I105" t="s">
        <v>807</v>
      </c>
      <c r="K105" t="s">
        <v>1509</v>
      </c>
    </row>
    <row r="106" spans="1:11" x14ac:dyDescent="0.35">
      <c r="A106" s="39">
        <v>46240.516122685185</v>
      </c>
      <c r="B106" t="s">
        <v>805</v>
      </c>
      <c r="C106">
        <v>138580</v>
      </c>
      <c r="D106" t="s">
        <v>1503</v>
      </c>
      <c r="E106" t="s">
        <v>1504</v>
      </c>
      <c r="F106" t="s">
        <v>1505</v>
      </c>
      <c r="G106" t="s">
        <v>1271</v>
      </c>
      <c r="H106" t="s">
        <v>1511</v>
      </c>
      <c r="I106">
        <v>3.5</v>
      </c>
      <c r="J106" t="s">
        <v>1512</v>
      </c>
      <c r="K106" t="s">
        <v>1513</v>
      </c>
    </row>
    <row r="107" spans="1:11" x14ac:dyDescent="0.35">
      <c r="A107" s="39">
        <v>46240.532048611109</v>
      </c>
      <c r="B107" t="s">
        <v>805</v>
      </c>
      <c r="C107">
        <v>128480</v>
      </c>
      <c r="D107" t="s">
        <v>1514</v>
      </c>
      <c r="E107" t="s">
        <v>1515</v>
      </c>
      <c r="G107" t="s">
        <v>1268</v>
      </c>
      <c r="H107" t="s">
        <v>1516</v>
      </c>
      <c r="I107" t="s">
        <v>807</v>
      </c>
      <c r="J107" t="s">
        <v>1270</v>
      </c>
    </row>
    <row r="108" spans="1:11" x14ac:dyDescent="0.35">
      <c r="A108" s="39">
        <v>46240.543020833335</v>
      </c>
      <c r="B108" t="s">
        <v>805</v>
      </c>
      <c r="C108">
        <v>128480</v>
      </c>
      <c r="D108" t="s">
        <v>1514</v>
      </c>
      <c r="E108" t="s">
        <v>1515</v>
      </c>
      <c r="F108" t="s">
        <v>1517</v>
      </c>
      <c r="G108" t="s">
        <v>1275</v>
      </c>
      <c r="H108" t="s">
        <v>1518</v>
      </c>
      <c r="I108" t="s">
        <v>807</v>
      </c>
      <c r="K108" t="s">
        <v>1519</v>
      </c>
    </row>
    <row r="109" spans="1:11" x14ac:dyDescent="0.35">
      <c r="A109" s="39">
        <v>46240.569027777776</v>
      </c>
      <c r="B109" t="s">
        <v>805</v>
      </c>
      <c r="C109">
        <v>134236</v>
      </c>
      <c r="D109" t="s">
        <v>1520</v>
      </c>
      <c r="E109" t="s">
        <v>1521</v>
      </c>
      <c r="G109" t="s">
        <v>1305</v>
      </c>
      <c r="H109" t="s">
        <v>1522</v>
      </c>
      <c r="I109" t="s">
        <v>1307</v>
      </c>
      <c r="J109" t="s">
        <v>1308</v>
      </c>
    </row>
    <row r="110" spans="1:11" x14ac:dyDescent="0.35">
      <c r="A110" s="39">
        <v>46240.580046296294</v>
      </c>
      <c r="B110" t="s">
        <v>805</v>
      </c>
      <c r="C110">
        <v>134236</v>
      </c>
      <c r="D110" t="s">
        <v>1520</v>
      </c>
      <c r="E110" t="s">
        <v>1521</v>
      </c>
      <c r="G110" t="s">
        <v>1268</v>
      </c>
      <c r="H110" t="s">
        <v>1523</v>
      </c>
      <c r="I110" t="s">
        <v>807</v>
      </c>
      <c r="J110" t="s">
        <v>1270</v>
      </c>
    </row>
    <row r="111" spans="1:11" x14ac:dyDescent="0.35">
      <c r="A111" s="39">
        <v>46240.602152777778</v>
      </c>
      <c r="B111" t="s">
        <v>805</v>
      </c>
      <c r="C111">
        <v>134236</v>
      </c>
      <c r="D111" t="s">
        <v>1520</v>
      </c>
      <c r="E111" t="s">
        <v>1521</v>
      </c>
      <c r="G111" t="s">
        <v>1271</v>
      </c>
      <c r="H111" t="s">
        <v>1524</v>
      </c>
      <c r="I111">
        <v>3.5</v>
      </c>
      <c r="J111" t="s">
        <v>1525</v>
      </c>
      <c r="K111" t="s">
        <v>1526</v>
      </c>
    </row>
    <row r="112" spans="1:11" x14ac:dyDescent="0.35">
      <c r="A112" s="39">
        <v>46240.632743055554</v>
      </c>
      <c r="B112" t="s">
        <v>805</v>
      </c>
      <c r="C112">
        <v>134236</v>
      </c>
      <c r="D112" t="s">
        <v>1520</v>
      </c>
      <c r="E112" t="s">
        <v>1521</v>
      </c>
      <c r="G112" t="s">
        <v>1450</v>
      </c>
      <c r="H112" t="s">
        <v>1527</v>
      </c>
      <c r="I112" t="s">
        <v>807</v>
      </c>
      <c r="K112" t="s">
        <v>1528</v>
      </c>
    </row>
    <row r="113" spans="1:11" x14ac:dyDescent="0.35">
      <c r="A113" s="39">
        <v>46240.725347222222</v>
      </c>
      <c r="B113" t="s">
        <v>805</v>
      </c>
      <c r="C113">
        <v>134572</v>
      </c>
      <c r="D113" t="s">
        <v>1529</v>
      </c>
      <c r="E113" t="s">
        <v>1530</v>
      </c>
      <c r="F113" t="s">
        <v>1531</v>
      </c>
      <c r="G113" t="s">
        <v>1305</v>
      </c>
      <c r="H113" t="s">
        <v>1532</v>
      </c>
      <c r="I113" t="s">
        <v>1307</v>
      </c>
      <c r="J113" t="s">
        <v>1308</v>
      </c>
    </row>
    <row r="114" spans="1:11" x14ac:dyDescent="0.35">
      <c r="A114" s="39">
        <v>46240.735127314816</v>
      </c>
      <c r="B114" t="s">
        <v>805</v>
      </c>
      <c r="C114">
        <v>134572</v>
      </c>
      <c r="D114" t="s">
        <v>1529</v>
      </c>
      <c r="E114" t="s">
        <v>1530</v>
      </c>
      <c r="F114" t="s">
        <v>1531</v>
      </c>
      <c r="G114" t="s">
        <v>1271</v>
      </c>
      <c r="H114" t="s">
        <v>1533</v>
      </c>
      <c r="I114">
        <v>3.5</v>
      </c>
      <c r="J114" t="s">
        <v>1534</v>
      </c>
      <c r="K114" t="s">
        <v>1535</v>
      </c>
    </row>
    <row r="115" spans="1:11" x14ac:dyDescent="0.35">
      <c r="A115" s="39">
        <v>46240.745567129627</v>
      </c>
      <c r="B115" t="s">
        <v>805</v>
      </c>
      <c r="C115">
        <v>134572</v>
      </c>
      <c r="D115" t="s">
        <v>1529</v>
      </c>
      <c r="E115" t="s">
        <v>1530</v>
      </c>
      <c r="F115" t="s">
        <v>1531</v>
      </c>
      <c r="G115" t="s">
        <v>1268</v>
      </c>
      <c r="H115" t="s">
        <v>1536</v>
      </c>
      <c r="I115" t="s">
        <v>807</v>
      </c>
      <c r="J115" t="s">
        <v>1270</v>
      </c>
    </row>
    <row r="116" spans="1:11" x14ac:dyDescent="0.35">
      <c r="A116" s="39">
        <v>46240.755439814813</v>
      </c>
      <c r="B116" t="s">
        <v>805</v>
      </c>
      <c r="C116">
        <v>134572</v>
      </c>
      <c r="D116" t="s">
        <v>1529</v>
      </c>
      <c r="E116" t="s">
        <v>1537</v>
      </c>
      <c r="F116" t="s">
        <v>1531</v>
      </c>
      <c r="G116" t="s">
        <v>1271</v>
      </c>
      <c r="H116" t="s">
        <v>1533</v>
      </c>
      <c r="I116">
        <v>3.5</v>
      </c>
      <c r="J116" t="s">
        <v>1538</v>
      </c>
      <c r="K116" t="s">
        <v>1539</v>
      </c>
    </row>
    <row r="117" spans="1:11" x14ac:dyDescent="0.35">
      <c r="A117" s="39">
        <v>46240.75675925926</v>
      </c>
      <c r="B117" t="s">
        <v>805</v>
      </c>
      <c r="C117">
        <v>134572</v>
      </c>
      <c r="D117" t="s">
        <v>1529</v>
      </c>
      <c r="E117" t="s">
        <v>1540</v>
      </c>
      <c r="F117" t="s">
        <v>1531</v>
      </c>
      <c r="G117" t="s">
        <v>1275</v>
      </c>
      <c r="H117" t="s">
        <v>1541</v>
      </c>
      <c r="I117" t="s">
        <v>807</v>
      </c>
      <c r="K117" t="s">
        <v>1542</v>
      </c>
    </row>
    <row r="118" spans="1:11" x14ac:dyDescent="0.35">
      <c r="A118" s="39">
        <v>46240.959710648145</v>
      </c>
      <c r="B118" t="s">
        <v>805</v>
      </c>
      <c r="C118">
        <v>138268</v>
      </c>
      <c r="D118" t="s">
        <v>1543</v>
      </c>
      <c r="E118" t="s">
        <v>1544</v>
      </c>
      <c r="F118" t="s">
        <v>1531</v>
      </c>
      <c r="G118" t="s">
        <v>1305</v>
      </c>
      <c r="H118" t="s">
        <v>1545</v>
      </c>
      <c r="I118" t="s">
        <v>1307</v>
      </c>
      <c r="J118" t="s">
        <v>1308</v>
      </c>
    </row>
    <row r="119" spans="1:11" x14ac:dyDescent="0.35">
      <c r="A119" s="39">
        <v>46240.961828703701</v>
      </c>
      <c r="B119" t="s">
        <v>805</v>
      </c>
      <c r="C119">
        <v>138268</v>
      </c>
      <c r="D119" t="s">
        <v>1543</v>
      </c>
      <c r="E119" t="s">
        <v>1544</v>
      </c>
      <c r="F119" t="s">
        <v>1531</v>
      </c>
      <c r="G119" t="s">
        <v>1268</v>
      </c>
      <c r="H119" t="s">
        <v>1546</v>
      </c>
      <c r="I119" t="s">
        <v>807</v>
      </c>
      <c r="J119" t="s">
        <v>1270</v>
      </c>
    </row>
    <row r="120" spans="1:11" x14ac:dyDescent="0.35">
      <c r="A120" s="39">
        <v>46240.9846412037</v>
      </c>
      <c r="B120" t="s">
        <v>805</v>
      </c>
      <c r="C120">
        <v>138268</v>
      </c>
      <c r="D120" t="s">
        <v>1543</v>
      </c>
      <c r="E120" t="s">
        <v>1544</v>
      </c>
      <c r="F120" t="s">
        <v>1547</v>
      </c>
      <c r="G120" t="s">
        <v>1275</v>
      </c>
      <c r="H120" t="s">
        <v>1548</v>
      </c>
      <c r="I120" t="s">
        <v>807</v>
      </c>
      <c r="K120" t="s">
        <v>1549</v>
      </c>
    </row>
    <row r="121" spans="1:11" x14ac:dyDescent="0.35">
      <c r="A121" s="39">
        <v>46241.020208333335</v>
      </c>
      <c r="B121" t="s">
        <v>805</v>
      </c>
      <c r="C121">
        <v>134596</v>
      </c>
      <c r="D121" t="s">
        <v>1550</v>
      </c>
      <c r="E121" t="s">
        <v>1551</v>
      </c>
      <c r="F121" t="s">
        <v>1552</v>
      </c>
      <c r="G121" t="s">
        <v>1305</v>
      </c>
      <c r="H121" t="s">
        <v>1553</v>
      </c>
      <c r="I121" t="s">
        <v>1307</v>
      </c>
      <c r="J121" t="s">
        <v>1308</v>
      </c>
    </row>
    <row r="122" spans="1:11" x14ac:dyDescent="0.35">
      <c r="A122" s="39">
        <v>46241.022638888891</v>
      </c>
      <c r="B122" t="s">
        <v>805</v>
      </c>
      <c r="C122">
        <v>134596</v>
      </c>
      <c r="D122" t="s">
        <v>1550</v>
      </c>
      <c r="E122" t="s">
        <v>1551</v>
      </c>
      <c r="F122" t="s">
        <v>1552</v>
      </c>
      <c r="G122" t="s">
        <v>1268</v>
      </c>
      <c r="H122" t="s">
        <v>1554</v>
      </c>
      <c r="I122" t="s">
        <v>807</v>
      </c>
      <c r="J122" t="s">
        <v>1270</v>
      </c>
    </row>
    <row r="123" spans="1:11" x14ac:dyDescent="0.35">
      <c r="A123" s="39">
        <v>46241.030914351853</v>
      </c>
      <c r="B123" t="s">
        <v>805</v>
      </c>
      <c r="C123">
        <v>134596</v>
      </c>
      <c r="D123" t="s">
        <v>1550</v>
      </c>
      <c r="E123" t="s">
        <v>1551</v>
      </c>
      <c r="F123" t="s">
        <v>1552</v>
      </c>
      <c r="G123" t="s">
        <v>1271</v>
      </c>
      <c r="H123" t="s">
        <v>1555</v>
      </c>
      <c r="I123">
        <v>3.5</v>
      </c>
      <c r="J123" t="s">
        <v>1556</v>
      </c>
      <c r="K123" t="s">
        <v>1557</v>
      </c>
    </row>
    <row r="124" spans="1:11" x14ac:dyDescent="0.35">
      <c r="A124" s="39">
        <v>46241.037418981483</v>
      </c>
      <c r="B124" t="s">
        <v>805</v>
      </c>
      <c r="C124">
        <v>134596</v>
      </c>
      <c r="D124" t="s">
        <v>1550</v>
      </c>
      <c r="E124" t="s">
        <v>1551</v>
      </c>
      <c r="F124" t="s">
        <v>1552</v>
      </c>
      <c r="G124" t="s">
        <v>1275</v>
      </c>
      <c r="H124" t="s">
        <v>1558</v>
      </c>
      <c r="I124" t="s">
        <v>807</v>
      </c>
      <c r="K124" t="s">
        <v>1559</v>
      </c>
    </row>
    <row r="125" spans="1:11" x14ac:dyDescent="0.35">
      <c r="A125" s="39">
        <v>46241.347129629627</v>
      </c>
      <c r="B125" t="s">
        <v>805</v>
      </c>
      <c r="C125">
        <v>134244</v>
      </c>
      <c r="D125" t="s">
        <v>1560</v>
      </c>
      <c r="E125" t="s">
        <v>1561</v>
      </c>
      <c r="G125" t="s">
        <v>1305</v>
      </c>
      <c r="H125" t="s">
        <v>1562</v>
      </c>
      <c r="I125" t="s">
        <v>1307</v>
      </c>
      <c r="J125" t="s">
        <v>1308</v>
      </c>
    </row>
    <row r="126" spans="1:11" x14ac:dyDescent="0.35">
      <c r="A126" s="39">
        <v>46241.348819444444</v>
      </c>
      <c r="B126" t="s">
        <v>805</v>
      </c>
      <c r="C126">
        <v>134244</v>
      </c>
      <c r="D126" t="s">
        <v>1560</v>
      </c>
      <c r="E126" t="s">
        <v>1561</v>
      </c>
      <c r="G126" t="s">
        <v>1268</v>
      </c>
      <c r="H126" t="s">
        <v>1563</v>
      </c>
      <c r="I126" t="s">
        <v>807</v>
      </c>
      <c r="J126" t="s">
        <v>1270</v>
      </c>
    </row>
    <row r="127" spans="1:11" x14ac:dyDescent="0.35">
      <c r="A127" s="39">
        <v>46241.354062500002</v>
      </c>
      <c r="B127" t="s">
        <v>805</v>
      </c>
      <c r="C127">
        <v>134244</v>
      </c>
      <c r="D127" t="s">
        <v>1560</v>
      </c>
      <c r="E127" t="s">
        <v>1564</v>
      </c>
      <c r="F127" t="s">
        <v>1565</v>
      </c>
      <c r="G127" t="s">
        <v>1271</v>
      </c>
      <c r="H127" t="s">
        <v>1566</v>
      </c>
      <c r="I127">
        <v>3.5</v>
      </c>
      <c r="J127" t="s">
        <v>1567</v>
      </c>
      <c r="K127" t="s">
        <v>1568</v>
      </c>
    </row>
    <row r="128" spans="1:11" x14ac:dyDescent="0.35">
      <c r="A128" s="39">
        <v>46241.36619212963</v>
      </c>
      <c r="B128" t="s">
        <v>805</v>
      </c>
      <c r="C128">
        <v>134244</v>
      </c>
      <c r="D128" t="s">
        <v>1560</v>
      </c>
      <c r="E128" t="s">
        <v>1564</v>
      </c>
      <c r="F128" t="s">
        <v>1565</v>
      </c>
      <c r="G128" t="s">
        <v>1275</v>
      </c>
      <c r="H128" t="s">
        <v>1569</v>
      </c>
      <c r="I128" t="s">
        <v>807</v>
      </c>
      <c r="K128" t="s">
        <v>1570</v>
      </c>
    </row>
    <row r="129" spans="1:11" x14ac:dyDescent="0.35">
      <c r="A129" s="39">
        <v>46241.3906712963</v>
      </c>
      <c r="B129" t="s">
        <v>805</v>
      </c>
      <c r="C129">
        <v>134244</v>
      </c>
      <c r="D129" t="s">
        <v>1560</v>
      </c>
      <c r="F129" t="s">
        <v>1571</v>
      </c>
      <c r="G129" t="s">
        <v>1271</v>
      </c>
      <c r="H129" t="s">
        <v>1566</v>
      </c>
      <c r="I129">
        <v>3.5</v>
      </c>
      <c r="J129" t="s">
        <v>1572</v>
      </c>
      <c r="K129" t="s">
        <v>1573</v>
      </c>
    </row>
    <row r="130" spans="1:11" x14ac:dyDescent="0.35">
      <c r="A130" s="39">
        <v>46241.398553240739</v>
      </c>
      <c r="B130" t="s">
        <v>805</v>
      </c>
      <c r="C130">
        <v>138164</v>
      </c>
      <c r="E130" t="s">
        <v>1574</v>
      </c>
      <c r="F130" t="s">
        <v>1575</v>
      </c>
      <c r="G130" t="s">
        <v>1305</v>
      </c>
      <c r="H130" t="s">
        <v>1576</v>
      </c>
      <c r="I130" t="s">
        <v>1307</v>
      </c>
      <c r="J130" t="s">
        <v>1308</v>
      </c>
    </row>
    <row r="131" spans="1:11" x14ac:dyDescent="0.35">
      <c r="A131" s="39">
        <v>46241.401828703703</v>
      </c>
      <c r="B131" t="s">
        <v>805</v>
      </c>
      <c r="C131">
        <v>138164</v>
      </c>
      <c r="D131" t="s">
        <v>1266</v>
      </c>
      <c r="E131" t="s">
        <v>1574</v>
      </c>
      <c r="F131" t="s">
        <v>1575</v>
      </c>
      <c r="G131" t="s">
        <v>1268</v>
      </c>
      <c r="H131" t="s">
        <v>1577</v>
      </c>
      <c r="I131" t="s">
        <v>807</v>
      </c>
      <c r="J131" t="s">
        <v>1270</v>
      </c>
    </row>
    <row r="132" spans="1:11" x14ac:dyDescent="0.35">
      <c r="A132" s="39">
        <v>46241.406701388885</v>
      </c>
      <c r="B132" t="s">
        <v>805</v>
      </c>
      <c r="C132">
        <v>138164</v>
      </c>
      <c r="D132" t="s">
        <v>1578</v>
      </c>
      <c r="E132" t="s">
        <v>1574</v>
      </c>
      <c r="F132" t="s">
        <v>1575</v>
      </c>
      <c r="G132" t="s">
        <v>1271</v>
      </c>
      <c r="H132" t="s">
        <v>1579</v>
      </c>
      <c r="I132">
        <v>3.5</v>
      </c>
      <c r="J132" t="s">
        <v>1580</v>
      </c>
      <c r="K132" t="s">
        <v>1581</v>
      </c>
    </row>
    <row r="133" spans="1:11" x14ac:dyDescent="0.35">
      <c r="A133" s="39">
        <v>46241.413877314815</v>
      </c>
      <c r="B133" t="s">
        <v>805</v>
      </c>
      <c r="C133">
        <v>138164</v>
      </c>
      <c r="D133" t="s">
        <v>1578</v>
      </c>
      <c r="E133" t="s">
        <v>1574</v>
      </c>
      <c r="F133" t="s">
        <v>1575</v>
      </c>
      <c r="G133" t="s">
        <v>1275</v>
      </c>
      <c r="H133" t="s">
        <v>1582</v>
      </c>
      <c r="I133" t="s">
        <v>807</v>
      </c>
      <c r="K133" t="s">
        <v>1583</v>
      </c>
    </row>
    <row r="134" spans="1:11" x14ac:dyDescent="0.35">
      <c r="A134" s="39">
        <v>46241.425879629627</v>
      </c>
      <c r="B134" t="s">
        <v>805</v>
      </c>
      <c r="C134">
        <v>138308</v>
      </c>
      <c r="D134" t="s">
        <v>1584</v>
      </c>
      <c r="E134" t="s">
        <v>1585</v>
      </c>
      <c r="G134" t="s">
        <v>1305</v>
      </c>
      <c r="H134" t="s">
        <v>1586</v>
      </c>
      <c r="I134" t="s">
        <v>1307</v>
      </c>
      <c r="J134" t="s">
        <v>1308</v>
      </c>
    </row>
    <row r="135" spans="1:11" x14ac:dyDescent="0.35">
      <c r="A135" s="39">
        <v>46241.44866898148</v>
      </c>
      <c r="B135" t="s">
        <v>805</v>
      </c>
      <c r="C135">
        <v>138308</v>
      </c>
      <c r="D135" t="s">
        <v>1584</v>
      </c>
      <c r="E135" t="s">
        <v>1585</v>
      </c>
      <c r="G135" t="s">
        <v>1268</v>
      </c>
      <c r="H135" t="s">
        <v>1587</v>
      </c>
      <c r="I135" t="s">
        <v>807</v>
      </c>
      <c r="J135" t="s">
        <v>1270</v>
      </c>
    </row>
    <row r="136" spans="1:11" x14ac:dyDescent="0.35">
      <c r="A136" s="39">
        <v>46241.455868055556</v>
      </c>
      <c r="B136" t="s">
        <v>805</v>
      </c>
      <c r="C136">
        <v>138308</v>
      </c>
      <c r="D136" t="s">
        <v>1584</v>
      </c>
      <c r="E136" t="s">
        <v>1585</v>
      </c>
      <c r="F136" t="s">
        <v>1588</v>
      </c>
      <c r="G136" t="s">
        <v>1271</v>
      </c>
      <c r="H136" t="s">
        <v>1589</v>
      </c>
      <c r="I136">
        <v>3.5</v>
      </c>
      <c r="J136" t="s">
        <v>1590</v>
      </c>
      <c r="K136" t="s">
        <v>1591</v>
      </c>
    </row>
    <row r="137" spans="1:11" x14ac:dyDescent="0.35">
      <c r="A137" s="39">
        <v>46241.474386574075</v>
      </c>
      <c r="B137" t="s">
        <v>805</v>
      </c>
      <c r="C137">
        <v>138308</v>
      </c>
      <c r="D137" t="s">
        <v>1584</v>
      </c>
      <c r="E137" t="s">
        <v>1585</v>
      </c>
      <c r="F137" t="s">
        <v>1592</v>
      </c>
      <c r="G137" t="s">
        <v>1275</v>
      </c>
      <c r="H137" t="s">
        <v>1593</v>
      </c>
      <c r="I137" t="s">
        <v>807</v>
      </c>
      <c r="K137" t="s">
        <v>1594</v>
      </c>
    </row>
    <row r="138" spans="1:11" x14ac:dyDescent="0.35">
      <c r="A138" s="39">
        <v>46241.488819444443</v>
      </c>
      <c r="B138" t="s">
        <v>805</v>
      </c>
      <c r="C138">
        <v>138460</v>
      </c>
      <c r="D138" t="s">
        <v>1595</v>
      </c>
      <c r="E138" t="s">
        <v>1596</v>
      </c>
      <c r="G138" t="s">
        <v>1305</v>
      </c>
      <c r="H138" t="s">
        <v>1597</v>
      </c>
      <c r="I138" t="s">
        <v>1307</v>
      </c>
      <c r="J138" t="s">
        <v>1308</v>
      </c>
    </row>
    <row r="139" spans="1:11" x14ac:dyDescent="0.35">
      <c r="A139" s="39">
        <v>46241.495844907404</v>
      </c>
      <c r="B139" t="s">
        <v>805</v>
      </c>
      <c r="C139">
        <v>138460</v>
      </c>
      <c r="D139" t="s">
        <v>1595</v>
      </c>
      <c r="E139" t="s">
        <v>1598</v>
      </c>
      <c r="F139" t="s">
        <v>1599</v>
      </c>
      <c r="G139" t="s">
        <v>1268</v>
      </c>
      <c r="H139" t="s">
        <v>1600</v>
      </c>
      <c r="I139" t="s">
        <v>807</v>
      </c>
      <c r="J139" t="s">
        <v>1270</v>
      </c>
    </row>
    <row r="140" spans="1:11" x14ac:dyDescent="0.35">
      <c r="A140" s="39">
        <v>46241.504594907405</v>
      </c>
      <c r="B140" t="s">
        <v>805</v>
      </c>
      <c r="C140">
        <v>138460</v>
      </c>
      <c r="D140" t="s">
        <v>1595</v>
      </c>
      <c r="E140" t="s">
        <v>1598</v>
      </c>
      <c r="F140" t="s">
        <v>1599</v>
      </c>
      <c r="G140" t="s">
        <v>1271</v>
      </c>
      <c r="H140" t="s">
        <v>1601</v>
      </c>
      <c r="I140">
        <v>3.5</v>
      </c>
      <c r="J140" t="s">
        <v>1602</v>
      </c>
      <c r="K140" t="s">
        <v>1603</v>
      </c>
    </row>
    <row r="141" spans="1:11" x14ac:dyDescent="0.35">
      <c r="A141" s="39">
        <v>46241.511030092595</v>
      </c>
      <c r="B141" t="s">
        <v>805</v>
      </c>
      <c r="C141">
        <v>138460</v>
      </c>
      <c r="D141" t="s">
        <v>1595</v>
      </c>
      <c r="E141" t="s">
        <v>1598</v>
      </c>
      <c r="F141" t="s">
        <v>1599</v>
      </c>
      <c r="G141" t="s">
        <v>1275</v>
      </c>
      <c r="H141" t="s">
        <v>1604</v>
      </c>
      <c r="I141" t="s">
        <v>807</v>
      </c>
      <c r="K141" t="s">
        <v>1605</v>
      </c>
    </row>
    <row r="142" spans="1:11" x14ac:dyDescent="0.35">
      <c r="A142" s="39">
        <v>46241.519467592596</v>
      </c>
      <c r="B142" t="s">
        <v>805</v>
      </c>
      <c r="C142">
        <v>137780</v>
      </c>
      <c r="D142" t="s">
        <v>1606</v>
      </c>
      <c r="E142" t="s">
        <v>1607</v>
      </c>
      <c r="G142" t="s">
        <v>1305</v>
      </c>
      <c r="H142" t="s">
        <v>1608</v>
      </c>
      <c r="I142" t="s">
        <v>1307</v>
      </c>
      <c r="J142" t="s">
        <v>1308</v>
      </c>
    </row>
    <row r="143" spans="1:11" x14ac:dyDescent="0.35">
      <c r="A143" s="39">
        <v>46241.521053240744</v>
      </c>
      <c r="B143" t="s">
        <v>805</v>
      </c>
      <c r="C143">
        <v>137780</v>
      </c>
      <c r="D143" t="s">
        <v>1606</v>
      </c>
      <c r="E143" t="s">
        <v>1607</v>
      </c>
      <c r="G143" t="s">
        <v>1268</v>
      </c>
      <c r="H143" t="s">
        <v>1609</v>
      </c>
      <c r="I143" t="s">
        <v>807</v>
      </c>
      <c r="J143" t="s">
        <v>1270</v>
      </c>
    </row>
    <row r="144" spans="1:11" x14ac:dyDescent="0.35">
      <c r="A144" s="39">
        <v>46241.527071759258</v>
      </c>
      <c r="B144" t="s">
        <v>805</v>
      </c>
      <c r="C144">
        <v>137780</v>
      </c>
      <c r="D144" t="s">
        <v>1606</v>
      </c>
      <c r="E144" t="s">
        <v>1607</v>
      </c>
      <c r="F144" t="s">
        <v>1610</v>
      </c>
      <c r="G144" t="s">
        <v>1271</v>
      </c>
      <c r="H144" t="s">
        <v>1611</v>
      </c>
      <c r="I144">
        <v>3.5</v>
      </c>
      <c r="J144" t="s">
        <v>1612</v>
      </c>
      <c r="K144" t="s">
        <v>1613</v>
      </c>
    </row>
    <row r="145" spans="1:11" x14ac:dyDescent="0.35">
      <c r="A145" s="39">
        <v>46241.550902777781</v>
      </c>
      <c r="B145" t="s">
        <v>805</v>
      </c>
      <c r="C145">
        <v>137780</v>
      </c>
      <c r="D145" t="s">
        <v>1606</v>
      </c>
      <c r="E145" t="s">
        <v>1607</v>
      </c>
      <c r="F145" t="s">
        <v>1610</v>
      </c>
      <c r="G145" t="s">
        <v>1275</v>
      </c>
      <c r="H145" t="s">
        <v>1614</v>
      </c>
      <c r="I145" t="s">
        <v>807</v>
      </c>
      <c r="K145" t="s">
        <v>1615</v>
      </c>
    </row>
    <row r="146" spans="1:11" x14ac:dyDescent="0.35">
      <c r="A146" s="39">
        <v>46241.618414351855</v>
      </c>
      <c r="B146" t="s">
        <v>805</v>
      </c>
      <c r="C146">
        <v>137237</v>
      </c>
      <c r="D146" t="s">
        <v>1616</v>
      </c>
      <c r="E146" t="s">
        <v>1617</v>
      </c>
      <c r="G146" t="s">
        <v>1268</v>
      </c>
      <c r="H146" t="s">
        <v>1618</v>
      </c>
      <c r="I146" t="s">
        <v>807</v>
      </c>
      <c r="J146" t="s">
        <v>1270</v>
      </c>
    </row>
    <row r="147" spans="1:11" x14ac:dyDescent="0.35">
      <c r="A147" s="39">
        <v>46243.359479166669</v>
      </c>
      <c r="B147" t="s">
        <v>805</v>
      </c>
      <c r="C147" t="s">
        <v>904</v>
      </c>
      <c r="D147" t="s">
        <v>1616</v>
      </c>
      <c r="E147" t="s">
        <v>1617</v>
      </c>
      <c r="G147" t="s">
        <v>1271</v>
      </c>
      <c r="H147" t="s">
        <v>1272</v>
      </c>
      <c r="I147">
        <v>3.5</v>
      </c>
      <c r="J147" t="s">
        <v>1619</v>
      </c>
      <c r="K147" t="s">
        <v>1620</v>
      </c>
    </row>
    <row r="148" spans="1:11" x14ac:dyDescent="0.35">
      <c r="A148" s="39">
        <v>46244.472557870373</v>
      </c>
      <c r="B148" t="s">
        <v>805</v>
      </c>
      <c r="C148">
        <v>135968</v>
      </c>
      <c r="D148" t="s">
        <v>1621</v>
      </c>
      <c r="E148" t="s">
        <v>1622</v>
      </c>
      <c r="G148" t="s">
        <v>1305</v>
      </c>
      <c r="H148" t="s">
        <v>1623</v>
      </c>
      <c r="I148" t="s">
        <v>1307</v>
      </c>
      <c r="J148" t="s">
        <v>1308</v>
      </c>
    </row>
    <row r="149" spans="1:11" x14ac:dyDescent="0.35">
      <c r="A149" s="39">
        <v>46244.473229166666</v>
      </c>
      <c r="B149" t="s">
        <v>805</v>
      </c>
      <c r="C149">
        <v>135968</v>
      </c>
      <c r="D149" t="s">
        <v>1621</v>
      </c>
      <c r="E149" t="s">
        <v>1622</v>
      </c>
      <c r="G149" t="s">
        <v>1268</v>
      </c>
      <c r="H149" t="s">
        <v>1624</v>
      </c>
      <c r="I149" t="s">
        <v>807</v>
      </c>
      <c r="J149" t="s">
        <v>1270</v>
      </c>
    </row>
    <row r="150" spans="1:11" x14ac:dyDescent="0.35">
      <c r="A150" s="39">
        <v>46244.479502314818</v>
      </c>
      <c r="B150" t="s">
        <v>805</v>
      </c>
      <c r="C150">
        <v>135968</v>
      </c>
      <c r="D150" t="s">
        <v>1621</v>
      </c>
      <c r="E150" t="s">
        <v>1622</v>
      </c>
      <c r="F150" t="s">
        <v>1625</v>
      </c>
      <c r="G150" t="s">
        <v>1271</v>
      </c>
      <c r="H150" t="s">
        <v>1626</v>
      </c>
      <c r="I150">
        <v>3.5</v>
      </c>
      <c r="J150" t="s">
        <v>1627</v>
      </c>
      <c r="K150" t="s">
        <v>1628</v>
      </c>
    </row>
    <row r="151" spans="1:11" x14ac:dyDescent="0.35">
      <c r="A151" s="39">
        <v>46244.486481481479</v>
      </c>
      <c r="B151" t="s">
        <v>805</v>
      </c>
      <c r="C151">
        <v>135968</v>
      </c>
      <c r="D151" t="s">
        <v>1621</v>
      </c>
      <c r="E151" t="s">
        <v>1622</v>
      </c>
      <c r="F151" t="s">
        <v>1625</v>
      </c>
      <c r="G151" t="s">
        <v>1271</v>
      </c>
      <c r="H151" t="s">
        <v>1626</v>
      </c>
      <c r="I151">
        <v>3.5</v>
      </c>
      <c r="J151" t="s">
        <v>1629</v>
      </c>
      <c r="K151" t="s">
        <v>1630</v>
      </c>
    </row>
    <row r="152" spans="1:11" x14ac:dyDescent="0.35">
      <c r="A152" s="39">
        <v>46244.496724537035</v>
      </c>
      <c r="B152" t="s">
        <v>805</v>
      </c>
      <c r="C152">
        <v>135968</v>
      </c>
      <c r="D152" t="s">
        <v>1621</v>
      </c>
      <c r="E152" t="s">
        <v>1622</v>
      </c>
      <c r="F152" t="s">
        <v>1625</v>
      </c>
      <c r="G152" t="s">
        <v>1450</v>
      </c>
      <c r="H152" t="s">
        <v>1631</v>
      </c>
      <c r="I152" t="s">
        <v>807</v>
      </c>
      <c r="K152" t="s">
        <v>1632</v>
      </c>
    </row>
    <row r="153" spans="1:11" x14ac:dyDescent="0.35">
      <c r="A153" s="39">
        <v>46244.529537037037</v>
      </c>
      <c r="B153" t="s">
        <v>805</v>
      </c>
      <c r="C153">
        <v>135952</v>
      </c>
      <c r="D153" t="s">
        <v>1633</v>
      </c>
      <c r="E153" t="s">
        <v>1634</v>
      </c>
      <c r="F153" t="s">
        <v>1635</v>
      </c>
      <c r="G153" t="s">
        <v>1305</v>
      </c>
      <c r="H153" t="s">
        <v>1636</v>
      </c>
      <c r="I153" t="s">
        <v>1307</v>
      </c>
      <c r="J153" t="s">
        <v>1308</v>
      </c>
    </row>
    <row r="154" spans="1:11" x14ac:dyDescent="0.35">
      <c r="A154" s="39">
        <v>46244.530034722222</v>
      </c>
      <c r="B154" t="s">
        <v>805</v>
      </c>
      <c r="C154">
        <v>135952</v>
      </c>
      <c r="D154" t="s">
        <v>1633</v>
      </c>
      <c r="E154" t="s">
        <v>1634</v>
      </c>
      <c r="F154" t="s">
        <v>1635</v>
      </c>
      <c r="G154" t="s">
        <v>1305</v>
      </c>
      <c r="H154" t="s">
        <v>1636</v>
      </c>
      <c r="I154" t="s">
        <v>1307</v>
      </c>
      <c r="J154" t="s">
        <v>1308</v>
      </c>
    </row>
    <row r="155" spans="1:11" x14ac:dyDescent="0.35">
      <c r="A155" s="39">
        <v>46244.532418981478</v>
      </c>
      <c r="B155" t="s">
        <v>805</v>
      </c>
      <c r="C155">
        <v>135952</v>
      </c>
      <c r="D155" t="s">
        <v>1633</v>
      </c>
      <c r="E155" t="s">
        <v>1634</v>
      </c>
      <c r="F155" t="s">
        <v>1635</v>
      </c>
      <c r="G155" t="s">
        <v>1268</v>
      </c>
      <c r="H155" t="s">
        <v>1637</v>
      </c>
      <c r="I155" t="s">
        <v>807</v>
      </c>
      <c r="J155" t="s">
        <v>1270</v>
      </c>
    </row>
    <row r="156" spans="1:11" x14ac:dyDescent="0.35">
      <c r="A156" s="39">
        <v>46244.535127314812</v>
      </c>
      <c r="B156" t="s">
        <v>805</v>
      </c>
      <c r="C156">
        <v>135952</v>
      </c>
      <c r="D156" t="s">
        <v>1633</v>
      </c>
      <c r="E156" t="s">
        <v>1634</v>
      </c>
      <c r="F156" t="s">
        <v>1635</v>
      </c>
      <c r="G156" t="s">
        <v>1271</v>
      </c>
      <c r="H156" t="s">
        <v>1638</v>
      </c>
      <c r="I156">
        <v>3.5</v>
      </c>
      <c r="J156" t="s">
        <v>1639</v>
      </c>
      <c r="K156" t="s">
        <v>1640</v>
      </c>
    </row>
    <row r="157" spans="1:11" x14ac:dyDescent="0.35">
      <c r="A157" s="39">
        <v>46244.540324074071</v>
      </c>
      <c r="B157" t="s">
        <v>805</v>
      </c>
      <c r="C157">
        <v>135952</v>
      </c>
      <c r="D157" t="s">
        <v>1633</v>
      </c>
      <c r="E157" t="s">
        <v>1635</v>
      </c>
      <c r="G157" t="s">
        <v>1271</v>
      </c>
      <c r="H157" t="s">
        <v>1638</v>
      </c>
      <c r="I157">
        <v>3.5</v>
      </c>
      <c r="J157" t="s">
        <v>1641</v>
      </c>
      <c r="K157" t="s">
        <v>1642</v>
      </c>
    </row>
    <row r="158" spans="1:11" x14ac:dyDescent="0.35">
      <c r="A158" s="39">
        <v>46244.543368055558</v>
      </c>
      <c r="B158" t="s">
        <v>805</v>
      </c>
      <c r="C158">
        <v>135952</v>
      </c>
      <c r="D158" t="s">
        <v>1633</v>
      </c>
      <c r="E158" t="s">
        <v>1635</v>
      </c>
      <c r="G158" t="s">
        <v>1450</v>
      </c>
      <c r="H158" t="s">
        <v>1643</v>
      </c>
      <c r="I158" t="s">
        <v>807</v>
      </c>
      <c r="K158" t="s">
        <v>1644</v>
      </c>
    </row>
    <row r="159" spans="1:11" x14ac:dyDescent="0.35">
      <c r="A159" s="39">
        <v>46244.587731481479</v>
      </c>
      <c r="B159" t="s">
        <v>805</v>
      </c>
      <c r="C159">
        <v>135944</v>
      </c>
      <c r="D159" t="s">
        <v>1645</v>
      </c>
      <c r="E159" t="s">
        <v>1646</v>
      </c>
      <c r="G159" t="s">
        <v>1305</v>
      </c>
      <c r="H159" t="s">
        <v>1647</v>
      </c>
      <c r="I159" t="s">
        <v>1307</v>
      </c>
      <c r="J159" t="s">
        <v>1308</v>
      </c>
    </row>
    <row r="160" spans="1:11" x14ac:dyDescent="0.35">
      <c r="A160" s="39">
        <v>46244.58965277778</v>
      </c>
      <c r="B160" t="s">
        <v>805</v>
      </c>
      <c r="C160">
        <v>135944</v>
      </c>
      <c r="D160" t="s">
        <v>1645</v>
      </c>
      <c r="E160" t="s">
        <v>1646</v>
      </c>
      <c r="G160" t="s">
        <v>1268</v>
      </c>
      <c r="H160" t="s">
        <v>1648</v>
      </c>
      <c r="I160" t="s">
        <v>807</v>
      </c>
      <c r="J160" t="s">
        <v>1270</v>
      </c>
    </row>
    <row r="161" spans="1:11" x14ac:dyDescent="0.35">
      <c r="A161" s="39">
        <v>46244.59679398148</v>
      </c>
      <c r="B161" t="s">
        <v>805</v>
      </c>
      <c r="C161">
        <v>135944</v>
      </c>
      <c r="D161" t="s">
        <v>1645</v>
      </c>
      <c r="E161" t="s">
        <v>1646</v>
      </c>
      <c r="F161" t="s">
        <v>1649</v>
      </c>
      <c r="G161" t="s">
        <v>1271</v>
      </c>
      <c r="H161" t="s">
        <v>1650</v>
      </c>
      <c r="I161">
        <v>3.5</v>
      </c>
      <c r="J161" t="s">
        <v>1651</v>
      </c>
      <c r="K161" t="s">
        <v>1652</v>
      </c>
    </row>
    <row r="162" spans="1:11" x14ac:dyDescent="0.35">
      <c r="A162" s="39">
        <v>46244.605706018519</v>
      </c>
      <c r="B162" t="s">
        <v>805</v>
      </c>
      <c r="C162">
        <v>135944</v>
      </c>
      <c r="D162" t="s">
        <v>1645</v>
      </c>
      <c r="E162" t="s">
        <v>1646</v>
      </c>
      <c r="F162" t="s">
        <v>1649</v>
      </c>
      <c r="G162" t="s">
        <v>1275</v>
      </c>
      <c r="H162" t="s">
        <v>1653</v>
      </c>
      <c r="I162" t="s">
        <v>807</v>
      </c>
      <c r="K162" t="s">
        <v>1654</v>
      </c>
    </row>
    <row r="163" spans="1:11" x14ac:dyDescent="0.35">
      <c r="A163" s="39">
        <v>46244.659236111111</v>
      </c>
      <c r="B163" t="s">
        <v>805</v>
      </c>
      <c r="C163">
        <v>135920</v>
      </c>
      <c r="D163" t="s">
        <v>1655</v>
      </c>
      <c r="E163" t="s">
        <v>1656</v>
      </c>
      <c r="G163" t="s">
        <v>1305</v>
      </c>
      <c r="H163" t="s">
        <v>1657</v>
      </c>
      <c r="I163" t="s">
        <v>1307</v>
      </c>
      <c r="J163" t="s">
        <v>1308</v>
      </c>
    </row>
    <row r="164" spans="1:11" x14ac:dyDescent="0.35">
      <c r="A164" s="39">
        <v>46244.660196759258</v>
      </c>
      <c r="B164" t="s">
        <v>805</v>
      </c>
      <c r="C164">
        <v>135920</v>
      </c>
      <c r="D164" t="s">
        <v>1655</v>
      </c>
      <c r="E164" t="s">
        <v>1656</v>
      </c>
      <c r="G164" t="s">
        <v>1268</v>
      </c>
      <c r="H164" t="s">
        <v>1658</v>
      </c>
      <c r="I164" t="s">
        <v>807</v>
      </c>
      <c r="J164" t="s">
        <v>1270</v>
      </c>
    </row>
    <row r="165" spans="1:11" x14ac:dyDescent="0.35">
      <c r="A165" s="39">
        <v>46244.670347222222</v>
      </c>
      <c r="B165" t="s">
        <v>805</v>
      </c>
      <c r="C165">
        <v>135920</v>
      </c>
      <c r="D165" t="s">
        <v>1655</v>
      </c>
      <c r="E165" t="s">
        <v>1656</v>
      </c>
      <c r="F165" t="s">
        <v>1659</v>
      </c>
      <c r="G165" t="s">
        <v>1271</v>
      </c>
      <c r="H165" t="s">
        <v>1660</v>
      </c>
      <c r="I165">
        <v>3.5</v>
      </c>
      <c r="J165" t="s">
        <v>1661</v>
      </c>
      <c r="K165" t="s">
        <v>1662</v>
      </c>
    </row>
    <row r="166" spans="1:11" x14ac:dyDescent="0.35">
      <c r="A166" s="39">
        <v>46244.698067129626</v>
      </c>
      <c r="B166" t="s">
        <v>805</v>
      </c>
      <c r="C166">
        <v>135920</v>
      </c>
      <c r="D166" t="s">
        <v>1655</v>
      </c>
      <c r="E166" t="s">
        <v>1656</v>
      </c>
      <c r="F166" t="s">
        <v>1659</v>
      </c>
      <c r="G166" t="s">
        <v>1275</v>
      </c>
      <c r="H166" t="s">
        <v>1663</v>
      </c>
      <c r="I166" t="s">
        <v>807</v>
      </c>
      <c r="K166" t="s">
        <v>1664</v>
      </c>
    </row>
    <row r="167" spans="1:11" x14ac:dyDescent="0.35">
      <c r="A167" s="39">
        <v>46244.719224537039</v>
      </c>
      <c r="B167" t="s">
        <v>805</v>
      </c>
      <c r="C167">
        <v>135864</v>
      </c>
      <c r="D167" t="s">
        <v>1665</v>
      </c>
      <c r="E167" t="s">
        <v>1666</v>
      </c>
      <c r="F167" t="s">
        <v>1667</v>
      </c>
      <c r="G167" t="s">
        <v>1305</v>
      </c>
      <c r="H167" t="s">
        <v>1668</v>
      </c>
      <c r="I167" t="s">
        <v>1307</v>
      </c>
      <c r="J167" t="s">
        <v>1308</v>
      </c>
    </row>
    <row r="168" spans="1:11" x14ac:dyDescent="0.35">
      <c r="A168" s="39">
        <v>46244.721099537041</v>
      </c>
      <c r="B168" t="s">
        <v>805</v>
      </c>
      <c r="C168">
        <v>135864</v>
      </c>
      <c r="D168" t="s">
        <v>1665</v>
      </c>
      <c r="E168" t="s">
        <v>1666</v>
      </c>
      <c r="F168" t="s">
        <v>1667</v>
      </c>
      <c r="G168" t="s">
        <v>1268</v>
      </c>
      <c r="H168" t="s">
        <v>1669</v>
      </c>
      <c r="I168" t="s">
        <v>807</v>
      </c>
      <c r="J168" t="s">
        <v>1270</v>
      </c>
    </row>
    <row r="169" spans="1:11" x14ac:dyDescent="0.35">
      <c r="A169" s="39">
        <v>46244.727361111109</v>
      </c>
      <c r="B169" t="s">
        <v>805</v>
      </c>
      <c r="C169">
        <v>135864</v>
      </c>
      <c r="D169" t="s">
        <v>1665</v>
      </c>
      <c r="E169" t="s">
        <v>1666</v>
      </c>
      <c r="F169" t="s">
        <v>1667</v>
      </c>
      <c r="G169" t="s">
        <v>1271</v>
      </c>
      <c r="H169" t="s">
        <v>1670</v>
      </c>
      <c r="I169">
        <v>3.5</v>
      </c>
      <c r="J169" t="s">
        <v>1671</v>
      </c>
      <c r="K169" t="s">
        <v>1672</v>
      </c>
    </row>
    <row r="170" spans="1:11" x14ac:dyDescent="0.35">
      <c r="A170" s="39">
        <v>46244.737303240741</v>
      </c>
      <c r="B170" t="s">
        <v>805</v>
      </c>
      <c r="C170">
        <v>135864</v>
      </c>
      <c r="D170" t="s">
        <v>1665</v>
      </c>
      <c r="E170" t="s">
        <v>1666</v>
      </c>
      <c r="F170" t="s">
        <v>1667</v>
      </c>
      <c r="G170" t="s">
        <v>1450</v>
      </c>
      <c r="H170" t="s">
        <v>1673</v>
      </c>
      <c r="I170" t="s">
        <v>807</v>
      </c>
      <c r="K170" t="s">
        <v>1674</v>
      </c>
    </row>
    <row r="171" spans="1:11" x14ac:dyDescent="0.35">
      <c r="A171" s="39">
        <v>46244.770740740743</v>
      </c>
      <c r="B171" t="s">
        <v>805</v>
      </c>
      <c r="C171">
        <v>135800</v>
      </c>
      <c r="D171" t="s">
        <v>1675</v>
      </c>
      <c r="E171" t="s">
        <v>1676</v>
      </c>
      <c r="G171" t="s">
        <v>1305</v>
      </c>
      <c r="H171" t="s">
        <v>1677</v>
      </c>
      <c r="I171" t="s">
        <v>1307</v>
      </c>
      <c r="J171" t="s">
        <v>1308</v>
      </c>
    </row>
    <row r="172" spans="1:11" x14ac:dyDescent="0.35">
      <c r="A172" s="39">
        <v>46244.771921296298</v>
      </c>
      <c r="B172" t="s">
        <v>805</v>
      </c>
      <c r="C172">
        <v>135800</v>
      </c>
      <c r="D172" t="s">
        <v>1675</v>
      </c>
      <c r="E172" t="s">
        <v>1676</v>
      </c>
      <c r="G172" t="s">
        <v>1268</v>
      </c>
      <c r="H172" t="s">
        <v>1678</v>
      </c>
      <c r="I172" t="s">
        <v>807</v>
      </c>
      <c r="J172" t="s">
        <v>1270</v>
      </c>
    </row>
    <row r="173" spans="1:11" x14ac:dyDescent="0.35">
      <c r="A173" s="39">
        <v>46244.797013888892</v>
      </c>
      <c r="B173" t="s">
        <v>805</v>
      </c>
      <c r="C173">
        <v>135800</v>
      </c>
      <c r="D173" t="s">
        <v>1675</v>
      </c>
      <c r="E173" t="s">
        <v>1676</v>
      </c>
      <c r="F173" t="s">
        <v>1679</v>
      </c>
      <c r="G173" t="s">
        <v>1271</v>
      </c>
      <c r="H173" t="s">
        <v>1680</v>
      </c>
      <c r="I173">
        <v>3.5</v>
      </c>
      <c r="J173" t="s">
        <v>1681</v>
      </c>
      <c r="K173" t="s">
        <v>1682</v>
      </c>
    </row>
    <row r="174" spans="1:11" x14ac:dyDescent="0.35">
      <c r="A174" s="39">
        <v>46244.816631944443</v>
      </c>
      <c r="B174" t="s">
        <v>805</v>
      </c>
      <c r="C174">
        <v>135800</v>
      </c>
      <c r="D174" t="s">
        <v>1675</v>
      </c>
      <c r="E174" t="s">
        <v>1676</v>
      </c>
      <c r="F174" t="s">
        <v>1679</v>
      </c>
      <c r="G174" t="s">
        <v>1275</v>
      </c>
      <c r="H174" t="s">
        <v>1683</v>
      </c>
      <c r="I174" t="s">
        <v>807</v>
      </c>
      <c r="K174" t="s">
        <v>1684</v>
      </c>
    </row>
    <row r="175" spans="1:11" x14ac:dyDescent="0.35">
      <c r="A175" s="39">
        <v>46244.897615740738</v>
      </c>
      <c r="B175" t="s">
        <v>805</v>
      </c>
      <c r="C175">
        <v>137043</v>
      </c>
      <c r="D175" t="s">
        <v>1685</v>
      </c>
      <c r="E175" t="s">
        <v>1686</v>
      </c>
      <c r="G175" t="s">
        <v>1305</v>
      </c>
      <c r="H175" t="s">
        <v>1687</v>
      </c>
      <c r="I175" t="s">
        <v>1307</v>
      </c>
      <c r="J175" t="s">
        <v>1308</v>
      </c>
    </row>
    <row r="176" spans="1:11" x14ac:dyDescent="0.35">
      <c r="A176" s="39">
        <v>46244.901828703703</v>
      </c>
      <c r="B176" t="s">
        <v>805</v>
      </c>
      <c r="C176">
        <v>137043</v>
      </c>
      <c r="D176" t="s">
        <v>1685</v>
      </c>
      <c r="E176" t="s">
        <v>1686</v>
      </c>
      <c r="G176" t="s">
        <v>1268</v>
      </c>
      <c r="H176" t="s">
        <v>1688</v>
      </c>
      <c r="I176" t="s">
        <v>807</v>
      </c>
      <c r="J176" t="s">
        <v>1270</v>
      </c>
    </row>
    <row r="177" spans="1:11" x14ac:dyDescent="0.35">
      <c r="A177" s="39">
        <v>46244.911840277775</v>
      </c>
      <c r="B177" t="s">
        <v>805</v>
      </c>
      <c r="C177">
        <v>137043</v>
      </c>
      <c r="D177" t="s">
        <v>1685</v>
      </c>
      <c r="E177" t="s">
        <v>1686</v>
      </c>
      <c r="F177" t="s">
        <v>1689</v>
      </c>
      <c r="G177" t="s">
        <v>1271</v>
      </c>
      <c r="H177" t="s">
        <v>1690</v>
      </c>
      <c r="I177">
        <v>3.5</v>
      </c>
      <c r="J177" t="s">
        <v>1691</v>
      </c>
      <c r="K177" t="s">
        <v>1692</v>
      </c>
    </row>
    <row r="178" spans="1:11" x14ac:dyDescent="0.35">
      <c r="A178" s="39">
        <v>46244.923321759263</v>
      </c>
      <c r="B178" t="s">
        <v>805</v>
      </c>
      <c r="C178">
        <v>137043</v>
      </c>
      <c r="D178" t="s">
        <v>1685</v>
      </c>
      <c r="E178" t="s">
        <v>1686</v>
      </c>
      <c r="F178" t="s">
        <v>1689</v>
      </c>
      <c r="G178" t="s">
        <v>1450</v>
      </c>
      <c r="H178" t="s">
        <v>1693</v>
      </c>
      <c r="I178" t="s">
        <v>807</v>
      </c>
      <c r="K178" t="s">
        <v>1694</v>
      </c>
    </row>
    <row r="179" spans="1:11" x14ac:dyDescent="0.35">
      <c r="A179" s="39">
        <v>46245.316747685189</v>
      </c>
      <c r="B179" t="s">
        <v>805</v>
      </c>
      <c r="C179">
        <v>135856</v>
      </c>
      <c r="D179" t="s">
        <v>1695</v>
      </c>
      <c r="E179" t="s">
        <v>1696</v>
      </c>
      <c r="G179" t="s">
        <v>1305</v>
      </c>
      <c r="H179" t="s">
        <v>1697</v>
      </c>
      <c r="I179" t="s">
        <v>1307</v>
      </c>
      <c r="J179" t="s">
        <v>1698</v>
      </c>
    </row>
    <row r="180" spans="1:11" x14ac:dyDescent="0.35">
      <c r="A180" s="39">
        <v>46245.32234953704</v>
      </c>
      <c r="B180" t="s">
        <v>805</v>
      </c>
      <c r="C180">
        <v>135856</v>
      </c>
      <c r="D180" t="s">
        <v>1695</v>
      </c>
      <c r="E180" t="s">
        <v>1696</v>
      </c>
      <c r="G180" t="s">
        <v>1268</v>
      </c>
      <c r="H180" t="s">
        <v>1699</v>
      </c>
      <c r="I180" t="s">
        <v>807</v>
      </c>
      <c r="J180" t="s">
        <v>1270</v>
      </c>
    </row>
    <row r="181" spans="1:11" x14ac:dyDescent="0.35">
      <c r="A181" s="39">
        <v>46245.346712962964</v>
      </c>
      <c r="B181" t="s">
        <v>805</v>
      </c>
      <c r="C181">
        <v>135856</v>
      </c>
      <c r="D181" t="s">
        <v>1695</v>
      </c>
      <c r="E181" t="s">
        <v>1696</v>
      </c>
      <c r="F181" t="s">
        <v>1700</v>
      </c>
      <c r="G181" t="s">
        <v>1271</v>
      </c>
      <c r="H181" t="s">
        <v>1701</v>
      </c>
      <c r="I181">
        <v>3.5</v>
      </c>
      <c r="J181" t="s">
        <v>1702</v>
      </c>
      <c r="K181" t="s">
        <v>1703</v>
      </c>
    </row>
    <row r="182" spans="1:11" x14ac:dyDescent="0.35">
      <c r="A182" s="39">
        <v>46245.373437499999</v>
      </c>
      <c r="B182" t="s">
        <v>805</v>
      </c>
      <c r="C182">
        <v>135856</v>
      </c>
      <c r="D182" t="s">
        <v>1695</v>
      </c>
      <c r="E182" t="s">
        <v>1696</v>
      </c>
      <c r="F182" t="s">
        <v>1700</v>
      </c>
      <c r="G182" t="s">
        <v>1450</v>
      </c>
      <c r="H182" t="s">
        <v>1704</v>
      </c>
      <c r="I182" t="s">
        <v>807</v>
      </c>
      <c r="K182" t="s">
        <v>1705</v>
      </c>
    </row>
    <row r="183" spans="1:11" x14ac:dyDescent="0.35">
      <c r="A183" s="39">
        <v>46245.405497685184</v>
      </c>
      <c r="B183" t="s">
        <v>805</v>
      </c>
      <c r="C183">
        <v>135976</v>
      </c>
      <c r="D183" t="s">
        <v>1706</v>
      </c>
      <c r="E183" t="s">
        <v>1707</v>
      </c>
      <c r="G183" t="s">
        <v>1305</v>
      </c>
      <c r="H183" t="s">
        <v>1708</v>
      </c>
      <c r="I183" t="s">
        <v>1307</v>
      </c>
      <c r="J183" t="s">
        <v>1698</v>
      </c>
    </row>
    <row r="184" spans="1:11" x14ac:dyDescent="0.35">
      <c r="A184" s="39">
        <v>46245.406689814816</v>
      </c>
      <c r="B184" t="s">
        <v>805</v>
      </c>
      <c r="C184">
        <v>135976</v>
      </c>
      <c r="D184" t="s">
        <v>1706</v>
      </c>
      <c r="E184" t="s">
        <v>1707</v>
      </c>
      <c r="G184" t="s">
        <v>1268</v>
      </c>
      <c r="H184" t="s">
        <v>1709</v>
      </c>
      <c r="I184" t="s">
        <v>807</v>
      </c>
      <c r="J184" t="s">
        <v>1270</v>
      </c>
    </row>
    <row r="185" spans="1:11" x14ac:dyDescent="0.35">
      <c r="A185" s="39">
        <v>46245.483148148145</v>
      </c>
      <c r="B185" t="s">
        <v>805</v>
      </c>
      <c r="C185">
        <v>135976</v>
      </c>
      <c r="D185" t="s">
        <v>1706</v>
      </c>
      <c r="E185" t="s">
        <v>1707</v>
      </c>
      <c r="F185" t="s">
        <v>1710</v>
      </c>
      <c r="G185" t="s">
        <v>1271</v>
      </c>
      <c r="H185" t="s">
        <v>1711</v>
      </c>
      <c r="I185">
        <v>3.5</v>
      </c>
      <c r="J185" t="s">
        <v>1712</v>
      </c>
      <c r="K185" t="s">
        <v>1713</v>
      </c>
    </row>
    <row r="186" spans="1:11" x14ac:dyDescent="0.35">
      <c r="A186" s="39">
        <v>46245.488182870373</v>
      </c>
      <c r="B186" t="s">
        <v>805</v>
      </c>
      <c r="C186">
        <v>135976</v>
      </c>
      <c r="D186" t="s">
        <v>1706</v>
      </c>
      <c r="E186" t="s">
        <v>1707</v>
      </c>
      <c r="F186" t="s">
        <v>1710</v>
      </c>
      <c r="G186" t="s">
        <v>1450</v>
      </c>
      <c r="H186" t="s">
        <v>1714</v>
      </c>
      <c r="I186" t="s">
        <v>807</v>
      </c>
      <c r="K186" t="s">
        <v>1715</v>
      </c>
    </row>
    <row r="187" spans="1:11" x14ac:dyDescent="0.35">
      <c r="A187" s="39">
        <v>46245.587766203702</v>
      </c>
      <c r="B187" t="s">
        <v>805</v>
      </c>
      <c r="C187">
        <v>134828</v>
      </c>
      <c r="D187" t="s">
        <v>1716</v>
      </c>
      <c r="E187" t="s">
        <v>1717</v>
      </c>
      <c r="G187" t="s">
        <v>1305</v>
      </c>
      <c r="H187" t="s">
        <v>1718</v>
      </c>
      <c r="I187" t="s">
        <v>1307</v>
      </c>
      <c r="J187" t="s">
        <v>1698</v>
      </c>
    </row>
    <row r="188" spans="1:11" x14ac:dyDescent="0.35">
      <c r="A188" s="39">
        <v>46245.589907407404</v>
      </c>
      <c r="B188" t="s">
        <v>805</v>
      </c>
      <c r="C188">
        <v>134828</v>
      </c>
      <c r="D188" t="s">
        <v>1716</v>
      </c>
      <c r="E188" t="s">
        <v>1717</v>
      </c>
      <c r="G188" t="s">
        <v>1268</v>
      </c>
      <c r="H188" t="s">
        <v>1719</v>
      </c>
      <c r="I188" t="s">
        <v>807</v>
      </c>
      <c r="J188" t="s">
        <v>1270</v>
      </c>
    </row>
    <row r="189" spans="1:11" x14ac:dyDescent="0.35">
      <c r="A189" s="39">
        <v>46245.610162037039</v>
      </c>
      <c r="B189" t="s">
        <v>805</v>
      </c>
      <c r="C189">
        <v>134828</v>
      </c>
      <c r="D189" t="s">
        <v>1716</v>
      </c>
      <c r="E189" t="s">
        <v>1717</v>
      </c>
      <c r="G189" t="s">
        <v>1271</v>
      </c>
      <c r="H189" t="s">
        <v>1720</v>
      </c>
      <c r="I189">
        <v>3.5</v>
      </c>
      <c r="J189" t="s">
        <v>1721</v>
      </c>
      <c r="K189" t="s">
        <v>1722</v>
      </c>
    </row>
    <row r="190" spans="1:11" x14ac:dyDescent="0.35">
      <c r="A190" s="39">
        <v>46245.618993055556</v>
      </c>
      <c r="B190" t="s">
        <v>805</v>
      </c>
      <c r="C190">
        <v>134828</v>
      </c>
      <c r="D190" t="s">
        <v>1716</v>
      </c>
      <c r="E190" t="s">
        <v>1717</v>
      </c>
      <c r="G190" t="s">
        <v>1275</v>
      </c>
      <c r="H190" t="s">
        <v>1723</v>
      </c>
      <c r="I190" t="s">
        <v>807</v>
      </c>
      <c r="K190" t="s">
        <v>1724</v>
      </c>
    </row>
    <row r="191" spans="1:11" x14ac:dyDescent="0.35">
      <c r="A191" s="39">
        <v>46245.636562500003</v>
      </c>
      <c r="B191" t="s">
        <v>805</v>
      </c>
      <c r="C191">
        <v>135632</v>
      </c>
      <c r="D191" t="s">
        <v>1725</v>
      </c>
      <c r="E191" t="s">
        <v>1726</v>
      </c>
      <c r="F191" t="s">
        <v>1727</v>
      </c>
      <c r="G191" t="s">
        <v>1305</v>
      </c>
      <c r="H191" t="s">
        <v>1728</v>
      </c>
      <c r="I191" t="s">
        <v>1307</v>
      </c>
      <c r="J191" t="s">
        <v>1698</v>
      </c>
    </row>
    <row r="192" spans="1:11" x14ac:dyDescent="0.35">
      <c r="A192" s="39">
        <v>46245.638148148151</v>
      </c>
      <c r="B192" t="s">
        <v>805</v>
      </c>
      <c r="C192">
        <v>135632</v>
      </c>
      <c r="D192" t="s">
        <v>1725</v>
      </c>
      <c r="E192" t="s">
        <v>1726</v>
      </c>
      <c r="F192" t="s">
        <v>1727</v>
      </c>
      <c r="G192" t="s">
        <v>1268</v>
      </c>
      <c r="H192" t="s">
        <v>1729</v>
      </c>
      <c r="I192" t="s">
        <v>807</v>
      </c>
      <c r="J192" t="s">
        <v>1270</v>
      </c>
    </row>
    <row r="193" spans="1:11" x14ac:dyDescent="0.35">
      <c r="A193" s="39">
        <v>46245.647453703707</v>
      </c>
      <c r="B193" t="s">
        <v>805</v>
      </c>
      <c r="C193">
        <v>135632</v>
      </c>
      <c r="D193" t="s">
        <v>1725</v>
      </c>
      <c r="E193" t="s">
        <v>1726</v>
      </c>
      <c r="F193" t="s">
        <v>1727</v>
      </c>
      <c r="G193" t="s">
        <v>1271</v>
      </c>
      <c r="H193" t="s">
        <v>1730</v>
      </c>
      <c r="I193">
        <v>3.5</v>
      </c>
      <c r="J193" t="s">
        <v>1731</v>
      </c>
      <c r="K193" t="s">
        <v>1732</v>
      </c>
    </row>
    <row r="194" spans="1:11" x14ac:dyDescent="0.35">
      <c r="A194" s="39">
        <v>46245.65011574074</v>
      </c>
      <c r="B194" t="s">
        <v>805</v>
      </c>
      <c r="C194">
        <v>135632</v>
      </c>
      <c r="D194" t="s">
        <v>1725</v>
      </c>
      <c r="E194" t="s">
        <v>1726</v>
      </c>
      <c r="F194" t="s">
        <v>1727</v>
      </c>
      <c r="G194" t="s">
        <v>1275</v>
      </c>
      <c r="H194" t="s">
        <v>1733</v>
      </c>
      <c r="I194" t="s">
        <v>807</v>
      </c>
      <c r="K194" t="s">
        <v>1734</v>
      </c>
    </row>
    <row r="195" spans="1:11" x14ac:dyDescent="0.35">
      <c r="A195" s="39">
        <v>46245.679386574076</v>
      </c>
      <c r="B195" t="s">
        <v>805</v>
      </c>
      <c r="C195">
        <v>137251</v>
      </c>
      <c r="D195" t="s">
        <v>1735</v>
      </c>
      <c r="E195" t="s">
        <v>1736</v>
      </c>
      <c r="G195" t="s">
        <v>1305</v>
      </c>
      <c r="H195" t="s">
        <v>1737</v>
      </c>
      <c r="I195" t="s">
        <v>1307</v>
      </c>
      <c r="J195" t="s">
        <v>1698</v>
      </c>
    </row>
    <row r="196" spans="1:11" x14ac:dyDescent="0.35">
      <c r="A196" s="39">
        <v>46245.681192129632</v>
      </c>
      <c r="B196" t="s">
        <v>805</v>
      </c>
      <c r="C196">
        <v>137251</v>
      </c>
      <c r="D196" t="s">
        <v>1735</v>
      </c>
      <c r="E196" t="s">
        <v>1736</v>
      </c>
      <c r="G196" t="s">
        <v>1268</v>
      </c>
      <c r="H196" t="s">
        <v>1738</v>
      </c>
      <c r="I196" t="s">
        <v>807</v>
      </c>
      <c r="J196" t="s">
        <v>1270</v>
      </c>
    </row>
    <row r="197" spans="1:11" x14ac:dyDescent="0.35">
      <c r="A197" s="39">
        <v>46245.738935185182</v>
      </c>
      <c r="B197" t="s">
        <v>805</v>
      </c>
      <c r="C197">
        <v>137251</v>
      </c>
      <c r="D197" t="s">
        <v>1735</v>
      </c>
      <c r="E197" t="s">
        <v>1736</v>
      </c>
      <c r="F197" t="s">
        <v>1739</v>
      </c>
      <c r="G197" t="s">
        <v>1271</v>
      </c>
      <c r="H197" t="s">
        <v>1740</v>
      </c>
      <c r="I197">
        <v>3.5</v>
      </c>
      <c r="J197" t="s">
        <v>1741</v>
      </c>
      <c r="K197" t="s">
        <v>1742</v>
      </c>
    </row>
    <row r="198" spans="1:11" x14ac:dyDescent="0.35">
      <c r="A198" s="39">
        <v>46245.766759259262</v>
      </c>
      <c r="B198" t="s">
        <v>805</v>
      </c>
      <c r="C198">
        <v>137251</v>
      </c>
      <c r="D198" t="s">
        <v>1735</v>
      </c>
      <c r="E198" t="s">
        <v>1736</v>
      </c>
      <c r="F198" t="s">
        <v>1739</v>
      </c>
      <c r="G198" t="s">
        <v>1275</v>
      </c>
      <c r="H198" t="s">
        <v>1743</v>
      </c>
      <c r="I198" t="s">
        <v>807</v>
      </c>
      <c r="K198" t="s">
        <v>1744</v>
      </c>
    </row>
    <row r="199" spans="1:11" x14ac:dyDescent="0.35">
      <c r="A199" s="39">
        <v>46245.965578703705</v>
      </c>
      <c r="B199" t="s">
        <v>805</v>
      </c>
      <c r="C199">
        <v>136987</v>
      </c>
      <c r="D199" t="s">
        <v>1745</v>
      </c>
      <c r="E199" t="s">
        <v>1746</v>
      </c>
      <c r="G199" t="s">
        <v>1305</v>
      </c>
      <c r="H199" t="s">
        <v>1747</v>
      </c>
      <c r="I199" t="s">
        <v>1307</v>
      </c>
      <c r="J199" t="s">
        <v>1698</v>
      </c>
    </row>
    <row r="200" spans="1:11" x14ac:dyDescent="0.35">
      <c r="A200" s="39">
        <v>46245.967465277776</v>
      </c>
      <c r="B200" t="s">
        <v>805</v>
      </c>
      <c r="C200">
        <v>136987</v>
      </c>
      <c r="D200" t="s">
        <v>1745</v>
      </c>
      <c r="E200" t="s">
        <v>1746</v>
      </c>
      <c r="G200" t="s">
        <v>1268</v>
      </c>
      <c r="H200" t="s">
        <v>1748</v>
      </c>
      <c r="I200" t="s">
        <v>807</v>
      </c>
      <c r="J200" t="s">
        <v>1270</v>
      </c>
    </row>
    <row r="201" spans="1:11" x14ac:dyDescent="0.35">
      <c r="A201" s="39">
        <v>46245.971608796295</v>
      </c>
      <c r="B201" t="s">
        <v>805</v>
      </c>
      <c r="C201">
        <v>136987</v>
      </c>
      <c r="D201" t="s">
        <v>1745</v>
      </c>
      <c r="E201" t="s">
        <v>1746</v>
      </c>
      <c r="F201" t="s">
        <v>1749</v>
      </c>
      <c r="G201" t="s">
        <v>1271</v>
      </c>
      <c r="H201" t="s">
        <v>1750</v>
      </c>
      <c r="I201">
        <v>3.5</v>
      </c>
      <c r="J201" t="s">
        <v>1751</v>
      </c>
      <c r="K201" t="s">
        <v>1752</v>
      </c>
    </row>
    <row r="202" spans="1:11" x14ac:dyDescent="0.35">
      <c r="A202" s="39">
        <v>46245.977222222224</v>
      </c>
      <c r="B202" t="s">
        <v>805</v>
      </c>
      <c r="C202">
        <v>136987</v>
      </c>
      <c r="D202" t="s">
        <v>1745</v>
      </c>
      <c r="E202" t="s">
        <v>1746</v>
      </c>
      <c r="F202" t="s">
        <v>1749</v>
      </c>
      <c r="G202" t="s">
        <v>1275</v>
      </c>
      <c r="H202" t="s">
        <v>1753</v>
      </c>
      <c r="I202" t="s">
        <v>807</v>
      </c>
      <c r="K202" t="s">
        <v>1754</v>
      </c>
    </row>
    <row r="203" spans="1:11" x14ac:dyDescent="0.35">
      <c r="A203" s="39">
        <v>46246.019583333335</v>
      </c>
      <c r="B203" t="s">
        <v>805</v>
      </c>
      <c r="C203">
        <v>137123</v>
      </c>
      <c r="D203" t="s">
        <v>1755</v>
      </c>
      <c r="E203" t="s">
        <v>1756</v>
      </c>
      <c r="G203" t="s">
        <v>1305</v>
      </c>
      <c r="H203" t="s">
        <v>1757</v>
      </c>
      <c r="I203" t="s">
        <v>1307</v>
      </c>
      <c r="J203" t="s">
        <v>1698</v>
      </c>
    </row>
    <row r="204" spans="1:11" x14ac:dyDescent="0.35">
      <c r="A204" s="39">
        <v>46246.021597222221</v>
      </c>
      <c r="B204" t="s">
        <v>805</v>
      </c>
      <c r="C204">
        <v>137123</v>
      </c>
      <c r="D204" t="s">
        <v>1755</v>
      </c>
      <c r="E204" t="s">
        <v>1756</v>
      </c>
      <c r="G204" t="s">
        <v>1268</v>
      </c>
      <c r="H204" t="s">
        <v>1758</v>
      </c>
      <c r="I204" t="s">
        <v>807</v>
      </c>
      <c r="J204" t="s">
        <v>1270</v>
      </c>
    </row>
    <row r="205" spans="1:11" x14ac:dyDescent="0.35">
      <c r="A205" s="39">
        <v>46246.312071759261</v>
      </c>
      <c r="B205" t="s">
        <v>805</v>
      </c>
      <c r="C205">
        <v>137123</v>
      </c>
      <c r="D205" t="s">
        <v>1755</v>
      </c>
      <c r="E205" t="s">
        <v>1756</v>
      </c>
      <c r="F205" t="s">
        <v>1759</v>
      </c>
      <c r="G205" t="s">
        <v>1271</v>
      </c>
      <c r="H205" t="s">
        <v>1760</v>
      </c>
      <c r="I205">
        <v>3.5</v>
      </c>
      <c r="J205" t="s">
        <v>1761</v>
      </c>
      <c r="K205" t="s">
        <v>1762</v>
      </c>
    </row>
    <row r="206" spans="1:11" x14ac:dyDescent="0.35">
      <c r="A206" s="39">
        <v>46246.33222222222</v>
      </c>
      <c r="B206" t="s">
        <v>805</v>
      </c>
      <c r="C206">
        <v>137123</v>
      </c>
      <c r="D206" t="s">
        <v>1755</v>
      </c>
      <c r="E206" t="s">
        <v>1756</v>
      </c>
      <c r="F206" t="s">
        <v>1763</v>
      </c>
      <c r="G206" t="s">
        <v>1450</v>
      </c>
      <c r="H206" t="s">
        <v>1764</v>
      </c>
      <c r="I206" t="s">
        <v>807</v>
      </c>
      <c r="K206" t="s">
        <v>1765</v>
      </c>
    </row>
    <row r="207" spans="1:11" x14ac:dyDescent="0.35">
      <c r="A207" s="39">
        <v>46246.333148148151</v>
      </c>
      <c r="B207" t="s">
        <v>805</v>
      </c>
      <c r="C207">
        <v>137123</v>
      </c>
      <c r="D207" t="s">
        <v>1755</v>
      </c>
      <c r="E207" t="s">
        <v>1756</v>
      </c>
      <c r="F207" t="s">
        <v>1763</v>
      </c>
      <c r="G207" t="s">
        <v>1766</v>
      </c>
      <c r="H207" t="s">
        <v>1767</v>
      </c>
      <c r="I207" t="s">
        <v>807</v>
      </c>
      <c r="K207" t="s">
        <v>1768</v>
      </c>
    </row>
    <row r="208" spans="1:11" x14ac:dyDescent="0.35">
      <c r="A208" s="39">
        <v>46246.356770833336</v>
      </c>
      <c r="B208" t="s">
        <v>805</v>
      </c>
      <c r="C208">
        <v>137195</v>
      </c>
      <c r="D208" t="s">
        <v>1769</v>
      </c>
      <c r="E208" t="s">
        <v>1770</v>
      </c>
      <c r="G208" t="s">
        <v>1305</v>
      </c>
      <c r="H208" t="s">
        <v>1771</v>
      </c>
      <c r="I208" t="s">
        <v>1307</v>
      </c>
      <c r="J208" t="s">
        <v>1698</v>
      </c>
    </row>
    <row r="209" spans="1:11" x14ac:dyDescent="0.35">
      <c r="A209" s="39">
        <v>46246.367476851854</v>
      </c>
      <c r="B209" t="s">
        <v>805</v>
      </c>
      <c r="C209">
        <v>137195</v>
      </c>
      <c r="D209" t="s">
        <v>1769</v>
      </c>
      <c r="E209" t="s">
        <v>1770</v>
      </c>
      <c r="G209" t="s">
        <v>1268</v>
      </c>
      <c r="H209" t="s">
        <v>1772</v>
      </c>
      <c r="I209" t="s">
        <v>807</v>
      </c>
      <c r="J209" t="s">
        <v>1270</v>
      </c>
    </row>
    <row r="210" spans="1:11" x14ac:dyDescent="0.35">
      <c r="A210" s="39">
        <v>46246.373761574076</v>
      </c>
      <c r="B210" t="s">
        <v>805</v>
      </c>
      <c r="C210">
        <v>137195</v>
      </c>
      <c r="D210" t="s">
        <v>1769</v>
      </c>
      <c r="E210" t="s">
        <v>1770</v>
      </c>
      <c r="F210" t="s">
        <v>1773</v>
      </c>
      <c r="G210" t="s">
        <v>1271</v>
      </c>
      <c r="H210" t="s">
        <v>1774</v>
      </c>
      <c r="I210">
        <v>3.5</v>
      </c>
      <c r="J210" t="s">
        <v>1775</v>
      </c>
      <c r="K210" t="s">
        <v>1776</v>
      </c>
    </row>
    <row r="211" spans="1:11" x14ac:dyDescent="0.35">
      <c r="A211" s="39">
        <v>46246.383009259262</v>
      </c>
      <c r="B211" t="s">
        <v>805</v>
      </c>
      <c r="C211">
        <v>137195</v>
      </c>
      <c r="D211" t="s">
        <v>1769</v>
      </c>
      <c r="E211" t="s">
        <v>1770</v>
      </c>
      <c r="F211" t="s">
        <v>1773</v>
      </c>
      <c r="G211" t="s">
        <v>1275</v>
      </c>
      <c r="H211" t="s">
        <v>1777</v>
      </c>
      <c r="I211" t="s">
        <v>807</v>
      </c>
      <c r="K211" t="s">
        <v>1778</v>
      </c>
    </row>
    <row r="212" spans="1:11" x14ac:dyDescent="0.35">
      <c r="A212" s="39">
        <v>46246.411562499998</v>
      </c>
      <c r="B212" t="s">
        <v>805</v>
      </c>
      <c r="C212">
        <v>134668</v>
      </c>
      <c r="D212" t="s">
        <v>1779</v>
      </c>
      <c r="E212" t="s">
        <v>1780</v>
      </c>
      <c r="F212" t="s">
        <v>1781</v>
      </c>
      <c r="G212" t="s">
        <v>1305</v>
      </c>
      <c r="H212" t="s">
        <v>1782</v>
      </c>
      <c r="I212" t="s">
        <v>1307</v>
      </c>
      <c r="J212" t="s">
        <v>1698</v>
      </c>
    </row>
    <row r="213" spans="1:11" x14ac:dyDescent="0.35">
      <c r="A213" s="39">
        <v>46246.412731481483</v>
      </c>
      <c r="B213" t="s">
        <v>805</v>
      </c>
      <c r="C213">
        <v>134668</v>
      </c>
      <c r="D213" t="s">
        <v>1779</v>
      </c>
      <c r="E213" t="s">
        <v>1780</v>
      </c>
      <c r="F213" t="s">
        <v>1781</v>
      </c>
      <c r="G213" t="s">
        <v>1268</v>
      </c>
      <c r="H213" t="s">
        <v>1783</v>
      </c>
      <c r="I213" t="s">
        <v>807</v>
      </c>
      <c r="J213" t="s">
        <v>1270</v>
      </c>
    </row>
    <row r="214" spans="1:11" x14ac:dyDescent="0.35">
      <c r="A214" s="39">
        <v>46246.416192129633</v>
      </c>
      <c r="B214" t="s">
        <v>805</v>
      </c>
      <c r="C214">
        <v>134668</v>
      </c>
      <c r="D214" t="s">
        <v>1779</v>
      </c>
      <c r="E214" t="s">
        <v>1780</v>
      </c>
      <c r="F214" t="s">
        <v>1781</v>
      </c>
      <c r="G214" t="s">
        <v>1271</v>
      </c>
      <c r="H214" t="s">
        <v>1784</v>
      </c>
      <c r="I214">
        <v>3.5</v>
      </c>
      <c r="J214" t="s">
        <v>1785</v>
      </c>
      <c r="K214" t="s">
        <v>1786</v>
      </c>
    </row>
    <row r="215" spans="1:11" x14ac:dyDescent="0.35">
      <c r="A215" s="39">
        <v>46246.417083333334</v>
      </c>
      <c r="B215" t="s">
        <v>805</v>
      </c>
      <c r="C215">
        <v>134668</v>
      </c>
      <c r="D215" t="s">
        <v>1779</v>
      </c>
      <c r="E215" t="s">
        <v>1780</v>
      </c>
      <c r="F215" t="s">
        <v>1781</v>
      </c>
      <c r="G215" t="s">
        <v>1275</v>
      </c>
      <c r="H215" t="s">
        <v>1787</v>
      </c>
      <c r="I215" t="s">
        <v>807</v>
      </c>
      <c r="K215" t="s">
        <v>1788</v>
      </c>
    </row>
    <row r="216" spans="1:11" x14ac:dyDescent="0.35">
      <c r="A216" s="39">
        <v>46246.506550925929</v>
      </c>
      <c r="B216" t="s">
        <v>805</v>
      </c>
      <c r="C216">
        <v>137227</v>
      </c>
      <c r="D216" t="s">
        <v>1789</v>
      </c>
      <c r="E216" t="s">
        <v>1790</v>
      </c>
      <c r="G216" t="s">
        <v>1305</v>
      </c>
      <c r="H216" t="s">
        <v>1791</v>
      </c>
      <c r="I216" t="s">
        <v>1307</v>
      </c>
      <c r="J216" t="s">
        <v>1698</v>
      </c>
    </row>
    <row r="217" spans="1:11" x14ac:dyDescent="0.35">
      <c r="A217" s="39">
        <v>46246.509305555555</v>
      </c>
      <c r="B217" t="s">
        <v>805</v>
      </c>
      <c r="C217">
        <v>137227</v>
      </c>
      <c r="D217" t="s">
        <v>1789</v>
      </c>
      <c r="E217" t="s">
        <v>1790</v>
      </c>
      <c r="G217" t="s">
        <v>1268</v>
      </c>
      <c r="H217" t="s">
        <v>1792</v>
      </c>
      <c r="I217" t="s">
        <v>807</v>
      </c>
      <c r="J217" t="s">
        <v>1270</v>
      </c>
    </row>
    <row r="218" spans="1:11" x14ac:dyDescent="0.35">
      <c r="A218" s="39">
        <v>46246.524502314816</v>
      </c>
      <c r="B218" t="s">
        <v>805</v>
      </c>
      <c r="C218">
        <v>137227</v>
      </c>
      <c r="D218" t="s">
        <v>1789</v>
      </c>
      <c r="E218" t="s">
        <v>1790</v>
      </c>
      <c r="F218" t="s">
        <v>1793</v>
      </c>
      <c r="G218" t="s">
        <v>1271</v>
      </c>
      <c r="H218" t="s">
        <v>1794</v>
      </c>
      <c r="I218">
        <v>3.5</v>
      </c>
      <c r="J218" t="s">
        <v>1795</v>
      </c>
      <c r="K218" t="s">
        <v>1796</v>
      </c>
    </row>
    <row r="219" spans="1:11" x14ac:dyDescent="0.35">
      <c r="A219" s="39">
        <v>46246.54923611111</v>
      </c>
      <c r="B219" t="s">
        <v>805</v>
      </c>
      <c r="C219">
        <v>137227</v>
      </c>
      <c r="D219" t="s">
        <v>1789</v>
      </c>
      <c r="E219" t="s">
        <v>1790</v>
      </c>
      <c r="F219" t="s">
        <v>1793</v>
      </c>
      <c r="G219" t="s">
        <v>1450</v>
      </c>
      <c r="H219" t="s">
        <v>1797</v>
      </c>
      <c r="I219" t="s">
        <v>807</v>
      </c>
      <c r="K219" t="s">
        <v>1798</v>
      </c>
    </row>
    <row r="220" spans="1:11" x14ac:dyDescent="0.35">
      <c r="A220" s="39">
        <v>46246.54991898148</v>
      </c>
      <c r="B220" t="s">
        <v>805</v>
      </c>
      <c r="C220">
        <v>137227</v>
      </c>
      <c r="D220" t="s">
        <v>1789</v>
      </c>
      <c r="E220" t="s">
        <v>1790</v>
      </c>
      <c r="F220" t="s">
        <v>1793</v>
      </c>
      <c r="G220" t="s">
        <v>1766</v>
      </c>
      <c r="H220" t="s">
        <v>1799</v>
      </c>
      <c r="I220" t="s">
        <v>807</v>
      </c>
      <c r="K220" t="s">
        <v>1768</v>
      </c>
    </row>
    <row r="221" spans="1:11" x14ac:dyDescent="0.35">
      <c r="A221" s="39">
        <v>46246.589224537034</v>
      </c>
      <c r="B221" t="s">
        <v>805</v>
      </c>
      <c r="C221">
        <v>137211</v>
      </c>
      <c r="D221" t="s">
        <v>1800</v>
      </c>
      <c r="E221" t="s">
        <v>1801</v>
      </c>
      <c r="F221" t="s">
        <v>1802</v>
      </c>
      <c r="G221" t="s">
        <v>1305</v>
      </c>
      <c r="H221" t="s">
        <v>1803</v>
      </c>
      <c r="I221" t="s">
        <v>1307</v>
      </c>
      <c r="J221" t="s">
        <v>1698</v>
      </c>
    </row>
    <row r="222" spans="1:11" x14ac:dyDescent="0.35">
      <c r="A222" s="39">
        <v>46246.592291666668</v>
      </c>
      <c r="B222" t="s">
        <v>805</v>
      </c>
      <c r="C222">
        <v>137211</v>
      </c>
      <c r="D222" t="s">
        <v>1800</v>
      </c>
      <c r="E222" t="s">
        <v>1801</v>
      </c>
      <c r="F222" t="s">
        <v>1802</v>
      </c>
      <c r="G222" t="s">
        <v>1268</v>
      </c>
      <c r="H222" t="s">
        <v>1804</v>
      </c>
      <c r="I222" t="s">
        <v>807</v>
      </c>
      <c r="J222" t="s">
        <v>1270</v>
      </c>
    </row>
    <row r="223" spans="1:11" x14ac:dyDescent="0.35">
      <c r="A223" s="39">
        <v>46246.597418981481</v>
      </c>
      <c r="B223" t="s">
        <v>805</v>
      </c>
      <c r="C223">
        <v>137211</v>
      </c>
      <c r="D223" t="s">
        <v>1800</v>
      </c>
      <c r="E223" t="s">
        <v>1801</v>
      </c>
      <c r="F223" t="s">
        <v>1802</v>
      </c>
      <c r="G223" t="s">
        <v>1271</v>
      </c>
      <c r="H223" t="s">
        <v>1805</v>
      </c>
      <c r="I223">
        <v>3.5</v>
      </c>
      <c r="J223" t="s">
        <v>1806</v>
      </c>
      <c r="K223" t="s">
        <v>1807</v>
      </c>
    </row>
    <row r="224" spans="1:11" x14ac:dyDescent="0.35">
      <c r="A224" s="39">
        <v>46246.693495370368</v>
      </c>
      <c r="B224" t="s">
        <v>805</v>
      </c>
      <c r="C224">
        <v>137211</v>
      </c>
      <c r="D224" t="s">
        <v>1800</v>
      </c>
      <c r="E224" t="s">
        <v>1801</v>
      </c>
      <c r="F224" t="s">
        <v>1802</v>
      </c>
      <c r="G224" t="s">
        <v>1275</v>
      </c>
      <c r="H224" t="s">
        <v>1808</v>
      </c>
      <c r="I224" t="s">
        <v>807</v>
      </c>
      <c r="K224" t="s">
        <v>1809</v>
      </c>
    </row>
    <row r="225" spans="1:11" x14ac:dyDescent="0.35">
      <c r="A225" s="39">
        <v>46246.714629629627</v>
      </c>
      <c r="B225" t="s">
        <v>805</v>
      </c>
      <c r="C225">
        <v>135760</v>
      </c>
      <c r="D225" t="s">
        <v>1810</v>
      </c>
      <c r="E225" t="s">
        <v>1811</v>
      </c>
      <c r="G225" t="s">
        <v>1305</v>
      </c>
      <c r="H225" t="s">
        <v>1812</v>
      </c>
      <c r="I225" t="s">
        <v>1307</v>
      </c>
      <c r="J225" t="s">
        <v>1698</v>
      </c>
    </row>
    <row r="226" spans="1:11" x14ac:dyDescent="0.35">
      <c r="A226" s="39">
        <v>46246.716516203705</v>
      </c>
      <c r="B226" t="s">
        <v>805</v>
      </c>
      <c r="C226">
        <v>135760</v>
      </c>
      <c r="D226" t="s">
        <v>1810</v>
      </c>
      <c r="E226" t="s">
        <v>1811</v>
      </c>
      <c r="G226" t="s">
        <v>1268</v>
      </c>
      <c r="H226" t="s">
        <v>1813</v>
      </c>
      <c r="I226" t="s">
        <v>807</v>
      </c>
      <c r="J226" t="s">
        <v>1270</v>
      </c>
    </row>
    <row r="227" spans="1:11" x14ac:dyDescent="0.35">
      <c r="A227" s="39">
        <v>46246.726284722223</v>
      </c>
      <c r="B227" t="s">
        <v>805</v>
      </c>
      <c r="C227">
        <v>135760</v>
      </c>
      <c r="D227" t="s">
        <v>1810</v>
      </c>
      <c r="E227" t="s">
        <v>1811</v>
      </c>
      <c r="F227" t="s">
        <v>1814</v>
      </c>
      <c r="G227" t="s">
        <v>1271</v>
      </c>
      <c r="H227" t="s">
        <v>1815</v>
      </c>
      <c r="I227">
        <v>3.5</v>
      </c>
      <c r="J227" t="s">
        <v>1816</v>
      </c>
      <c r="K227" t="s">
        <v>1817</v>
      </c>
    </row>
    <row r="228" spans="1:11" x14ac:dyDescent="0.35">
      <c r="A228" s="39">
        <v>46246.751967592594</v>
      </c>
      <c r="B228" t="s">
        <v>805</v>
      </c>
      <c r="C228">
        <v>135760</v>
      </c>
      <c r="D228" t="s">
        <v>1810</v>
      </c>
      <c r="E228" t="s">
        <v>1811</v>
      </c>
      <c r="F228" t="s">
        <v>1814</v>
      </c>
      <c r="G228" t="s">
        <v>1275</v>
      </c>
      <c r="H228" t="s">
        <v>1818</v>
      </c>
      <c r="I228" t="s">
        <v>807</v>
      </c>
      <c r="K228" t="s">
        <v>1819</v>
      </c>
    </row>
    <row r="229" spans="1:11" x14ac:dyDescent="0.35">
      <c r="A229" s="39">
        <v>46247.374039351853</v>
      </c>
      <c r="B229" t="s">
        <v>805</v>
      </c>
      <c r="C229">
        <v>137387</v>
      </c>
      <c r="D229" t="s">
        <v>1820</v>
      </c>
      <c r="E229" t="s">
        <v>1821</v>
      </c>
      <c r="G229" t="s">
        <v>1305</v>
      </c>
      <c r="H229" t="s">
        <v>1822</v>
      </c>
      <c r="I229" t="s">
        <v>1307</v>
      </c>
      <c r="J229" t="s">
        <v>1698</v>
      </c>
    </row>
    <row r="230" spans="1:11" x14ac:dyDescent="0.35">
      <c r="A230" s="39">
        <v>46247.37572916667</v>
      </c>
      <c r="B230" t="s">
        <v>805</v>
      </c>
      <c r="C230">
        <v>137387</v>
      </c>
      <c r="D230" t="s">
        <v>1820</v>
      </c>
      <c r="E230" t="s">
        <v>1821</v>
      </c>
      <c r="G230" t="s">
        <v>1268</v>
      </c>
      <c r="H230" t="s">
        <v>1823</v>
      </c>
      <c r="I230" t="s">
        <v>807</v>
      </c>
      <c r="J230" t="s">
        <v>1270</v>
      </c>
    </row>
    <row r="231" spans="1:11" x14ac:dyDescent="0.35">
      <c r="A231" s="39">
        <v>46247.467395833337</v>
      </c>
      <c r="B231" t="s">
        <v>805</v>
      </c>
      <c r="C231">
        <v>137387</v>
      </c>
      <c r="D231" t="s">
        <v>1820</v>
      </c>
      <c r="E231" t="s">
        <v>1821</v>
      </c>
      <c r="F231" t="s">
        <v>1824</v>
      </c>
      <c r="G231" t="s">
        <v>1271</v>
      </c>
      <c r="H231" t="s">
        <v>1825</v>
      </c>
      <c r="I231">
        <v>3.5</v>
      </c>
      <c r="J231" t="s">
        <v>1826</v>
      </c>
      <c r="K231" t="s">
        <v>1827</v>
      </c>
    </row>
    <row r="232" spans="1:11" x14ac:dyDescent="0.35">
      <c r="A232" s="39">
        <v>46247.474814814814</v>
      </c>
      <c r="B232" t="s">
        <v>805</v>
      </c>
      <c r="C232">
        <v>137387</v>
      </c>
      <c r="D232" t="s">
        <v>1820</v>
      </c>
      <c r="E232" t="s">
        <v>1821</v>
      </c>
      <c r="F232" t="s">
        <v>1824</v>
      </c>
      <c r="G232" t="s">
        <v>1275</v>
      </c>
      <c r="H232" t="s">
        <v>1828</v>
      </c>
      <c r="I232" t="s">
        <v>807</v>
      </c>
      <c r="K232" t="s">
        <v>1829</v>
      </c>
    </row>
    <row r="233" spans="1:11" x14ac:dyDescent="0.35">
      <c r="A233" s="39">
        <v>46247.541527777779</v>
      </c>
      <c r="B233" t="s">
        <v>805</v>
      </c>
      <c r="C233">
        <v>135840</v>
      </c>
      <c r="D233" t="s">
        <v>1830</v>
      </c>
      <c r="E233" t="s">
        <v>1831</v>
      </c>
      <c r="G233" t="s">
        <v>1305</v>
      </c>
      <c r="H233" t="s">
        <v>1832</v>
      </c>
      <c r="I233" t="s">
        <v>1307</v>
      </c>
      <c r="J233" t="s">
        <v>1698</v>
      </c>
    </row>
    <row r="234" spans="1:11" x14ac:dyDescent="0.35">
      <c r="A234" s="39">
        <v>46247.545787037037</v>
      </c>
      <c r="B234" t="s">
        <v>805</v>
      </c>
      <c r="C234">
        <v>135840</v>
      </c>
      <c r="D234" t="s">
        <v>1830</v>
      </c>
      <c r="E234" t="s">
        <v>1831</v>
      </c>
      <c r="G234" t="s">
        <v>1268</v>
      </c>
      <c r="H234" t="s">
        <v>1833</v>
      </c>
      <c r="I234" t="s">
        <v>807</v>
      </c>
      <c r="J234" t="s">
        <v>1270</v>
      </c>
    </row>
    <row r="235" spans="1:11" x14ac:dyDescent="0.35">
      <c r="A235" s="39">
        <v>46247.552152777775</v>
      </c>
      <c r="B235" t="s">
        <v>805</v>
      </c>
      <c r="C235">
        <v>135840</v>
      </c>
      <c r="D235" t="s">
        <v>1830</v>
      </c>
      <c r="E235" t="s">
        <v>1831</v>
      </c>
      <c r="F235" t="s">
        <v>1834</v>
      </c>
      <c r="G235" t="s">
        <v>1271</v>
      </c>
      <c r="H235" t="s">
        <v>1835</v>
      </c>
      <c r="I235">
        <v>3.5</v>
      </c>
      <c r="J235" t="s">
        <v>1836</v>
      </c>
      <c r="K235" t="s">
        <v>1837</v>
      </c>
    </row>
    <row r="236" spans="1:11" x14ac:dyDescent="0.35">
      <c r="A236" s="39">
        <v>46247.559108796297</v>
      </c>
      <c r="B236" t="s">
        <v>805</v>
      </c>
      <c r="C236">
        <v>135840</v>
      </c>
      <c r="D236" t="s">
        <v>1830</v>
      </c>
      <c r="E236" t="s">
        <v>1831</v>
      </c>
      <c r="F236" t="s">
        <v>1834</v>
      </c>
      <c r="G236" t="s">
        <v>1275</v>
      </c>
      <c r="H236" t="s">
        <v>1838</v>
      </c>
      <c r="I236" t="s">
        <v>807</v>
      </c>
      <c r="K236" t="s">
        <v>1839</v>
      </c>
    </row>
    <row r="237" spans="1:11" x14ac:dyDescent="0.35">
      <c r="A237" s="39">
        <v>46247.602881944447</v>
      </c>
      <c r="B237" t="s">
        <v>805</v>
      </c>
      <c r="C237">
        <v>135840</v>
      </c>
      <c r="D237" t="s">
        <v>1830</v>
      </c>
      <c r="E237" t="s">
        <v>1831</v>
      </c>
      <c r="F237" t="s">
        <v>1834</v>
      </c>
      <c r="G237" t="s">
        <v>1450</v>
      </c>
      <c r="H237" t="s">
        <v>1840</v>
      </c>
      <c r="I237" t="s">
        <v>807</v>
      </c>
      <c r="K237" t="s">
        <v>1839</v>
      </c>
    </row>
    <row r="238" spans="1:11" x14ac:dyDescent="0.35">
      <c r="A238" s="39">
        <v>46247.603576388887</v>
      </c>
      <c r="B238" t="s">
        <v>805</v>
      </c>
      <c r="C238">
        <v>135840</v>
      </c>
      <c r="D238" t="s">
        <v>1830</v>
      </c>
      <c r="E238" t="s">
        <v>1831</v>
      </c>
      <c r="F238" t="s">
        <v>1834</v>
      </c>
      <c r="G238" t="s">
        <v>1766</v>
      </c>
      <c r="H238" t="s">
        <v>1841</v>
      </c>
      <c r="I238" t="s">
        <v>807</v>
      </c>
      <c r="K238" t="s">
        <v>1768</v>
      </c>
    </row>
    <row r="239" spans="1:11" x14ac:dyDescent="0.35">
      <c r="A239" s="39">
        <v>46247.621782407405</v>
      </c>
      <c r="B239" t="s">
        <v>805</v>
      </c>
      <c r="C239">
        <v>135816</v>
      </c>
      <c r="D239" t="s">
        <v>1842</v>
      </c>
      <c r="E239" t="s">
        <v>1843</v>
      </c>
      <c r="G239" t="s">
        <v>1305</v>
      </c>
      <c r="H239" t="s">
        <v>1844</v>
      </c>
      <c r="I239" t="s">
        <v>1307</v>
      </c>
      <c r="J239" t="s">
        <v>1698</v>
      </c>
    </row>
    <row r="240" spans="1:11" x14ac:dyDescent="0.35">
      <c r="A240" s="39">
        <v>46247.624583333331</v>
      </c>
      <c r="B240" t="s">
        <v>805</v>
      </c>
      <c r="C240">
        <v>135816</v>
      </c>
      <c r="D240" t="s">
        <v>1842</v>
      </c>
      <c r="E240" t="s">
        <v>1843</v>
      </c>
      <c r="G240" t="s">
        <v>1268</v>
      </c>
      <c r="H240" t="s">
        <v>1845</v>
      </c>
      <c r="I240" t="s">
        <v>807</v>
      </c>
      <c r="J240" t="s">
        <v>1270</v>
      </c>
    </row>
    <row r="241" spans="1:11" x14ac:dyDescent="0.35">
      <c r="A241" s="39">
        <v>46247.629895833335</v>
      </c>
      <c r="B241" t="s">
        <v>805</v>
      </c>
      <c r="C241">
        <v>135816</v>
      </c>
      <c r="D241" t="s">
        <v>1842</v>
      </c>
      <c r="E241" t="s">
        <v>1843</v>
      </c>
      <c r="F241" t="s">
        <v>1846</v>
      </c>
      <c r="G241" t="s">
        <v>1271</v>
      </c>
      <c r="H241" t="s">
        <v>1847</v>
      </c>
      <c r="I241">
        <v>3.5</v>
      </c>
      <c r="J241" t="s">
        <v>1848</v>
      </c>
      <c r="K241" t="s">
        <v>1849</v>
      </c>
    </row>
    <row r="242" spans="1:11" x14ac:dyDescent="0.35">
      <c r="A242" s="39">
        <v>46247.642534722225</v>
      </c>
      <c r="B242" t="s">
        <v>805</v>
      </c>
      <c r="C242">
        <v>135816</v>
      </c>
      <c r="D242" t="s">
        <v>1842</v>
      </c>
      <c r="E242" t="s">
        <v>1843</v>
      </c>
      <c r="F242" t="s">
        <v>1846</v>
      </c>
      <c r="G242" t="s">
        <v>1275</v>
      </c>
      <c r="H242" t="s">
        <v>1850</v>
      </c>
      <c r="I242" t="s">
        <v>807</v>
      </c>
      <c r="K242" t="s">
        <v>1851</v>
      </c>
    </row>
    <row r="243" spans="1:11" x14ac:dyDescent="0.35">
      <c r="A243" s="39">
        <v>46247.676655092589</v>
      </c>
      <c r="B243" t="s">
        <v>805</v>
      </c>
      <c r="C243">
        <v>137459</v>
      </c>
      <c r="D243" t="s">
        <v>1852</v>
      </c>
      <c r="E243" t="s">
        <v>1853</v>
      </c>
      <c r="G243" t="s">
        <v>1305</v>
      </c>
      <c r="H243" t="s">
        <v>1854</v>
      </c>
      <c r="I243" t="s">
        <v>1307</v>
      </c>
      <c r="J243" t="s">
        <v>1698</v>
      </c>
    </row>
    <row r="244" spans="1:11" x14ac:dyDescent="0.35">
      <c r="A244" s="39">
        <v>46247.678842592592</v>
      </c>
      <c r="B244" t="s">
        <v>805</v>
      </c>
      <c r="C244">
        <v>137459</v>
      </c>
      <c r="D244" t="s">
        <v>1852</v>
      </c>
      <c r="E244" t="s">
        <v>1853</v>
      </c>
      <c r="G244" t="s">
        <v>1268</v>
      </c>
      <c r="H244" t="s">
        <v>1855</v>
      </c>
      <c r="I244" t="s">
        <v>807</v>
      </c>
      <c r="J244" t="s">
        <v>1270</v>
      </c>
    </row>
    <row r="245" spans="1:11" x14ac:dyDescent="0.35">
      <c r="A245" s="39">
        <v>46247.680914351855</v>
      </c>
      <c r="B245" t="s">
        <v>805</v>
      </c>
      <c r="C245">
        <v>137459</v>
      </c>
      <c r="D245" t="s">
        <v>1852</v>
      </c>
      <c r="E245" t="s">
        <v>1853</v>
      </c>
      <c r="G245" t="s">
        <v>1271</v>
      </c>
      <c r="H245" t="s">
        <v>1856</v>
      </c>
      <c r="I245">
        <v>3.5</v>
      </c>
      <c r="J245" t="s">
        <v>1857</v>
      </c>
      <c r="K245" t="s">
        <v>1858</v>
      </c>
    </row>
    <row r="246" spans="1:11" x14ac:dyDescent="0.35">
      <c r="A246" s="39">
        <v>46247.698009259257</v>
      </c>
      <c r="B246" t="s">
        <v>805</v>
      </c>
      <c r="C246">
        <v>137459</v>
      </c>
      <c r="D246" t="s">
        <v>1852</v>
      </c>
      <c r="E246" t="s">
        <v>1853</v>
      </c>
      <c r="G246" t="s">
        <v>1275</v>
      </c>
      <c r="H246" t="s">
        <v>1859</v>
      </c>
      <c r="I246" t="s">
        <v>807</v>
      </c>
      <c r="K246" t="s">
        <v>1860</v>
      </c>
    </row>
    <row r="247" spans="1:11" x14ac:dyDescent="0.35">
      <c r="A247" s="39">
        <v>46247.720706018517</v>
      </c>
      <c r="B247" t="s">
        <v>805</v>
      </c>
      <c r="C247">
        <v>137027</v>
      </c>
      <c r="D247" t="s">
        <v>1861</v>
      </c>
      <c r="E247" t="s">
        <v>1862</v>
      </c>
      <c r="G247" t="s">
        <v>1305</v>
      </c>
      <c r="H247" t="s">
        <v>1863</v>
      </c>
      <c r="I247" t="s">
        <v>1307</v>
      </c>
      <c r="J247" t="s">
        <v>1698</v>
      </c>
    </row>
    <row r="248" spans="1:11" x14ac:dyDescent="0.35">
      <c r="A248" s="39">
        <v>46247.722870370373</v>
      </c>
      <c r="B248" t="s">
        <v>805</v>
      </c>
      <c r="C248">
        <v>137027</v>
      </c>
      <c r="D248" t="s">
        <v>1861</v>
      </c>
      <c r="E248" t="s">
        <v>1862</v>
      </c>
      <c r="G248" t="s">
        <v>1268</v>
      </c>
      <c r="H248" t="s">
        <v>1864</v>
      </c>
      <c r="I248" t="s">
        <v>807</v>
      </c>
      <c r="J248" t="s">
        <v>1270</v>
      </c>
    </row>
    <row r="249" spans="1:11" x14ac:dyDescent="0.35">
      <c r="A249" s="39">
        <v>46247.729780092595</v>
      </c>
      <c r="B249" t="s">
        <v>805</v>
      </c>
      <c r="C249">
        <v>137027</v>
      </c>
      <c r="D249" t="s">
        <v>1861</v>
      </c>
      <c r="E249" t="s">
        <v>1862</v>
      </c>
      <c r="G249" t="s">
        <v>1275</v>
      </c>
      <c r="H249" t="s">
        <v>1865</v>
      </c>
      <c r="I249" t="s">
        <v>807</v>
      </c>
      <c r="K249" t="s">
        <v>1866</v>
      </c>
    </row>
    <row r="250" spans="1:11" x14ac:dyDescent="0.35">
      <c r="A250" s="39">
        <v>46247.744340277779</v>
      </c>
      <c r="B250" t="s">
        <v>805</v>
      </c>
      <c r="C250">
        <v>137027</v>
      </c>
      <c r="D250" t="s">
        <v>1861</v>
      </c>
      <c r="E250" t="s">
        <v>1862</v>
      </c>
      <c r="G250" t="s">
        <v>1271</v>
      </c>
      <c r="H250" t="s">
        <v>1867</v>
      </c>
      <c r="I250">
        <v>3.5</v>
      </c>
      <c r="J250" t="s">
        <v>1868</v>
      </c>
      <c r="K250" t="s">
        <v>1869</v>
      </c>
    </row>
    <row r="251" spans="1:11" x14ac:dyDescent="0.35">
      <c r="A251" s="39">
        <v>46247.948645833334</v>
      </c>
      <c r="B251" t="s">
        <v>805</v>
      </c>
      <c r="C251">
        <v>137003</v>
      </c>
      <c r="D251" t="s">
        <v>795</v>
      </c>
      <c r="E251" t="s">
        <v>7</v>
      </c>
      <c r="G251" t="s">
        <v>1305</v>
      </c>
      <c r="H251" t="s">
        <v>1870</v>
      </c>
      <c r="I251" t="s">
        <v>1307</v>
      </c>
      <c r="J251" t="s">
        <v>1698</v>
      </c>
    </row>
    <row r="252" spans="1:11" x14ac:dyDescent="0.35">
      <c r="A252" s="39">
        <v>46247.953275462962</v>
      </c>
      <c r="B252" t="s">
        <v>805</v>
      </c>
      <c r="C252">
        <v>137003</v>
      </c>
      <c r="D252" t="s">
        <v>795</v>
      </c>
      <c r="E252" t="s">
        <v>7</v>
      </c>
      <c r="G252" t="s">
        <v>1268</v>
      </c>
      <c r="H252" t="s">
        <v>1871</v>
      </c>
      <c r="I252" t="s">
        <v>807</v>
      </c>
      <c r="J252" t="s">
        <v>1270</v>
      </c>
    </row>
    <row r="253" spans="1:11" x14ac:dyDescent="0.35">
      <c r="A253" s="39">
        <v>46247.956006944441</v>
      </c>
      <c r="B253" t="s">
        <v>805</v>
      </c>
      <c r="C253">
        <v>137003</v>
      </c>
      <c r="D253" t="s">
        <v>795</v>
      </c>
      <c r="E253" t="s">
        <v>7</v>
      </c>
      <c r="G253" t="s">
        <v>1271</v>
      </c>
      <c r="H253" t="s">
        <v>1872</v>
      </c>
      <c r="I253">
        <v>3.5</v>
      </c>
      <c r="J253" t="s">
        <v>1873</v>
      </c>
      <c r="K253" t="s">
        <v>1874</v>
      </c>
    </row>
    <row r="254" spans="1:11" x14ac:dyDescent="0.35">
      <c r="A254" s="39">
        <v>46247.9844212963</v>
      </c>
      <c r="B254" t="s">
        <v>805</v>
      </c>
      <c r="C254">
        <v>137003</v>
      </c>
      <c r="D254" t="s">
        <v>795</v>
      </c>
      <c r="E254" t="s">
        <v>7</v>
      </c>
      <c r="G254" t="s">
        <v>1450</v>
      </c>
      <c r="H254" t="s">
        <v>1875</v>
      </c>
      <c r="I254" t="s">
        <v>807</v>
      </c>
      <c r="K254" t="s">
        <v>1876</v>
      </c>
    </row>
    <row r="255" spans="1:11" x14ac:dyDescent="0.35">
      <c r="A255" s="39">
        <v>46247.985254629632</v>
      </c>
      <c r="B255" t="s">
        <v>805</v>
      </c>
      <c r="C255">
        <v>137003</v>
      </c>
      <c r="D255" t="s">
        <v>795</v>
      </c>
      <c r="E255" t="s">
        <v>7</v>
      </c>
      <c r="G255" t="s">
        <v>1766</v>
      </c>
      <c r="H255" t="s">
        <v>1877</v>
      </c>
      <c r="I255" t="s">
        <v>807</v>
      </c>
      <c r="K255" t="s">
        <v>1768</v>
      </c>
    </row>
    <row r="256" spans="1:11" x14ac:dyDescent="0.35">
      <c r="A256" s="39">
        <v>46247.604201388887</v>
      </c>
      <c r="B256" t="s">
        <v>1878</v>
      </c>
      <c r="C256">
        <v>137003</v>
      </c>
      <c r="D256" t="s">
        <v>795</v>
      </c>
      <c r="E256" t="s">
        <v>7</v>
      </c>
      <c r="G256" t="s">
        <v>1305</v>
      </c>
      <c r="H256" t="s">
        <v>1879</v>
      </c>
      <c r="I256" t="s">
        <v>1307</v>
      </c>
      <c r="J256" t="s">
        <v>1698</v>
      </c>
    </row>
    <row r="257" spans="1:11" x14ac:dyDescent="0.35">
      <c r="A257" s="39">
        <v>46247.607256944444</v>
      </c>
      <c r="B257" t="s">
        <v>1878</v>
      </c>
      <c r="C257">
        <v>137003</v>
      </c>
      <c r="D257" t="s">
        <v>795</v>
      </c>
      <c r="E257" t="s">
        <v>7</v>
      </c>
      <c r="G257" t="s">
        <v>1305</v>
      </c>
      <c r="H257" t="s">
        <v>1879</v>
      </c>
      <c r="I257" t="s">
        <v>1307</v>
      </c>
      <c r="J257" t="s">
        <v>1698</v>
      </c>
    </row>
    <row r="258" spans="1:11" x14ac:dyDescent="0.35">
      <c r="A258" s="39">
        <v>46247.614525462966</v>
      </c>
      <c r="B258" t="s">
        <v>1878</v>
      </c>
      <c r="C258">
        <v>137003</v>
      </c>
      <c r="D258" t="s">
        <v>795</v>
      </c>
      <c r="E258" t="s">
        <v>7</v>
      </c>
      <c r="G258" t="s">
        <v>1450</v>
      </c>
      <c r="H258" t="s">
        <v>1880</v>
      </c>
      <c r="I258" t="s">
        <v>807</v>
      </c>
      <c r="K258" t="s">
        <v>1876</v>
      </c>
    </row>
    <row r="259" spans="1:11" x14ac:dyDescent="0.35">
      <c r="A259" s="39">
        <v>46247.615023148152</v>
      </c>
      <c r="B259" t="s">
        <v>1878</v>
      </c>
      <c r="C259">
        <v>137003</v>
      </c>
      <c r="D259" t="s">
        <v>795</v>
      </c>
      <c r="E259" t="s">
        <v>7</v>
      </c>
      <c r="G259" t="s">
        <v>1766</v>
      </c>
      <c r="H259" t="s">
        <v>1881</v>
      </c>
      <c r="I259" t="s">
        <v>807</v>
      </c>
      <c r="K259" t="s">
        <v>1768</v>
      </c>
    </row>
    <row r="260" spans="1:11" x14ac:dyDescent="0.35">
      <c r="A260" s="39">
        <v>46249.415960648148</v>
      </c>
      <c r="B260" t="s">
        <v>805</v>
      </c>
      <c r="C260" t="s">
        <v>904</v>
      </c>
      <c r="E260" t="s">
        <v>7</v>
      </c>
      <c r="G260" t="s">
        <v>1271</v>
      </c>
      <c r="H260" t="s">
        <v>1272</v>
      </c>
      <c r="I260">
        <v>3.5</v>
      </c>
      <c r="J260" t="s">
        <v>1882</v>
      </c>
      <c r="K260" t="s">
        <v>1883</v>
      </c>
    </row>
    <row r="261" spans="1:11" x14ac:dyDescent="0.35">
      <c r="A261" s="39">
        <v>46250.595150462963</v>
      </c>
      <c r="B261" t="s">
        <v>805</v>
      </c>
      <c r="C261" t="s">
        <v>904</v>
      </c>
      <c r="D261" t="s">
        <v>1266</v>
      </c>
      <c r="E261" t="s">
        <v>7</v>
      </c>
      <c r="G261" t="s">
        <v>1268</v>
      </c>
      <c r="H261" t="s">
        <v>1269</v>
      </c>
      <c r="I261">
        <v>3.5</v>
      </c>
      <c r="J261" t="s">
        <v>1270</v>
      </c>
    </row>
    <row r="262" spans="1:11" x14ac:dyDescent="0.35">
      <c r="A262" s="39">
        <v>46250.779560185183</v>
      </c>
      <c r="B262" t="s">
        <v>805</v>
      </c>
      <c r="C262" t="s">
        <v>904</v>
      </c>
      <c r="D262" t="s">
        <v>1266</v>
      </c>
      <c r="E262" t="s">
        <v>7</v>
      </c>
      <c r="G262" t="s">
        <v>1268</v>
      </c>
      <c r="H262" t="s">
        <v>1269</v>
      </c>
      <c r="I262">
        <v>3.5</v>
      </c>
      <c r="J262" t="s">
        <v>1270</v>
      </c>
    </row>
    <row r="263" spans="1:11" x14ac:dyDescent="0.35">
      <c r="A263" s="39">
        <v>46250.888252314813</v>
      </c>
      <c r="B263" t="s">
        <v>805</v>
      </c>
      <c r="C263">
        <v>137155</v>
      </c>
      <c r="D263" t="s">
        <v>1266</v>
      </c>
      <c r="E263" t="s">
        <v>7</v>
      </c>
      <c r="G263" t="s">
        <v>1268</v>
      </c>
      <c r="H263" t="s">
        <v>2768</v>
      </c>
      <c r="I263">
        <v>3.5</v>
      </c>
      <c r="J263" t="s">
        <v>1270</v>
      </c>
    </row>
    <row r="264" spans="1:11" x14ac:dyDescent="0.35">
      <c r="A264" s="39">
        <v>46250.891435185185</v>
      </c>
      <c r="B264" t="s">
        <v>805</v>
      </c>
      <c r="C264">
        <v>137155</v>
      </c>
      <c r="D264" t="s">
        <v>1266</v>
      </c>
      <c r="E264" t="s">
        <v>7</v>
      </c>
      <c r="G264" t="s">
        <v>1268</v>
      </c>
      <c r="H264" t="s">
        <v>2768</v>
      </c>
      <c r="I264">
        <v>3.5</v>
      </c>
      <c r="J264" t="s">
        <v>1270</v>
      </c>
    </row>
    <row r="265" spans="1:11" x14ac:dyDescent="0.35">
      <c r="A265" s="39">
        <v>46250.897199074076</v>
      </c>
      <c r="B265" t="s">
        <v>805</v>
      </c>
      <c r="C265">
        <v>137155</v>
      </c>
      <c r="D265" t="s">
        <v>1266</v>
      </c>
      <c r="E265" t="s">
        <v>7</v>
      </c>
      <c r="G265" t="s">
        <v>1268</v>
      </c>
      <c r="H265" t="s">
        <v>2768</v>
      </c>
      <c r="I265">
        <v>3.5</v>
      </c>
      <c r="J265" t="s">
        <v>1270</v>
      </c>
    </row>
    <row r="266" spans="1:11" x14ac:dyDescent="0.35">
      <c r="A266" s="39">
        <v>46250.898900462962</v>
      </c>
      <c r="B266" t="s">
        <v>805</v>
      </c>
      <c r="C266">
        <v>137155</v>
      </c>
      <c r="D266" t="s">
        <v>1266</v>
      </c>
      <c r="E266" t="s">
        <v>7</v>
      </c>
      <c r="G266" t="s">
        <v>1268</v>
      </c>
      <c r="H266" t="s">
        <v>2768</v>
      </c>
      <c r="I266">
        <v>3.5</v>
      </c>
      <c r="J266" t="s">
        <v>1270</v>
      </c>
    </row>
    <row r="267" spans="1:11" x14ac:dyDescent="0.35">
      <c r="A267" s="39">
        <v>46250.90184027778</v>
      </c>
      <c r="B267" t="s">
        <v>805</v>
      </c>
      <c r="C267" t="s">
        <v>2769</v>
      </c>
      <c r="E267" t="s">
        <v>7</v>
      </c>
      <c r="F267" t="s">
        <v>2770</v>
      </c>
      <c r="G267" t="s">
        <v>1271</v>
      </c>
      <c r="H267" t="s">
        <v>2771</v>
      </c>
      <c r="I267">
        <v>3.5</v>
      </c>
      <c r="J267" t="s">
        <v>2772</v>
      </c>
      <c r="K267" t="s">
        <v>2773</v>
      </c>
    </row>
    <row r="268" spans="1:11" x14ac:dyDescent="0.35">
      <c r="A268" s="39">
        <v>46250.903194444443</v>
      </c>
      <c r="B268" t="s">
        <v>805</v>
      </c>
      <c r="C268" t="s">
        <v>2769</v>
      </c>
      <c r="E268" t="s">
        <v>7</v>
      </c>
      <c r="F268" t="s">
        <v>2770</v>
      </c>
      <c r="G268" t="s">
        <v>1450</v>
      </c>
      <c r="H268" t="s">
        <v>2774</v>
      </c>
      <c r="I268">
        <v>3.5</v>
      </c>
      <c r="K268" t="s">
        <v>2775</v>
      </c>
    </row>
    <row r="269" spans="1:11" x14ac:dyDescent="0.35">
      <c r="A269" s="39">
        <v>46250.903749999998</v>
      </c>
      <c r="B269" t="s">
        <v>805</v>
      </c>
      <c r="C269" t="s">
        <v>2769</v>
      </c>
      <c r="E269" t="s">
        <v>7</v>
      </c>
      <c r="F269" t="s">
        <v>2770</v>
      </c>
      <c r="G269" t="s">
        <v>1766</v>
      </c>
      <c r="H269" t="s">
        <v>2776</v>
      </c>
      <c r="I269">
        <v>3.5</v>
      </c>
      <c r="K269" t="s">
        <v>1768</v>
      </c>
    </row>
    <row r="270" spans="1:11" x14ac:dyDescent="0.35">
      <c r="A270" s="39">
        <v>46251.471909722219</v>
      </c>
      <c r="B270" t="s">
        <v>805</v>
      </c>
      <c r="C270">
        <v>134228</v>
      </c>
      <c r="D270" t="s">
        <v>2778</v>
      </c>
      <c r="E270" t="s">
        <v>2777</v>
      </c>
      <c r="F270" t="s">
        <v>2779</v>
      </c>
      <c r="G270" t="s">
        <v>1305</v>
      </c>
      <c r="H270" t="s">
        <v>2780</v>
      </c>
      <c r="I270" t="s">
        <v>1307</v>
      </c>
      <c r="J270" t="s">
        <v>1698</v>
      </c>
    </row>
    <row r="271" spans="1:11" x14ac:dyDescent="0.35">
      <c r="A271" s="39">
        <v>46251.474502314813</v>
      </c>
      <c r="B271" t="s">
        <v>805</v>
      </c>
      <c r="C271">
        <v>134228</v>
      </c>
      <c r="D271" t="s">
        <v>2778</v>
      </c>
      <c r="E271" t="s">
        <v>2777</v>
      </c>
      <c r="F271" t="s">
        <v>2779</v>
      </c>
      <c r="G271" t="s">
        <v>1268</v>
      </c>
      <c r="H271" t="s">
        <v>2781</v>
      </c>
      <c r="I271">
        <v>3.5</v>
      </c>
      <c r="J271" t="s">
        <v>1270</v>
      </c>
    </row>
    <row r="272" spans="1:11" x14ac:dyDescent="0.35">
      <c r="A272" s="39">
        <v>46251.482731481483</v>
      </c>
      <c r="B272" t="s">
        <v>805</v>
      </c>
      <c r="C272">
        <v>134228</v>
      </c>
      <c r="D272" t="s">
        <v>2778</v>
      </c>
      <c r="E272" t="s">
        <v>2777</v>
      </c>
      <c r="F272" t="s">
        <v>2782</v>
      </c>
      <c r="G272" t="s">
        <v>1271</v>
      </c>
      <c r="H272" t="s">
        <v>2783</v>
      </c>
      <c r="I272">
        <v>3.5</v>
      </c>
      <c r="J272" t="s">
        <v>2784</v>
      </c>
      <c r="K272" t="s">
        <v>2785</v>
      </c>
    </row>
    <row r="273" spans="1:11" x14ac:dyDescent="0.35">
      <c r="A273" s="39">
        <v>46251.506192129629</v>
      </c>
      <c r="B273" t="s">
        <v>805</v>
      </c>
      <c r="C273">
        <v>134228</v>
      </c>
      <c r="D273" t="s">
        <v>2778</v>
      </c>
      <c r="E273" t="s">
        <v>2777</v>
      </c>
      <c r="F273" t="s">
        <v>2782</v>
      </c>
      <c r="G273" t="s">
        <v>1275</v>
      </c>
      <c r="H273" t="s">
        <v>2786</v>
      </c>
      <c r="I273">
        <v>3.5</v>
      </c>
      <c r="K273" t="s">
        <v>2787</v>
      </c>
    </row>
    <row r="274" spans="1:11" x14ac:dyDescent="0.35">
      <c r="A274" s="39">
        <v>46251.520011574074</v>
      </c>
      <c r="B274" t="s">
        <v>805</v>
      </c>
      <c r="C274">
        <v>134292</v>
      </c>
      <c r="D274" t="s">
        <v>2789</v>
      </c>
      <c r="E274" t="s">
        <v>2788</v>
      </c>
      <c r="G274" t="s">
        <v>1305</v>
      </c>
      <c r="H274" t="s">
        <v>2790</v>
      </c>
      <c r="I274" t="s">
        <v>1307</v>
      </c>
      <c r="J274" t="s">
        <v>1698</v>
      </c>
    </row>
    <row r="275" spans="1:11" x14ac:dyDescent="0.35">
      <c r="A275" s="39">
        <v>46251.521944444445</v>
      </c>
      <c r="B275" t="s">
        <v>805</v>
      </c>
      <c r="C275">
        <v>134292</v>
      </c>
      <c r="D275" t="s">
        <v>2789</v>
      </c>
      <c r="E275" t="s">
        <v>2788</v>
      </c>
      <c r="G275" t="s">
        <v>1268</v>
      </c>
      <c r="H275" t="s">
        <v>2791</v>
      </c>
      <c r="I275">
        <v>3.5</v>
      </c>
      <c r="J275" t="s">
        <v>1270</v>
      </c>
    </row>
    <row r="276" spans="1:11" x14ac:dyDescent="0.35">
      <c r="A276" s="39">
        <v>46251.54415509259</v>
      </c>
      <c r="B276" t="s">
        <v>805</v>
      </c>
      <c r="C276">
        <v>134292</v>
      </c>
      <c r="D276" t="s">
        <v>2789</v>
      </c>
      <c r="E276" t="s">
        <v>2788</v>
      </c>
      <c r="F276" t="s">
        <v>2792</v>
      </c>
      <c r="G276" t="s">
        <v>1271</v>
      </c>
      <c r="H276" t="s">
        <v>2793</v>
      </c>
      <c r="I276">
        <v>3.5</v>
      </c>
      <c r="J276" t="s">
        <v>2794</v>
      </c>
      <c r="K276" t="s">
        <v>2795</v>
      </c>
    </row>
    <row r="277" spans="1:11" x14ac:dyDescent="0.35">
      <c r="A277" s="39">
        <v>46251.576018518521</v>
      </c>
      <c r="B277" t="s">
        <v>805</v>
      </c>
      <c r="C277">
        <v>134292</v>
      </c>
      <c r="D277" t="s">
        <v>2789</v>
      </c>
      <c r="E277" t="s">
        <v>2788</v>
      </c>
      <c r="F277" t="s">
        <v>2792</v>
      </c>
      <c r="G277" t="s">
        <v>1275</v>
      </c>
      <c r="H277" t="s">
        <v>2796</v>
      </c>
      <c r="I277">
        <v>3.5</v>
      </c>
      <c r="K277" t="s">
        <v>2797</v>
      </c>
    </row>
    <row r="278" spans="1:11" x14ac:dyDescent="0.35">
      <c r="A278" s="39">
        <v>46251.601041666669</v>
      </c>
      <c r="B278" t="s">
        <v>805</v>
      </c>
      <c r="C278">
        <v>134316</v>
      </c>
      <c r="D278" t="s">
        <v>2799</v>
      </c>
      <c r="E278" t="s">
        <v>2798</v>
      </c>
      <c r="F278" t="s">
        <v>2800</v>
      </c>
      <c r="G278" t="s">
        <v>1305</v>
      </c>
      <c r="H278" t="s">
        <v>2801</v>
      </c>
      <c r="I278" t="s">
        <v>1307</v>
      </c>
      <c r="J278" t="s">
        <v>1698</v>
      </c>
    </row>
    <row r="279" spans="1:11" x14ac:dyDescent="0.35">
      <c r="A279" s="39">
        <v>46251.602222222224</v>
      </c>
      <c r="B279" t="s">
        <v>805</v>
      </c>
      <c r="C279">
        <v>134316</v>
      </c>
      <c r="D279" t="s">
        <v>2799</v>
      </c>
      <c r="E279" t="s">
        <v>2798</v>
      </c>
      <c r="F279" t="s">
        <v>2800</v>
      </c>
      <c r="G279" t="s">
        <v>1268</v>
      </c>
      <c r="H279" t="s">
        <v>2802</v>
      </c>
      <c r="I279">
        <v>3.5</v>
      </c>
      <c r="J279" t="s">
        <v>1270</v>
      </c>
    </row>
    <row r="280" spans="1:11" x14ac:dyDescent="0.35">
      <c r="A280" s="39">
        <v>46251.608298611114</v>
      </c>
      <c r="B280" t="s">
        <v>805</v>
      </c>
      <c r="C280">
        <v>134316</v>
      </c>
      <c r="D280" t="s">
        <v>2799</v>
      </c>
      <c r="E280" t="s">
        <v>2798</v>
      </c>
      <c r="F280" t="s">
        <v>2800</v>
      </c>
      <c r="G280" t="s">
        <v>1271</v>
      </c>
      <c r="H280" t="s">
        <v>2803</v>
      </c>
      <c r="I280">
        <v>3.5</v>
      </c>
      <c r="J280" t="s">
        <v>2804</v>
      </c>
      <c r="K280" t="s">
        <v>2805</v>
      </c>
    </row>
    <row r="281" spans="1:11" x14ac:dyDescent="0.35">
      <c r="A281" s="39">
        <v>46251.609791666669</v>
      </c>
      <c r="B281" t="s">
        <v>805</v>
      </c>
      <c r="C281">
        <v>134316</v>
      </c>
      <c r="D281" t="s">
        <v>2799</v>
      </c>
      <c r="E281" t="s">
        <v>2798</v>
      </c>
      <c r="F281" t="s">
        <v>2800</v>
      </c>
      <c r="G281" t="s">
        <v>1450</v>
      </c>
      <c r="H281" t="s">
        <v>2806</v>
      </c>
      <c r="I281">
        <v>3.5</v>
      </c>
      <c r="K281" t="s">
        <v>2807</v>
      </c>
    </row>
    <row r="282" spans="1:11" x14ac:dyDescent="0.35">
      <c r="A282" s="39">
        <v>46251.610486111109</v>
      </c>
      <c r="B282" t="s">
        <v>805</v>
      </c>
      <c r="C282">
        <v>134316</v>
      </c>
      <c r="D282" t="s">
        <v>2799</v>
      </c>
      <c r="E282" t="s">
        <v>2798</v>
      </c>
      <c r="F282" t="s">
        <v>2800</v>
      </c>
      <c r="G282" t="s">
        <v>1766</v>
      </c>
      <c r="H282" t="s">
        <v>2808</v>
      </c>
      <c r="I282">
        <v>3.5</v>
      </c>
      <c r="K282" t="s">
        <v>1768</v>
      </c>
    </row>
    <row r="283" spans="1:11" ht="29" x14ac:dyDescent="0.35">
      <c r="A283" s="39">
        <v>46251.682615740741</v>
      </c>
      <c r="B283" t="s">
        <v>805</v>
      </c>
      <c r="C283">
        <v>134324</v>
      </c>
      <c r="D283" t="s">
        <v>2809</v>
      </c>
      <c r="E283" s="128" t="s">
        <v>2810</v>
      </c>
      <c r="G283" t="s">
        <v>1305</v>
      </c>
      <c r="H283" t="s">
        <v>2811</v>
      </c>
      <c r="I283" t="s">
        <v>1307</v>
      </c>
      <c r="J283" t="s">
        <v>1698</v>
      </c>
    </row>
    <row r="284" spans="1:11" x14ac:dyDescent="0.35">
      <c r="A284" s="39">
        <v>46251.692523148151</v>
      </c>
      <c r="B284" t="s">
        <v>805</v>
      </c>
      <c r="C284">
        <v>134324</v>
      </c>
      <c r="D284" t="s">
        <v>2809</v>
      </c>
      <c r="E284" t="s">
        <v>2812</v>
      </c>
      <c r="G284" t="s">
        <v>1268</v>
      </c>
      <c r="H284" t="s">
        <v>2813</v>
      </c>
      <c r="I284">
        <v>3.5</v>
      </c>
      <c r="J284" t="s">
        <v>1270</v>
      </c>
    </row>
    <row r="285" spans="1:11" x14ac:dyDescent="0.35">
      <c r="A285" s="39">
        <v>46251.705497685187</v>
      </c>
      <c r="B285" t="s">
        <v>805</v>
      </c>
      <c r="C285">
        <v>134324</v>
      </c>
      <c r="D285" t="s">
        <v>2809</v>
      </c>
      <c r="E285" t="s">
        <v>2812</v>
      </c>
      <c r="F285" t="s">
        <v>2814</v>
      </c>
      <c r="G285" t="s">
        <v>1271</v>
      </c>
      <c r="H285" t="s">
        <v>2815</v>
      </c>
      <c r="I285">
        <v>3.5</v>
      </c>
      <c r="J285" t="s">
        <v>2816</v>
      </c>
      <c r="K285" t="s">
        <v>2817</v>
      </c>
    </row>
    <row r="286" spans="1:11" x14ac:dyDescent="0.35">
      <c r="A286" s="39">
        <v>46251.724618055552</v>
      </c>
      <c r="B286" t="s">
        <v>805</v>
      </c>
      <c r="C286">
        <v>134324</v>
      </c>
      <c r="D286" t="s">
        <v>2809</v>
      </c>
      <c r="E286" t="s">
        <v>2812</v>
      </c>
      <c r="F286" t="s">
        <v>2814</v>
      </c>
      <c r="G286" t="s">
        <v>1450</v>
      </c>
      <c r="H286" t="s">
        <v>2818</v>
      </c>
      <c r="I286">
        <v>3.5</v>
      </c>
      <c r="K286" t="s">
        <v>2819</v>
      </c>
    </row>
    <row r="287" spans="1:11" x14ac:dyDescent="0.35">
      <c r="A287" s="39">
        <v>46251.725300925929</v>
      </c>
      <c r="B287" t="s">
        <v>805</v>
      </c>
      <c r="C287">
        <v>134324</v>
      </c>
      <c r="D287" t="s">
        <v>2809</v>
      </c>
      <c r="E287" t="s">
        <v>2812</v>
      </c>
      <c r="F287" t="s">
        <v>2814</v>
      </c>
      <c r="G287" t="s">
        <v>1766</v>
      </c>
      <c r="H287" t="s">
        <v>2820</v>
      </c>
      <c r="I287">
        <v>3.5</v>
      </c>
      <c r="K287" t="s">
        <v>1768</v>
      </c>
    </row>
    <row r="288" spans="1:11" x14ac:dyDescent="0.35">
      <c r="A288" s="39">
        <v>46251.817442129628</v>
      </c>
      <c r="B288" t="s">
        <v>805</v>
      </c>
      <c r="C288">
        <v>137237</v>
      </c>
      <c r="D288" t="s">
        <v>1616</v>
      </c>
      <c r="G288" t="s">
        <v>1268</v>
      </c>
      <c r="H288" t="s">
        <v>1618</v>
      </c>
      <c r="I288">
        <v>3.5</v>
      </c>
      <c r="J288" t="s">
        <v>1270</v>
      </c>
    </row>
    <row r="289" spans="1:11" x14ac:dyDescent="0.35">
      <c r="A289" s="39">
        <v>46251.839641203704</v>
      </c>
      <c r="B289" t="s">
        <v>805</v>
      </c>
      <c r="C289">
        <v>137237</v>
      </c>
      <c r="D289" t="s">
        <v>1616</v>
      </c>
      <c r="E289" t="s">
        <v>1617</v>
      </c>
      <c r="F289" t="s">
        <v>2821</v>
      </c>
      <c r="G289" t="s">
        <v>2822</v>
      </c>
      <c r="H289" t="s">
        <v>2823</v>
      </c>
      <c r="I289">
        <v>3.5</v>
      </c>
      <c r="K289" t="s">
        <v>2824</v>
      </c>
    </row>
    <row r="290" spans="1:11" x14ac:dyDescent="0.35">
      <c r="A290" s="39">
        <v>46251.866446759261</v>
      </c>
      <c r="B290" t="s">
        <v>805</v>
      </c>
      <c r="C290">
        <v>134356</v>
      </c>
      <c r="D290" t="s">
        <v>2826</v>
      </c>
      <c r="E290" t="s">
        <v>2825</v>
      </c>
      <c r="G290" t="s">
        <v>1305</v>
      </c>
      <c r="H290" t="s">
        <v>2827</v>
      </c>
      <c r="I290" t="s">
        <v>1307</v>
      </c>
      <c r="J290" t="s">
        <v>1698</v>
      </c>
    </row>
    <row r="291" spans="1:11" x14ac:dyDescent="0.35">
      <c r="A291" s="39">
        <v>46251.868784722225</v>
      </c>
      <c r="B291" t="s">
        <v>805</v>
      </c>
      <c r="C291">
        <v>134356</v>
      </c>
      <c r="D291" t="s">
        <v>2826</v>
      </c>
      <c r="E291" t="s">
        <v>2825</v>
      </c>
      <c r="G291" t="s">
        <v>1268</v>
      </c>
      <c r="H291" t="s">
        <v>2828</v>
      </c>
      <c r="I291">
        <v>3.5</v>
      </c>
      <c r="J291" t="s">
        <v>1270</v>
      </c>
    </row>
    <row r="292" spans="1:11" x14ac:dyDescent="0.35">
      <c r="A292" s="39">
        <v>46251.88385416667</v>
      </c>
      <c r="B292" t="s">
        <v>805</v>
      </c>
      <c r="C292">
        <v>134356</v>
      </c>
      <c r="D292" t="s">
        <v>2826</v>
      </c>
      <c r="E292" t="s">
        <v>2825</v>
      </c>
      <c r="F292" t="s">
        <v>2829</v>
      </c>
      <c r="G292" t="s">
        <v>1271</v>
      </c>
      <c r="H292" t="s">
        <v>2830</v>
      </c>
      <c r="I292">
        <v>3.5</v>
      </c>
      <c r="J292" t="s">
        <v>2831</v>
      </c>
      <c r="K292" t="s">
        <v>2832</v>
      </c>
    </row>
    <row r="293" spans="1:11" x14ac:dyDescent="0.35">
      <c r="A293" s="39">
        <v>46251.949178240742</v>
      </c>
      <c r="B293" t="s">
        <v>805</v>
      </c>
      <c r="C293">
        <v>134356</v>
      </c>
      <c r="D293" t="s">
        <v>2826</v>
      </c>
      <c r="E293" t="s">
        <v>2825</v>
      </c>
      <c r="F293" t="s">
        <v>2829</v>
      </c>
      <c r="G293" t="s">
        <v>1450</v>
      </c>
      <c r="H293" t="s">
        <v>2833</v>
      </c>
      <c r="I293">
        <v>3.5</v>
      </c>
      <c r="K293" t="s">
        <v>2834</v>
      </c>
    </row>
    <row r="294" spans="1:11" x14ac:dyDescent="0.35">
      <c r="A294" s="39">
        <v>46251.950243055559</v>
      </c>
      <c r="B294" t="s">
        <v>805</v>
      </c>
      <c r="C294">
        <v>134356</v>
      </c>
      <c r="D294" t="s">
        <v>2826</v>
      </c>
      <c r="E294" t="s">
        <v>2825</v>
      </c>
      <c r="F294" t="s">
        <v>2829</v>
      </c>
      <c r="G294" t="s">
        <v>1766</v>
      </c>
      <c r="H294" t="s">
        <v>2835</v>
      </c>
      <c r="I294">
        <v>3.5</v>
      </c>
      <c r="K294" t="s">
        <v>1768</v>
      </c>
    </row>
    <row r="295" spans="1:11" x14ac:dyDescent="0.35">
      <c r="A295" s="39">
        <v>46252.389965277776</v>
      </c>
      <c r="B295" t="s">
        <v>805</v>
      </c>
      <c r="C295">
        <v>134372</v>
      </c>
      <c r="D295" t="s">
        <v>2837</v>
      </c>
      <c r="E295" t="s">
        <v>2839</v>
      </c>
      <c r="G295" t="s">
        <v>1305</v>
      </c>
      <c r="H295" t="s">
        <v>2840</v>
      </c>
      <c r="I295" t="s">
        <v>1307</v>
      </c>
      <c r="J295" t="s">
        <v>1698</v>
      </c>
    </row>
    <row r="296" spans="1:11" x14ac:dyDescent="0.35">
      <c r="A296" s="39">
        <v>46252.391388888886</v>
      </c>
      <c r="B296" t="s">
        <v>805</v>
      </c>
      <c r="C296">
        <v>134372</v>
      </c>
      <c r="D296" t="s">
        <v>2837</v>
      </c>
      <c r="E296" t="s">
        <v>2839</v>
      </c>
      <c r="G296" t="s">
        <v>1268</v>
      </c>
      <c r="H296" t="s">
        <v>2841</v>
      </c>
      <c r="I296">
        <v>3.5</v>
      </c>
      <c r="J296" t="s">
        <v>1270</v>
      </c>
    </row>
    <row r="297" spans="1:11" x14ac:dyDescent="0.35">
      <c r="A297" s="39">
        <v>46252.410752314812</v>
      </c>
      <c r="B297" t="s">
        <v>805</v>
      </c>
      <c r="C297">
        <v>134372</v>
      </c>
      <c r="D297" t="s">
        <v>2837</v>
      </c>
      <c r="E297" t="s">
        <v>2839</v>
      </c>
      <c r="F297" t="s">
        <v>2842</v>
      </c>
      <c r="G297" t="s">
        <v>1271</v>
      </c>
      <c r="H297" t="s">
        <v>2843</v>
      </c>
      <c r="I297">
        <v>3.5</v>
      </c>
      <c r="J297" t="s">
        <v>2844</v>
      </c>
      <c r="K297" t="s">
        <v>2845</v>
      </c>
    </row>
    <row r="298" spans="1:11" x14ac:dyDescent="0.35">
      <c r="A298" s="39">
        <v>46252.483796296299</v>
      </c>
      <c r="B298" t="s">
        <v>805</v>
      </c>
      <c r="C298">
        <v>134372</v>
      </c>
      <c r="D298" t="s">
        <v>2837</v>
      </c>
      <c r="E298" t="s">
        <v>2838</v>
      </c>
      <c r="F298" t="s">
        <v>2842</v>
      </c>
      <c r="G298" t="s">
        <v>1275</v>
      </c>
      <c r="H298" t="s">
        <v>2848</v>
      </c>
      <c r="I298">
        <v>3.5</v>
      </c>
      <c r="K298" t="s">
        <v>2849</v>
      </c>
    </row>
    <row r="299" spans="1:11" x14ac:dyDescent="0.35">
      <c r="A299" s="39">
        <v>46252.506296296298</v>
      </c>
      <c r="B299" t="s">
        <v>805</v>
      </c>
      <c r="C299">
        <v>134372</v>
      </c>
      <c r="D299" t="s">
        <v>2837</v>
      </c>
      <c r="E299" t="s">
        <v>2838</v>
      </c>
      <c r="F299" t="s">
        <v>2842</v>
      </c>
      <c r="G299" t="s">
        <v>1450</v>
      </c>
      <c r="H299" t="s">
        <v>2850</v>
      </c>
      <c r="I299">
        <v>3.5</v>
      </c>
      <c r="K299" t="s">
        <v>2849</v>
      </c>
    </row>
    <row r="300" spans="1:11" x14ac:dyDescent="0.35">
      <c r="A300" s="39">
        <v>46252.506828703707</v>
      </c>
      <c r="B300" t="s">
        <v>805</v>
      </c>
      <c r="C300">
        <v>134372</v>
      </c>
      <c r="D300" t="s">
        <v>2837</v>
      </c>
      <c r="E300" t="s">
        <v>2838</v>
      </c>
      <c r="F300" t="s">
        <v>2842</v>
      </c>
      <c r="G300" t="s">
        <v>1766</v>
      </c>
      <c r="H300" t="s">
        <v>2851</v>
      </c>
      <c r="I300">
        <v>3.5</v>
      </c>
      <c r="K300" t="s">
        <v>1768</v>
      </c>
    </row>
    <row r="301" spans="1:11" x14ac:dyDescent="0.35">
      <c r="A301" s="39">
        <v>46252.540266203701</v>
      </c>
      <c r="B301" t="s">
        <v>805</v>
      </c>
      <c r="C301">
        <v>134388</v>
      </c>
      <c r="D301" t="s">
        <v>2852</v>
      </c>
      <c r="E301" t="s">
        <v>2853</v>
      </c>
      <c r="G301" t="s">
        <v>1305</v>
      </c>
      <c r="H301" t="s">
        <v>2854</v>
      </c>
      <c r="I301" t="s">
        <v>1307</v>
      </c>
      <c r="J301" t="s">
        <v>1698</v>
      </c>
    </row>
    <row r="302" spans="1:11" x14ac:dyDescent="0.35">
      <c r="A302" s="39">
        <v>46252.550324074073</v>
      </c>
      <c r="B302" t="s">
        <v>805</v>
      </c>
      <c r="C302">
        <v>134388</v>
      </c>
      <c r="D302" t="s">
        <v>2852</v>
      </c>
      <c r="E302" t="s">
        <v>2853</v>
      </c>
      <c r="G302" t="s">
        <v>1268</v>
      </c>
      <c r="H302" t="s">
        <v>2855</v>
      </c>
      <c r="I302">
        <v>3.5</v>
      </c>
      <c r="J302" t="s">
        <v>1270</v>
      </c>
    </row>
    <row r="303" spans="1:11" x14ac:dyDescent="0.35">
      <c r="A303" s="39">
        <v>46252.554328703707</v>
      </c>
      <c r="B303" t="s">
        <v>805</v>
      </c>
      <c r="C303">
        <v>134388</v>
      </c>
      <c r="D303" t="s">
        <v>2852</v>
      </c>
      <c r="E303" t="s">
        <v>2853</v>
      </c>
      <c r="F303" t="s">
        <v>2856</v>
      </c>
      <c r="G303" t="s">
        <v>1271</v>
      </c>
      <c r="H303" t="s">
        <v>2857</v>
      </c>
      <c r="I303">
        <v>3.5</v>
      </c>
      <c r="J303" t="s">
        <v>2858</v>
      </c>
      <c r="K303" t="s">
        <v>2859</v>
      </c>
    </row>
    <row r="304" spans="1:11" x14ac:dyDescent="0.35">
      <c r="A304" s="39">
        <v>46252.56422453704</v>
      </c>
      <c r="B304" t="s">
        <v>805</v>
      </c>
      <c r="C304">
        <v>134388</v>
      </c>
      <c r="D304" t="s">
        <v>2852</v>
      </c>
      <c r="E304" t="s">
        <v>2853</v>
      </c>
      <c r="F304" t="s">
        <v>2856</v>
      </c>
      <c r="G304" t="s">
        <v>1275</v>
      </c>
      <c r="H304" t="s">
        <v>2860</v>
      </c>
      <c r="I304">
        <v>3.5</v>
      </c>
      <c r="K304" t="s">
        <v>2861</v>
      </c>
    </row>
    <row r="305" spans="1:11" x14ac:dyDescent="0.35">
      <c r="A305" s="39">
        <v>46252.571631944447</v>
      </c>
      <c r="B305" t="s">
        <v>805</v>
      </c>
      <c r="C305">
        <v>134412</v>
      </c>
      <c r="D305" t="s">
        <v>2863</v>
      </c>
      <c r="E305" t="s">
        <v>2862</v>
      </c>
      <c r="G305" t="s">
        <v>1305</v>
      </c>
      <c r="H305" t="s">
        <v>2864</v>
      </c>
      <c r="I305" t="s">
        <v>1307</v>
      </c>
      <c r="J305" t="s">
        <v>1698</v>
      </c>
    </row>
    <row r="306" spans="1:11" x14ac:dyDescent="0.35">
      <c r="A306" s="39">
        <v>46252.572743055556</v>
      </c>
      <c r="B306" t="s">
        <v>805</v>
      </c>
      <c r="C306">
        <v>134412</v>
      </c>
      <c r="D306" t="s">
        <v>2863</v>
      </c>
      <c r="E306" t="s">
        <v>2862</v>
      </c>
      <c r="G306" t="s">
        <v>1268</v>
      </c>
      <c r="H306" t="s">
        <v>2865</v>
      </c>
      <c r="I306">
        <v>3.5</v>
      </c>
      <c r="J306" t="s">
        <v>1270</v>
      </c>
    </row>
    <row r="307" spans="1:11" x14ac:dyDescent="0.35">
      <c r="A307" s="39">
        <v>46252.593310185184</v>
      </c>
      <c r="B307" t="s">
        <v>805</v>
      </c>
      <c r="C307">
        <v>134412</v>
      </c>
      <c r="D307" t="s">
        <v>2863</v>
      </c>
      <c r="E307" t="s">
        <v>2862</v>
      </c>
      <c r="F307" t="s">
        <v>2866</v>
      </c>
      <c r="G307" t="s">
        <v>1271</v>
      </c>
      <c r="H307" t="s">
        <v>2867</v>
      </c>
      <c r="I307">
        <v>3.5</v>
      </c>
      <c r="J307" t="s">
        <v>2868</v>
      </c>
      <c r="K307" t="s">
        <v>2869</v>
      </c>
    </row>
    <row r="308" spans="1:11" x14ac:dyDescent="0.35">
      <c r="A308" s="39">
        <v>46252.614189814813</v>
      </c>
      <c r="B308" t="s">
        <v>805</v>
      </c>
      <c r="C308">
        <v>134412</v>
      </c>
      <c r="D308" t="s">
        <v>2863</v>
      </c>
      <c r="E308" t="s">
        <v>2862</v>
      </c>
      <c r="F308" t="s">
        <v>2866</v>
      </c>
      <c r="G308" t="s">
        <v>1271</v>
      </c>
      <c r="H308" t="s">
        <v>2867</v>
      </c>
      <c r="I308">
        <v>3.5</v>
      </c>
      <c r="J308" t="s">
        <v>2871</v>
      </c>
      <c r="K308" t="s">
        <v>2869</v>
      </c>
    </row>
    <row r="309" spans="1:11" x14ac:dyDescent="0.35">
      <c r="A309" s="39">
        <v>46252.626608796294</v>
      </c>
      <c r="B309" t="s">
        <v>805</v>
      </c>
      <c r="C309">
        <v>134412</v>
      </c>
      <c r="D309" t="s">
        <v>2863</v>
      </c>
      <c r="E309" t="s">
        <v>2862</v>
      </c>
      <c r="F309" t="s">
        <v>2866</v>
      </c>
      <c r="G309" t="s">
        <v>1275</v>
      </c>
      <c r="H309" t="s">
        <v>2872</v>
      </c>
      <c r="I309">
        <v>3.5</v>
      </c>
      <c r="K309" t="s">
        <v>2873</v>
      </c>
    </row>
    <row r="310" spans="1:11" x14ac:dyDescent="0.35">
      <c r="A310" s="39">
        <v>46252.63449074074</v>
      </c>
      <c r="B310" t="s">
        <v>805</v>
      </c>
      <c r="C310">
        <v>134436</v>
      </c>
      <c r="D310" t="s">
        <v>2874</v>
      </c>
      <c r="E310" t="s">
        <v>2875</v>
      </c>
      <c r="G310" t="s">
        <v>1305</v>
      </c>
      <c r="H310" t="s">
        <v>2876</v>
      </c>
      <c r="I310" t="s">
        <v>1307</v>
      </c>
      <c r="J310" t="s">
        <v>1698</v>
      </c>
    </row>
    <row r="311" spans="1:11" x14ac:dyDescent="0.35">
      <c r="A311" s="39">
        <v>46252.636817129627</v>
      </c>
      <c r="B311" t="s">
        <v>805</v>
      </c>
      <c r="C311">
        <v>134436</v>
      </c>
      <c r="D311" t="s">
        <v>2874</v>
      </c>
      <c r="E311" t="s">
        <v>2875</v>
      </c>
      <c r="G311" t="s">
        <v>1268</v>
      </c>
      <c r="H311" t="s">
        <v>2877</v>
      </c>
      <c r="I311">
        <v>3.5</v>
      </c>
      <c r="J311" t="s">
        <v>1270</v>
      </c>
    </row>
    <row r="312" spans="1:11" x14ac:dyDescent="0.35">
      <c r="A312" s="39">
        <v>46252.644930555558</v>
      </c>
      <c r="B312" t="s">
        <v>805</v>
      </c>
      <c r="C312">
        <v>134436</v>
      </c>
      <c r="D312" t="s">
        <v>2874</v>
      </c>
      <c r="E312" t="s">
        <v>2875</v>
      </c>
      <c r="F312" t="s">
        <v>2878</v>
      </c>
      <c r="G312" t="s">
        <v>1271</v>
      </c>
      <c r="H312" t="s">
        <v>2879</v>
      </c>
      <c r="I312">
        <v>3.5</v>
      </c>
      <c r="J312" t="s">
        <v>2880</v>
      </c>
      <c r="K312" t="s">
        <v>2881</v>
      </c>
    </row>
    <row r="313" spans="1:11" x14ac:dyDescent="0.35">
      <c r="A313" s="39">
        <v>46252.662824074076</v>
      </c>
      <c r="B313" t="s">
        <v>805</v>
      </c>
      <c r="C313">
        <v>134436</v>
      </c>
      <c r="D313" t="s">
        <v>2874</v>
      </c>
      <c r="E313" t="s">
        <v>2875</v>
      </c>
      <c r="F313" t="s">
        <v>2878</v>
      </c>
      <c r="G313" t="s">
        <v>1271</v>
      </c>
      <c r="H313" t="s">
        <v>2879</v>
      </c>
      <c r="I313">
        <v>3.5</v>
      </c>
      <c r="J313" t="s">
        <v>2882</v>
      </c>
      <c r="K313" t="s">
        <v>2881</v>
      </c>
    </row>
    <row r="314" spans="1:11" x14ac:dyDescent="0.35">
      <c r="A314" s="39">
        <v>46252.666550925926</v>
      </c>
      <c r="B314" t="s">
        <v>805</v>
      </c>
      <c r="C314">
        <v>134436</v>
      </c>
      <c r="D314" t="s">
        <v>2874</v>
      </c>
      <c r="E314" t="s">
        <v>2875</v>
      </c>
      <c r="F314" t="s">
        <v>2878</v>
      </c>
      <c r="G314" t="s">
        <v>1450</v>
      </c>
      <c r="H314" t="s">
        <v>2883</v>
      </c>
      <c r="I314">
        <v>3.5</v>
      </c>
      <c r="K314" t="s">
        <v>2884</v>
      </c>
    </row>
    <row r="315" spans="1:11" x14ac:dyDescent="0.35">
      <c r="A315" s="39">
        <v>46252.667581018519</v>
      </c>
      <c r="B315" t="s">
        <v>805</v>
      </c>
      <c r="C315">
        <v>134436</v>
      </c>
      <c r="D315" t="s">
        <v>2874</v>
      </c>
      <c r="E315" t="s">
        <v>2875</v>
      </c>
      <c r="F315" t="s">
        <v>2878</v>
      </c>
      <c r="G315" t="s">
        <v>1766</v>
      </c>
      <c r="H315" t="s">
        <v>2885</v>
      </c>
      <c r="I315">
        <v>3.5</v>
      </c>
      <c r="K315" t="s">
        <v>1768</v>
      </c>
    </row>
    <row r="316" spans="1:11" x14ac:dyDescent="0.35">
      <c r="A316" s="39">
        <v>46252.730185185188</v>
      </c>
      <c r="B316" t="s">
        <v>805</v>
      </c>
      <c r="C316">
        <v>137237</v>
      </c>
      <c r="D316" t="s">
        <v>1616</v>
      </c>
      <c r="E316" t="s">
        <v>1617</v>
      </c>
      <c r="G316" t="s">
        <v>1268</v>
      </c>
      <c r="H316" t="s">
        <v>1618</v>
      </c>
      <c r="I316">
        <v>3.5</v>
      </c>
      <c r="J316" t="s">
        <v>1270</v>
      </c>
    </row>
    <row r="317" spans="1:11" x14ac:dyDescent="0.35">
      <c r="A317" s="39">
        <v>46252.771967592591</v>
      </c>
      <c r="B317" t="s">
        <v>805</v>
      </c>
      <c r="C317">
        <v>134436</v>
      </c>
      <c r="D317" t="s">
        <v>2874</v>
      </c>
      <c r="E317" t="s">
        <v>2875</v>
      </c>
      <c r="G317" t="s">
        <v>1268</v>
      </c>
      <c r="H317" t="s">
        <v>2877</v>
      </c>
      <c r="I317">
        <v>3.5</v>
      </c>
      <c r="J317" t="s">
        <v>1270</v>
      </c>
    </row>
    <row r="318" spans="1:11" x14ac:dyDescent="0.35">
      <c r="A318" s="39">
        <v>46252.778414351851</v>
      </c>
      <c r="B318" t="s">
        <v>805</v>
      </c>
      <c r="C318">
        <v>134436</v>
      </c>
      <c r="D318" t="s">
        <v>2874</v>
      </c>
      <c r="E318" t="s">
        <v>2875</v>
      </c>
      <c r="F318" t="s">
        <v>2886</v>
      </c>
      <c r="G318" t="s">
        <v>1275</v>
      </c>
      <c r="H318" t="s">
        <v>2887</v>
      </c>
      <c r="I318">
        <v>3.5</v>
      </c>
      <c r="K318" t="s">
        <v>2884</v>
      </c>
    </row>
    <row r="319" spans="1:11" x14ac:dyDescent="0.35">
      <c r="A319" s="39">
        <v>46252.786261574074</v>
      </c>
      <c r="B319" t="s">
        <v>805</v>
      </c>
      <c r="C319">
        <v>134444</v>
      </c>
      <c r="D319" t="s">
        <v>2888</v>
      </c>
      <c r="E319" t="s">
        <v>2889</v>
      </c>
      <c r="G319" t="s">
        <v>1305</v>
      </c>
      <c r="H319" t="s">
        <v>2890</v>
      </c>
      <c r="I319" t="s">
        <v>1307</v>
      </c>
      <c r="J319" t="s">
        <v>1698</v>
      </c>
    </row>
    <row r="320" spans="1:11" x14ac:dyDescent="0.35">
      <c r="A320" s="39">
        <v>46252.799317129633</v>
      </c>
      <c r="B320" t="s">
        <v>805</v>
      </c>
      <c r="C320">
        <v>134444</v>
      </c>
      <c r="D320" t="s">
        <v>2888</v>
      </c>
      <c r="E320" t="s">
        <v>2889</v>
      </c>
      <c r="G320" t="s">
        <v>1268</v>
      </c>
      <c r="H320" t="s">
        <v>2891</v>
      </c>
      <c r="I320">
        <v>3.5</v>
      </c>
      <c r="J320" t="s">
        <v>1270</v>
      </c>
    </row>
    <row r="321" spans="1:11" x14ac:dyDescent="0.35">
      <c r="A321" s="39">
        <v>46252.836261574077</v>
      </c>
      <c r="B321" t="s">
        <v>805</v>
      </c>
      <c r="C321">
        <v>134444</v>
      </c>
      <c r="D321" t="s">
        <v>2888</v>
      </c>
      <c r="E321" t="s">
        <v>2889</v>
      </c>
      <c r="F321" t="s">
        <v>2892</v>
      </c>
      <c r="G321" t="s">
        <v>1271</v>
      </c>
      <c r="H321" t="s">
        <v>2893</v>
      </c>
      <c r="I321">
        <v>3.5</v>
      </c>
      <c r="J321" t="s">
        <v>2894</v>
      </c>
      <c r="K321" t="s">
        <v>2895</v>
      </c>
    </row>
    <row r="322" spans="1:11" x14ac:dyDescent="0.35">
      <c r="A322" s="39">
        <v>46252.876736111109</v>
      </c>
      <c r="B322" t="s">
        <v>805</v>
      </c>
      <c r="C322">
        <v>134444</v>
      </c>
      <c r="D322" t="s">
        <v>2888</v>
      </c>
      <c r="E322" t="s">
        <v>2889</v>
      </c>
      <c r="F322" t="s">
        <v>2892</v>
      </c>
      <c r="G322" t="s">
        <v>1275</v>
      </c>
      <c r="H322" t="s">
        <v>2897</v>
      </c>
      <c r="I322">
        <v>3.5</v>
      </c>
      <c r="K322" t="s">
        <v>2898</v>
      </c>
    </row>
    <row r="323" spans="1:11" x14ac:dyDescent="0.35">
      <c r="A323" s="39">
        <v>46253.417858796296</v>
      </c>
      <c r="B323" t="s">
        <v>805</v>
      </c>
      <c r="C323">
        <v>134508</v>
      </c>
      <c r="D323" t="s">
        <v>2900</v>
      </c>
      <c r="E323" t="s">
        <v>2899</v>
      </c>
      <c r="F323" t="s">
        <v>2901</v>
      </c>
      <c r="G323" t="s">
        <v>1305</v>
      </c>
      <c r="H323" t="s">
        <v>2902</v>
      </c>
      <c r="I323" t="s">
        <v>1307</v>
      </c>
      <c r="J323" t="s">
        <v>1698</v>
      </c>
    </row>
    <row r="324" spans="1:11" x14ac:dyDescent="0.35">
      <c r="A324" s="39">
        <v>46253.419733796298</v>
      </c>
      <c r="B324" t="s">
        <v>805</v>
      </c>
      <c r="C324">
        <v>134508</v>
      </c>
      <c r="D324" t="s">
        <v>2900</v>
      </c>
      <c r="E324" t="s">
        <v>2899</v>
      </c>
      <c r="F324" t="s">
        <v>2901</v>
      </c>
      <c r="G324" t="s">
        <v>1268</v>
      </c>
      <c r="H324" t="s">
        <v>2903</v>
      </c>
      <c r="I324">
        <v>3.5</v>
      </c>
      <c r="J324" t="s">
        <v>1270</v>
      </c>
    </row>
    <row r="325" spans="1:11" x14ac:dyDescent="0.35">
      <c r="A325" s="39">
        <v>46253.426307870373</v>
      </c>
      <c r="B325" t="s">
        <v>805</v>
      </c>
      <c r="C325">
        <v>134508</v>
      </c>
      <c r="D325" t="s">
        <v>2900</v>
      </c>
      <c r="E325" t="s">
        <v>2899</v>
      </c>
      <c r="F325" t="s">
        <v>2901</v>
      </c>
      <c r="G325" t="s">
        <v>1271</v>
      </c>
      <c r="H325" t="s">
        <v>2904</v>
      </c>
      <c r="I325">
        <v>3.5</v>
      </c>
      <c r="J325" t="s">
        <v>2905</v>
      </c>
      <c r="K325" t="s">
        <v>2906</v>
      </c>
    </row>
    <row r="326" spans="1:11" x14ac:dyDescent="0.35">
      <c r="A326" s="39">
        <v>46253.442060185182</v>
      </c>
      <c r="B326" t="s">
        <v>805</v>
      </c>
      <c r="C326">
        <v>134508</v>
      </c>
      <c r="D326" t="s">
        <v>2900</v>
      </c>
      <c r="E326" t="s">
        <v>2899</v>
      </c>
      <c r="F326" t="s">
        <v>2901</v>
      </c>
      <c r="G326" t="s">
        <v>1275</v>
      </c>
      <c r="H326" t="s">
        <v>2907</v>
      </c>
      <c r="I326">
        <v>3.5</v>
      </c>
      <c r="K326" t="s">
        <v>2908</v>
      </c>
    </row>
    <row r="327" spans="1:11" x14ac:dyDescent="0.35">
      <c r="A327" s="39">
        <v>46253.45548611111</v>
      </c>
      <c r="B327" t="s">
        <v>805</v>
      </c>
      <c r="C327">
        <v>135984</v>
      </c>
      <c r="E327" t="s">
        <v>2909</v>
      </c>
      <c r="G327" t="s">
        <v>1305</v>
      </c>
      <c r="H327" t="s">
        <v>2910</v>
      </c>
      <c r="I327" t="s">
        <v>1307</v>
      </c>
      <c r="J327" t="s">
        <v>1698</v>
      </c>
    </row>
    <row r="328" spans="1:11" x14ac:dyDescent="0.35">
      <c r="A328" s="39">
        <v>46253.459120370368</v>
      </c>
      <c r="B328" t="s">
        <v>805</v>
      </c>
      <c r="C328">
        <v>135984</v>
      </c>
      <c r="D328" t="s">
        <v>2911</v>
      </c>
      <c r="E328" t="s">
        <v>2909</v>
      </c>
      <c r="G328" t="s">
        <v>1268</v>
      </c>
      <c r="H328" t="s">
        <v>2912</v>
      </c>
      <c r="I328">
        <v>3.5</v>
      </c>
      <c r="J328" t="s">
        <v>1270</v>
      </c>
    </row>
    <row r="329" spans="1:11" x14ac:dyDescent="0.35">
      <c r="A329" s="39">
        <v>46253.466805555552</v>
      </c>
      <c r="B329" t="s">
        <v>805</v>
      </c>
      <c r="C329">
        <v>135984</v>
      </c>
      <c r="D329" t="s">
        <v>2911</v>
      </c>
      <c r="E329" t="s">
        <v>2909</v>
      </c>
      <c r="F329" t="s">
        <v>2913</v>
      </c>
      <c r="G329" t="s">
        <v>1271</v>
      </c>
      <c r="H329" t="s">
        <v>2914</v>
      </c>
      <c r="I329">
        <v>3.5</v>
      </c>
      <c r="J329" t="s">
        <v>2915</v>
      </c>
      <c r="K329" t="s">
        <v>2916</v>
      </c>
    </row>
    <row r="330" spans="1:11" x14ac:dyDescent="0.35">
      <c r="A330" s="39">
        <v>46253.471805555557</v>
      </c>
      <c r="B330" t="s">
        <v>805</v>
      </c>
      <c r="C330">
        <v>135984</v>
      </c>
      <c r="D330" t="s">
        <v>2911</v>
      </c>
      <c r="E330" t="s">
        <v>2909</v>
      </c>
      <c r="F330" t="s">
        <v>2913</v>
      </c>
      <c r="G330" t="s">
        <v>1450</v>
      </c>
      <c r="H330" t="s">
        <v>2918</v>
      </c>
      <c r="I330">
        <v>3.5</v>
      </c>
      <c r="K330" t="s">
        <v>2919</v>
      </c>
    </row>
    <row r="331" spans="1:11" x14ac:dyDescent="0.35">
      <c r="A331" s="39">
        <v>46253.472488425927</v>
      </c>
      <c r="B331" t="s">
        <v>805</v>
      </c>
      <c r="C331">
        <v>135984</v>
      </c>
      <c r="D331" t="s">
        <v>2911</v>
      </c>
      <c r="E331" t="s">
        <v>2909</v>
      </c>
      <c r="F331" t="s">
        <v>2913</v>
      </c>
      <c r="G331" t="s">
        <v>1766</v>
      </c>
      <c r="H331" t="s">
        <v>2920</v>
      </c>
      <c r="I331">
        <v>3.5</v>
      </c>
      <c r="K331" t="s">
        <v>1768</v>
      </c>
    </row>
    <row r="332" spans="1:11" x14ac:dyDescent="0.35">
      <c r="A332" s="39">
        <v>46253.503668981481</v>
      </c>
      <c r="B332" t="s">
        <v>805</v>
      </c>
      <c r="C332">
        <v>134556</v>
      </c>
      <c r="D332" t="s">
        <v>2922</v>
      </c>
      <c r="E332" t="s">
        <v>2921</v>
      </c>
      <c r="G332" t="s">
        <v>1305</v>
      </c>
      <c r="H332" t="s">
        <v>2923</v>
      </c>
      <c r="I332" t="s">
        <v>1307</v>
      </c>
      <c r="J332" t="s">
        <v>1698</v>
      </c>
    </row>
    <row r="333" spans="1:11" x14ac:dyDescent="0.35">
      <c r="A333" s="39">
        <v>46253.505231481482</v>
      </c>
      <c r="B333" t="s">
        <v>805</v>
      </c>
      <c r="C333">
        <v>134556</v>
      </c>
      <c r="D333" t="s">
        <v>2922</v>
      </c>
      <c r="E333" t="s">
        <v>2921</v>
      </c>
      <c r="G333" t="s">
        <v>1268</v>
      </c>
      <c r="H333" t="s">
        <v>2924</v>
      </c>
      <c r="I333">
        <v>3.5</v>
      </c>
      <c r="J333" t="s">
        <v>1270</v>
      </c>
    </row>
    <row r="334" spans="1:11" x14ac:dyDescent="0.35">
      <c r="A334" s="39">
        <v>46253.51053240741</v>
      </c>
      <c r="B334" t="s">
        <v>805</v>
      </c>
      <c r="C334">
        <v>134556</v>
      </c>
      <c r="D334" t="s">
        <v>2922</v>
      </c>
      <c r="E334" t="s">
        <v>2921</v>
      </c>
      <c r="F334" t="s">
        <v>2925</v>
      </c>
      <c r="G334" t="s">
        <v>1271</v>
      </c>
      <c r="H334" t="s">
        <v>2926</v>
      </c>
      <c r="I334">
        <v>3.5</v>
      </c>
      <c r="J334" t="s">
        <v>2927</v>
      </c>
      <c r="K334" t="s">
        <v>2928</v>
      </c>
    </row>
    <row r="335" spans="1:11" x14ac:dyDescent="0.35">
      <c r="A335" s="39">
        <v>46253.51635416667</v>
      </c>
      <c r="B335" t="s">
        <v>805</v>
      </c>
      <c r="C335">
        <v>134556</v>
      </c>
      <c r="D335" t="s">
        <v>2922</v>
      </c>
      <c r="E335" t="s">
        <v>2921</v>
      </c>
      <c r="F335" t="s">
        <v>2925</v>
      </c>
      <c r="G335" t="s">
        <v>1450</v>
      </c>
      <c r="H335" t="s">
        <v>2929</v>
      </c>
      <c r="I335">
        <v>3.5</v>
      </c>
      <c r="K335" t="s">
        <v>2930</v>
      </c>
    </row>
    <row r="336" spans="1:11" x14ac:dyDescent="0.35">
      <c r="A336" s="39">
        <v>46253.517175925925</v>
      </c>
      <c r="B336" t="s">
        <v>805</v>
      </c>
      <c r="C336">
        <v>134556</v>
      </c>
      <c r="D336" t="s">
        <v>2922</v>
      </c>
      <c r="E336" t="s">
        <v>2921</v>
      </c>
      <c r="F336" t="s">
        <v>2925</v>
      </c>
      <c r="G336" t="s">
        <v>1766</v>
      </c>
      <c r="H336" t="s">
        <v>2931</v>
      </c>
      <c r="I336">
        <v>3.5</v>
      </c>
      <c r="K336" t="s">
        <v>1768</v>
      </c>
    </row>
    <row r="337" spans="1:11" x14ac:dyDescent="0.35">
      <c r="A337" s="39">
        <v>46253.565520833334</v>
      </c>
      <c r="B337" t="s">
        <v>805</v>
      </c>
      <c r="C337">
        <v>137083</v>
      </c>
      <c r="D337" t="s">
        <v>2934</v>
      </c>
      <c r="E337" t="s">
        <v>2932</v>
      </c>
      <c r="F337" t="s">
        <v>2933</v>
      </c>
      <c r="G337" t="s">
        <v>1305</v>
      </c>
      <c r="H337" t="s">
        <v>2935</v>
      </c>
      <c r="I337" t="s">
        <v>1307</v>
      </c>
      <c r="J337" t="s">
        <v>1698</v>
      </c>
    </row>
    <row r="338" spans="1:11" x14ac:dyDescent="0.35">
      <c r="A338" s="39">
        <v>46253.567199074074</v>
      </c>
      <c r="B338" t="s">
        <v>805</v>
      </c>
      <c r="C338">
        <v>137083</v>
      </c>
      <c r="D338" t="s">
        <v>2934</v>
      </c>
      <c r="E338" t="s">
        <v>2932</v>
      </c>
      <c r="F338" t="s">
        <v>2933</v>
      </c>
      <c r="G338" t="s">
        <v>1268</v>
      </c>
      <c r="H338" t="s">
        <v>2936</v>
      </c>
      <c r="I338">
        <v>3.5</v>
      </c>
      <c r="J338" t="s">
        <v>1270</v>
      </c>
    </row>
    <row r="339" spans="1:11" x14ac:dyDescent="0.35">
      <c r="A339" s="39">
        <v>46253.569768518515</v>
      </c>
      <c r="B339" t="s">
        <v>805</v>
      </c>
      <c r="C339">
        <v>137083</v>
      </c>
      <c r="D339" t="s">
        <v>2934</v>
      </c>
      <c r="E339" t="s">
        <v>2932</v>
      </c>
      <c r="F339" t="s">
        <v>2933</v>
      </c>
      <c r="G339" t="s">
        <v>1271</v>
      </c>
      <c r="H339" t="s">
        <v>2937</v>
      </c>
      <c r="I339">
        <v>3.5</v>
      </c>
      <c r="J339" t="s">
        <v>2938</v>
      </c>
      <c r="K339" t="s">
        <v>2939</v>
      </c>
    </row>
    <row r="340" spans="1:11" x14ac:dyDescent="0.35">
      <c r="A340" s="39">
        <v>46253.583599537036</v>
      </c>
      <c r="B340" t="s">
        <v>805</v>
      </c>
      <c r="C340">
        <v>137083</v>
      </c>
      <c r="D340" t="s">
        <v>2934</v>
      </c>
      <c r="E340" t="s">
        <v>2932</v>
      </c>
      <c r="F340" t="s">
        <v>2933</v>
      </c>
      <c r="G340" t="s">
        <v>1275</v>
      </c>
      <c r="H340" t="s">
        <v>2940</v>
      </c>
      <c r="I340">
        <v>3.5</v>
      </c>
      <c r="K340" t="s">
        <v>2941</v>
      </c>
    </row>
    <row r="341" spans="1:11" x14ac:dyDescent="0.35">
      <c r="A341" s="39">
        <v>46253.637546296297</v>
      </c>
      <c r="B341" t="s">
        <v>805</v>
      </c>
      <c r="C341">
        <v>137323</v>
      </c>
      <c r="D341" t="s">
        <v>2943</v>
      </c>
      <c r="E341" t="s">
        <v>2944</v>
      </c>
      <c r="G341" t="s">
        <v>1305</v>
      </c>
      <c r="H341" t="s">
        <v>2945</v>
      </c>
      <c r="I341" t="s">
        <v>1307</v>
      </c>
      <c r="J341" t="s">
        <v>1698</v>
      </c>
    </row>
    <row r="342" spans="1:11" x14ac:dyDescent="0.35">
      <c r="A342" s="39">
        <v>46253.641655092593</v>
      </c>
      <c r="B342" t="s">
        <v>805</v>
      </c>
      <c r="C342">
        <v>137323</v>
      </c>
      <c r="D342" t="s">
        <v>2943</v>
      </c>
      <c r="E342" t="s">
        <v>2946</v>
      </c>
      <c r="G342" t="s">
        <v>1268</v>
      </c>
      <c r="H342" t="s">
        <v>2947</v>
      </c>
      <c r="I342">
        <v>3.5</v>
      </c>
      <c r="J342" t="s">
        <v>1270</v>
      </c>
    </row>
    <row r="343" spans="1:11" x14ac:dyDescent="0.35">
      <c r="A343" s="39">
        <v>46253.68241898148</v>
      </c>
      <c r="B343" t="s">
        <v>805</v>
      </c>
      <c r="C343">
        <v>137323</v>
      </c>
      <c r="D343" t="s">
        <v>2943</v>
      </c>
      <c r="E343" t="s">
        <v>2946</v>
      </c>
      <c r="G343" t="s">
        <v>1271</v>
      </c>
      <c r="H343" t="s">
        <v>2948</v>
      </c>
      <c r="I343">
        <v>3.5</v>
      </c>
      <c r="J343" t="s">
        <v>2949</v>
      </c>
      <c r="K343" t="s">
        <v>2950</v>
      </c>
    </row>
    <row r="344" spans="1:11" x14ac:dyDescent="0.35">
      <c r="A344" s="39">
        <v>46253.69803240741</v>
      </c>
      <c r="B344" t="s">
        <v>805</v>
      </c>
      <c r="C344">
        <v>137323</v>
      </c>
      <c r="D344" t="s">
        <v>2943</v>
      </c>
      <c r="E344" t="s">
        <v>2946</v>
      </c>
      <c r="G344" t="s">
        <v>1275</v>
      </c>
      <c r="H344" t="s">
        <v>2952</v>
      </c>
      <c r="I344">
        <v>3.5</v>
      </c>
      <c r="K344" t="s">
        <v>2953</v>
      </c>
    </row>
    <row r="345" spans="1:11" x14ac:dyDescent="0.35">
      <c r="A345" s="39">
        <v>46253.882881944446</v>
      </c>
      <c r="B345" t="s">
        <v>805</v>
      </c>
      <c r="C345">
        <v>134660</v>
      </c>
      <c r="D345" t="s">
        <v>2954</v>
      </c>
      <c r="E345" t="s">
        <v>2955</v>
      </c>
      <c r="G345" t="s">
        <v>1305</v>
      </c>
      <c r="H345" t="s">
        <v>2956</v>
      </c>
      <c r="I345" t="s">
        <v>1307</v>
      </c>
      <c r="J345" t="s">
        <v>1698</v>
      </c>
    </row>
    <row r="346" spans="1:11" x14ac:dyDescent="0.35">
      <c r="A346" s="39">
        <v>46253.885081018518</v>
      </c>
      <c r="B346" t="s">
        <v>805</v>
      </c>
      <c r="C346">
        <v>134660</v>
      </c>
      <c r="D346" t="s">
        <v>2954</v>
      </c>
      <c r="E346" t="s">
        <v>2955</v>
      </c>
      <c r="G346" t="s">
        <v>1268</v>
      </c>
      <c r="H346" t="s">
        <v>2957</v>
      </c>
      <c r="I346">
        <v>3.5</v>
      </c>
      <c r="J346" t="s">
        <v>1270</v>
      </c>
    </row>
    <row r="347" spans="1:11" x14ac:dyDescent="0.35">
      <c r="A347" s="39">
        <v>46253.895011574074</v>
      </c>
      <c r="B347" t="s">
        <v>805</v>
      </c>
      <c r="C347">
        <v>134660</v>
      </c>
      <c r="D347" t="s">
        <v>2954</v>
      </c>
      <c r="E347" t="s">
        <v>2955</v>
      </c>
      <c r="F347" t="s">
        <v>2958</v>
      </c>
      <c r="G347" t="s">
        <v>1271</v>
      </c>
      <c r="H347" t="s">
        <v>2959</v>
      </c>
      <c r="I347">
        <v>3.5</v>
      </c>
      <c r="J347" t="s">
        <v>2960</v>
      </c>
      <c r="K347" t="s">
        <v>2961</v>
      </c>
    </row>
    <row r="348" spans="1:11" x14ac:dyDescent="0.35">
      <c r="A348" s="39">
        <v>46253.916597222225</v>
      </c>
      <c r="B348" t="s">
        <v>805</v>
      </c>
      <c r="C348">
        <v>134660</v>
      </c>
      <c r="D348" t="s">
        <v>2954</v>
      </c>
      <c r="E348" t="s">
        <v>2955</v>
      </c>
      <c r="F348" t="s">
        <v>2958</v>
      </c>
      <c r="G348" t="s">
        <v>1275</v>
      </c>
      <c r="H348" t="s">
        <v>2962</v>
      </c>
      <c r="I348">
        <v>3.5</v>
      </c>
      <c r="K348" t="s">
        <v>2963</v>
      </c>
    </row>
    <row r="349" spans="1:11" x14ac:dyDescent="0.35">
      <c r="A349" s="39">
        <v>46254.009675925925</v>
      </c>
      <c r="B349" t="s">
        <v>805</v>
      </c>
      <c r="C349">
        <v>12</v>
      </c>
      <c r="D349">
        <v>12</v>
      </c>
      <c r="E349" t="s">
        <v>2942</v>
      </c>
      <c r="G349" t="s">
        <v>1268</v>
      </c>
      <c r="H349" t="s">
        <v>2964</v>
      </c>
      <c r="I349">
        <v>3.5</v>
      </c>
      <c r="J349" t="s">
        <v>1270</v>
      </c>
    </row>
    <row r="350" spans="1:11" x14ac:dyDescent="0.35">
      <c r="A350" s="39">
        <v>46254.381331018521</v>
      </c>
      <c r="B350" t="s">
        <v>805</v>
      </c>
      <c r="C350">
        <v>12</v>
      </c>
      <c r="D350">
        <v>12</v>
      </c>
      <c r="E350" t="s">
        <v>2942</v>
      </c>
      <c r="G350" t="s">
        <v>1268</v>
      </c>
      <c r="H350" t="s">
        <v>2965</v>
      </c>
      <c r="I350">
        <v>3.5</v>
      </c>
      <c r="J350" t="s">
        <v>2966</v>
      </c>
    </row>
    <row r="351" spans="1:11" x14ac:dyDescent="0.35">
      <c r="A351" s="39">
        <v>46254.387152777781</v>
      </c>
      <c r="B351" t="s">
        <v>805</v>
      </c>
      <c r="C351">
        <v>12</v>
      </c>
      <c r="D351">
        <v>12</v>
      </c>
      <c r="E351" t="s">
        <v>2942</v>
      </c>
      <c r="G351" t="s">
        <v>1268</v>
      </c>
      <c r="H351" t="s">
        <v>2964</v>
      </c>
      <c r="I351">
        <v>3.5</v>
      </c>
      <c r="J351" t="s">
        <v>2967</v>
      </c>
    </row>
    <row r="352" spans="1:11" x14ac:dyDescent="0.35">
      <c r="A352" s="39">
        <v>46254.519062500003</v>
      </c>
      <c r="B352" t="s">
        <v>805</v>
      </c>
      <c r="C352">
        <v>12</v>
      </c>
      <c r="D352">
        <v>12</v>
      </c>
      <c r="E352" t="s">
        <v>2942</v>
      </c>
      <c r="G352" t="s">
        <v>1305</v>
      </c>
      <c r="H352" t="s">
        <v>2968</v>
      </c>
      <c r="I352" t="s">
        <v>1307</v>
      </c>
      <c r="J352" t="s">
        <v>2969</v>
      </c>
    </row>
    <row r="353" spans="1:11" x14ac:dyDescent="0.35">
      <c r="A353" s="39">
        <v>46254.521006944444</v>
      </c>
      <c r="B353" t="s">
        <v>805</v>
      </c>
      <c r="C353">
        <v>12</v>
      </c>
      <c r="D353">
        <v>12</v>
      </c>
      <c r="E353" t="s">
        <v>2942</v>
      </c>
      <c r="G353" t="s">
        <v>1268</v>
      </c>
      <c r="H353" t="s">
        <v>2964</v>
      </c>
      <c r="I353">
        <v>3.5</v>
      </c>
      <c r="J353" t="s">
        <v>2967</v>
      </c>
    </row>
    <row r="354" spans="1:11" x14ac:dyDescent="0.35">
      <c r="A354" s="39">
        <v>46254.529062499998</v>
      </c>
      <c r="B354" t="s">
        <v>805</v>
      </c>
      <c r="C354">
        <v>12</v>
      </c>
      <c r="D354">
        <v>12</v>
      </c>
      <c r="E354" t="s">
        <v>2942</v>
      </c>
      <c r="G354" t="s">
        <v>1268</v>
      </c>
      <c r="H354" t="s">
        <v>2965</v>
      </c>
      <c r="I354">
        <v>3.5</v>
      </c>
      <c r="J354" t="s">
        <v>2966</v>
      </c>
    </row>
    <row r="355" spans="1:11" x14ac:dyDescent="0.35">
      <c r="A355" s="39">
        <v>46256.680706018517</v>
      </c>
      <c r="B355" t="s">
        <v>805</v>
      </c>
      <c r="C355">
        <v>12</v>
      </c>
      <c r="D355">
        <v>12</v>
      </c>
      <c r="E355" t="s">
        <v>2942</v>
      </c>
      <c r="G355" t="s">
        <v>1268</v>
      </c>
      <c r="H355" t="s">
        <v>2965</v>
      </c>
      <c r="I355">
        <v>3.5</v>
      </c>
      <c r="J355" t="s">
        <v>2966</v>
      </c>
    </row>
    <row r="356" spans="1:11" x14ac:dyDescent="0.35">
      <c r="A356" s="39">
        <v>46256.681122685186</v>
      </c>
      <c r="B356" t="s">
        <v>805</v>
      </c>
      <c r="C356">
        <v>12</v>
      </c>
      <c r="D356">
        <v>12</v>
      </c>
      <c r="E356" t="s">
        <v>2942</v>
      </c>
      <c r="G356" t="s">
        <v>1268</v>
      </c>
      <c r="H356" t="s">
        <v>2964</v>
      </c>
      <c r="I356">
        <v>3.5</v>
      </c>
      <c r="J356" t="s">
        <v>2967</v>
      </c>
    </row>
    <row r="357" spans="1:11" x14ac:dyDescent="0.35">
      <c r="A357" s="39">
        <v>46257.111759259256</v>
      </c>
      <c r="B357" t="s">
        <v>805</v>
      </c>
      <c r="C357">
        <v>12</v>
      </c>
      <c r="D357">
        <v>12</v>
      </c>
      <c r="E357" t="s">
        <v>2942</v>
      </c>
      <c r="G357" t="s">
        <v>1275</v>
      </c>
      <c r="H357" t="s">
        <v>2970</v>
      </c>
      <c r="I357">
        <v>3.5</v>
      </c>
      <c r="K357" t="s">
        <v>2971</v>
      </c>
    </row>
    <row r="358" spans="1:11" x14ac:dyDescent="0.35">
      <c r="A358" s="39">
        <v>46257.389201388891</v>
      </c>
      <c r="B358" t="s">
        <v>805</v>
      </c>
      <c r="C358">
        <v>12</v>
      </c>
      <c r="D358">
        <v>12</v>
      </c>
      <c r="E358" t="s">
        <v>2942</v>
      </c>
      <c r="G358" t="s">
        <v>1268</v>
      </c>
      <c r="H358" t="s">
        <v>2964</v>
      </c>
      <c r="I358">
        <v>3.5</v>
      </c>
      <c r="J358" t="s">
        <v>1270</v>
      </c>
    </row>
    <row r="359" spans="1:11" x14ac:dyDescent="0.35">
      <c r="A359" s="39">
        <v>46257.41028935185</v>
      </c>
      <c r="B359" t="s">
        <v>805</v>
      </c>
      <c r="C359">
        <v>12</v>
      </c>
      <c r="D359">
        <v>12</v>
      </c>
      <c r="E359" t="s">
        <v>2942</v>
      </c>
      <c r="G359" t="s">
        <v>2822</v>
      </c>
      <c r="H359" t="s">
        <v>2975</v>
      </c>
      <c r="I359">
        <v>3.5</v>
      </c>
      <c r="K359" t="s">
        <v>2971</v>
      </c>
    </row>
    <row r="360" spans="1:11" x14ac:dyDescent="0.35">
      <c r="A360" s="39">
        <v>46257.412152777775</v>
      </c>
      <c r="B360" t="s">
        <v>805</v>
      </c>
      <c r="C360">
        <v>12</v>
      </c>
      <c r="D360">
        <v>12</v>
      </c>
      <c r="E360" t="s">
        <v>2942</v>
      </c>
      <c r="G360" t="s">
        <v>1268</v>
      </c>
      <c r="H360" t="s">
        <v>2965</v>
      </c>
      <c r="I360">
        <v>3.5</v>
      </c>
      <c r="J360" t="s">
        <v>2966</v>
      </c>
    </row>
    <row r="361" spans="1:11" x14ac:dyDescent="0.35">
      <c r="A361" s="39">
        <v>46257.412511574075</v>
      </c>
      <c r="B361" t="s">
        <v>805</v>
      </c>
      <c r="C361">
        <v>12</v>
      </c>
      <c r="D361">
        <v>12</v>
      </c>
      <c r="E361" t="s">
        <v>2942</v>
      </c>
      <c r="G361" t="s">
        <v>1268</v>
      </c>
      <c r="H361" t="s">
        <v>2964</v>
      </c>
      <c r="I361">
        <v>3.5</v>
      </c>
      <c r="J361" t="s">
        <v>2967</v>
      </c>
    </row>
    <row r="362" spans="1:11" x14ac:dyDescent="0.35">
      <c r="A362" s="39">
        <v>46257.864583333336</v>
      </c>
      <c r="B362" t="s">
        <v>805</v>
      </c>
      <c r="C362">
        <v>134644</v>
      </c>
      <c r="D362" t="s">
        <v>2976</v>
      </c>
      <c r="G362" t="s">
        <v>1268</v>
      </c>
      <c r="H362" t="s">
        <v>2977</v>
      </c>
      <c r="I362">
        <v>3.5</v>
      </c>
      <c r="J362" t="s">
        <v>2966</v>
      </c>
    </row>
    <row r="363" spans="1:11" x14ac:dyDescent="0.35">
      <c r="A363" s="39">
        <v>46257.864895833336</v>
      </c>
      <c r="B363" t="s">
        <v>805</v>
      </c>
      <c r="C363">
        <v>134644</v>
      </c>
      <c r="D363" t="s">
        <v>2976</v>
      </c>
      <c r="G363" t="s">
        <v>1268</v>
      </c>
      <c r="H363" t="s">
        <v>2978</v>
      </c>
      <c r="I363">
        <v>3.5</v>
      </c>
      <c r="J363" t="s">
        <v>2967</v>
      </c>
    </row>
    <row r="364" spans="1:11" x14ac:dyDescent="0.35">
      <c r="A364" s="39">
        <v>46258.407997685186</v>
      </c>
      <c r="B364" t="s">
        <v>805</v>
      </c>
      <c r="C364">
        <v>134644</v>
      </c>
      <c r="D364" t="s">
        <v>2976</v>
      </c>
      <c r="G364" t="s">
        <v>1305</v>
      </c>
      <c r="H364" t="s">
        <v>2979</v>
      </c>
      <c r="I364" t="s">
        <v>1307</v>
      </c>
      <c r="J364" t="s">
        <v>2980</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Sammed Upadhye</dc:creator>
  <cp:keywords/>
  <dc:description/>
  <cp:lastModifiedBy>Swapnil Saha</cp:lastModifiedBy>
  <cp:revision/>
  <dcterms:created xsi:type="dcterms:W3CDTF">2015-06-05T18:17:20Z</dcterms:created>
  <dcterms:modified xsi:type="dcterms:W3CDTF">2026-09-01T11:20:10Z</dcterms:modified>
  <cp:category/>
  <cp:contentStatus/>
</cp:coreProperties>
</file>