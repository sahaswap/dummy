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sb-my.sharepoint.com/personal/ssaha_cfsb_com/Documents/Desktop/117657/"/>
    </mc:Choice>
  </mc:AlternateContent>
  <xr:revisionPtr revIDLastSave="2" documentId="8_{0EE8E040-9FCE-4B26-8930-45CAD2DA8EBC}" xr6:coauthVersionLast="47" xr6:coauthVersionMax="47" xr10:uidLastSave="{0C567D29-C993-4F75-9F24-D0563D538A3E}"/>
  <bookViews>
    <workbookView xWindow="-110" yWindow="-110" windowWidth="19420" windowHeight="11500" xr2:uid="{2D73DF1C-E9D0-4C4D-A16C-75E582788984}"/>
  </bookViews>
  <sheets>
    <sheet name="Lookback Transactions" sheetId="1" r:id="rId1"/>
    <sheet name="Pivot" sheetId="2" r:id="rId2"/>
  </sheets>
  <definedNames>
    <definedName name="_xlnm._FilterDatabase" localSheetId="0" hidden="1">'Lookback Transactions'!$A$1:$AL$69</definedName>
  </definedNames>
  <calcPr calcId="191029"/>
  <pivotCaches>
    <pivotCache cacheId="443" r:id="rId3"/>
    <pivotCache cacheId="4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64" i="1" l="1"/>
  <c r="AL63" i="1"/>
  <c r="AL62" i="1"/>
  <c r="AL61" i="1"/>
  <c r="AL60" i="1"/>
  <c r="AL59" i="1"/>
  <c r="AL69" i="1"/>
  <c r="AL68" i="1"/>
  <c r="AL67" i="1"/>
  <c r="AL66" i="1"/>
  <c r="AL65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15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</calcChain>
</file>

<file path=xl/sharedStrings.xml><?xml version="1.0" encoding="utf-8"?>
<sst xmlns="http://schemas.openxmlformats.org/spreadsheetml/2006/main" count="1903" uniqueCount="258">
  <si>
    <t>Transaction ID</t>
  </si>
  <si>
    <t>Is Alerted Transaction?</t>
  </si>
  <si>
    <t>Velocity Alert ID</t>
  </si>
  <si>
    <t>Alert Information</t>
  </si>
  <si>
    <t>Alert Type</t>
  </si>
  <si>
    <t>Account No</t>
  </si>
  <si>
    <t>Ref No</t>
  </si>
  <si>
    <t>Transaction Code</t>
  </si>
  <si>
    <t>Transaction Code Description</t>
  </si>
  <si>
    <t>Currency</t>
  </si>
  <si>
    <t>Transaction Amount</t>
  </si>
  <si>
    <t>Transaction Date</t>
  </si>
  <si>
    <t>Dr Cr</t>
  </si>
  <si>
    <t>Beneficiary ID</t>
  </si>
  <si>
    <t>Beneficiary Name</t>
  </si>
  <si>
    <t>Beneficiary First Name</t>
  </si>
  <si>
    <t>Beneficiary Last Name</t>
  </si>
  <si>
    <t>Beneficiary Middle Name</t>
  </si>
  <si>
    <t>Beneficiary Address</t>
  </si>
  <si>
    <t>Beneficiary Country</t>
  </si>
  <si>
    <t>Beneficiary Type</t>
  </si>
  <si>
    <t>Beneficiary Corporation Or Individual Flag</t>
  </si>
  <si>
    <t>Originator ID</t>
  </si>
  <si>
    <t>Originator Name</t>
  </si>
  <si>
    <t>Originator First Name</t>
  </si>
  <si>
    <t>Originator Last Name</t>
  </si>
  <si>
    <t>Originator Middle Name</t>
  </si>
  <si>
    <t>Originator Address</t>
  </si>
  <si>
    <t>Originator Country</t>
  </si>
  <si>
    <t>Originator Corporation Or Individual Flag</t>
  </si>
  <si>
    <t>MainId</t>
  </si>
  <si>
    <t>Party Type1</t>
  </si>
  <si>
    <t>Party Name1</t>
  </si>
  <si>
    <t>Party Address1</t>
  </si>
  <si>
    <t>Party Type2</t>
  </si>
  <si>
    <t>Party Name2</t>
  </si>
  <si>
    <t>Party Address2</t>
  </si>
  <si>
    <t>Counterparty</t>
  </si>
  <si>
    <t>Yes</t>
  </si>
  <si>
    <t>Large value card transactions for purchase</t>
  </si>
  <si>
    <t>TM</t>
  </si>
  <si>
    <t>AWX846a7af9081-5439-488a-99d5-3be5e9740d50</t>
  </si>
  <si>
    <t>AWX1000000000009172322</t>
  </si>
  <si>
    <t>AWX_D_00-0220</t>
  </si>
  <si>
    <t>PURCHASE - Clearing Advice</t>
  </si>
  <si>
    <t>USD</t>
  </si>
  <si>
    <t>DR</t>
  </si>
  <si>
    <t>klingai.com</t>
  </si>
  <si>
    <t xml:space="preserve">   SG</t>
  </si>
  <si>
    <t>SG</t>
  </si>
  <si>
    <t>CreditParty</t>
  </si>
  <si>
    <t>MIKHAIL AVADY</t>
  </si>
  <si>
    <t>MIKHAIL</t>
  </si>
  <si>
    <t>AVADY</t>
  </si>
  <si>
    <t>4995 MARISTONE LANDING WAY SUITE 800 30040 US</t>
  </si>
  <si>
    <t>US</t>
  </si>
  <si>
    <t>BeneficialOwner</t>
  </si>
  <si>
    <t xml:space="preserve">  PRODIA LABS INC.</t>
  </si>
  <si>
    <t>1155 MOUNT VERNON HIGHWAY SUITE 800 30338  US</t>
  </si>
  <si>
    <t>No</t>
  </si>
  <si>
    <t>AWX8467827f4be-0daa-4cdd-853b-8df26ac1f642</t>
  </si>
  <si>
    <t>AWX1000000000009180062</t>
  </si>
  <si>
    <t>OMRFEERZ1WRKKXW</t>
  </si>
  <si>
    <t>PYMT* APRIO LLP</t>
  </si>
  <si>
    <t xml:space="preserve">   US</t>
  </si>
  <si>
    <t>AWX846cc7167a8-ca38-49ea-a3b3-4a7f65430a57</t>
  </si>
  <si>
    <t>AWX1000000000010534971</t>
  </si>
  <si>
    <t>VHWLO7VF91VFRZF</t>
  </si>
  <si>
    <t>WEBFLOW.COM</t>
  </si>
  <si>
    <t>AWX846bab5e649-61b4-4585-bbbe-a7576847fc98</t>
  </si>
  <si>
    <t>AWX1000000000011671693</t>
  </si>
  <si>
    <t>AWX_D_50-0220</t>
  </si>
  <si>
    <t>PAY_OTHER_PARTY - Clearing Advice</t>
  </si>
  <si>
    <t>VAJG9RECGQ85RUM</t>
  </si>
  <si>
    <t>CARTA (ESHARES)</t>
  </si>
  <si>
    <t>AWX84606500f95-92e0-434d-a3d1-d1dc98003e95</t>
  </si>
  <si>
    <t>AWX1000000000012316055</t>
  </si>
  <si>
    <t>NFEH7CD6GOFC6BA</t>
  </si>
  <si>
    <t>RB2B PRO</t>
  </si>
  <si>
    <t>AWX1000000000012396996</t>
  </si>
  <si>
    <t>KNHVZFCKOOOUVZE</t>
  </si>
  <si>
    <t>DROPBOX DOCSEND</t>
  </si>
  <si>
    <t>AWX1000000000012620334</t>
  </si>
  <si>
    <t>SAGJJ8SMSOMRFCY</t>
  </si>
  <si>
    <t>LEADIQ SUB* LEADIQ SUB</t>
  </si>
  <si>
    <t>AWX1000000000013044412</t>
  </si>
  <si>
    <t>AWX1000000000013077120</t>
  </si>
  <si>
    <t>UOVWETCXR4QL2AC</t>
  </si>
  <si>
    <t>CLAY LABS INC</t>
  </si>
  <si>
    <t>AWX1000000000013874400</t>
  </si>
  <si>
    <t>AWX1000000000015612900</t>
  </si>
  <si>
    <t>AWX1000000000015838385</t>
  </si>
  <si>
    <t>AWX1000000000015865206</t>
  </si>
  <si>
    <t>AWX1000000000016086061</t>
  </si>
  <si>
    <t>YWW*WeWork 44MontgomeryS</t>
  </si>
  <si>
    <t>AWX1000000000016625157</t>
  </si>
  <si>
    <t>AWX1000000000017723920</t>
  </si>
  <si>
    <t>AWX1000000000017847942</t>
  </si>
  <si>
    <t>AWX1000000000020311189</t>
  </si>
  <si>
    <t>UMKRPMGSFE9MLSE</t>
  </si>
  <si>
    <t>AUCTION IT WIZARD</t>
  </si>
  <si>
    <t>AWX1000000000020382964</t>
  </si>
  <si>
    <t>AWX1000000000020725886</t>
  </si>
  <si>
    <t>AWX1000000000020796614</t>
  </si>
  <si>
    <t>AWX1000000000020914680</t>
  </si>
  <si>
    <t>AWX1000000000018661067</t>
  </si>
  <si>
    <t>AWX1000000000019191011</t>
  </si>
  <si>
    <t>BESTBUYCOM807112975695</t>
  </si>
  <si>
    <t>AWX1000000000019529715</t>
  </si>
  <si>
    <t>AWX1000000000019755294</t>
  </si>
  <si>
    <t>AWX84681523300-d17d-460f-8036-ea3cfed87fd1</t>
  </si>
  <si>
    <t>AWX1000000000019778472</t>
  </si>
  <si>
    <t>NFRUAZTNFIJDESD</t>
  </si>
  <si>
    <t>FAL FEATURES LABELS</t>
  </si>
  <si>
    <t>AWX1000000000021549121</t>
  </si>
  <si>
    <t>AWX1000000000022503014</t>
  </si>
  <si>
    <t>AWX1000000000022737192</t>
  </si>
  <si>
    <t>AWX1000000000022844098</t>
  </si>
  <si>
    <t>AWX1000000000022958943</t>
  </si>
  <si>
    <t>AWX1000000000023623269</t>
  </si>
  <si>
    <t>AWX1000000000026643268</t>
  </si>
  <si>
    <t>EWFBZZ0CDDMOP2E</t>
  </si>
  <si>
    <t>PARAFORM.COM</t>
  </si>
  <si>
    <t>AWX1000000000026710802</t>
  </si>
  <si>
    <t>AWX1000000000026865226</t>
  </si>
  <si>
    <t>AWX1000000000027510993</t>
  </si>
  <si>
    <t>AWX1000000000027648583</t>
  </si>
  <si>
    <t>AWX1000000000027648817</t>
  </si>
  <si>
    <t>RB2B.COM</t>
  </si>
  <si>
    <t>AWX1000000000028107476</t>
  </si>
  <si>
    <t>AWX1000000000028392478</t>
  </si>
  <si>
    <t>AWX1000000000028698528</t>
  </si>
  <si>
    <t>AWX1000000000029170436</t>
  </si>
  <si>
    <t>AWX84670e304e0-e7b3-4e75-8396-e591c09502f8</t>
  </si>
  <si>
    <t>AWX1000000000029210333</t>
  </si>
  <si>
    <t>BEKIARES ELIEZER LLP</t>
  </si>
  <si>
    <t>AWX1000000000029231158</t>
  </si>
  <si>
    <t>AWX1000000000039284979</t>
  </si>
  <si>
    <t>AWX1000000000039319468</t>
  </si>
  <si>
    <t>AWX1000000000039365283</t>
  </si>
  <si>
    <t>AWX1000000000039402599</t>
  </si>
  <si>
    <t>99DESIGNS LLC</t>
  </si>
  <si>
    <t>AWX8463c9ccd97-c1f0-4e59-943e-23166e2d9c0d</t>
  </si>
  <si>
    <t>AWX1000000000039459363</t>
  </si>
  <si>
    <t>MCTR-GWINNETT #65</t>
  </si>
  <si>
    <t>AWX1000000000039612572</t>
  </si>
  <si>
    <t>artotel Hoxton</t>
  </si>
  <si>
    <t xml:space="preserve">   GB</t>
  </si>
  <si>
    <t>GB</t>
  </si>
  <si>
    <t>AWX1000000000039757426</t>
  </si>
  <si>
    <t>MOI Restuarant</t>
  </si>
  <si>
    <t>AWX1000000000039778303</t>
  </si>
  <si>
    <t>The Brush Grand Cafe</t>
  </si>
  <si>
    <t>AWX1000000000040038679</t>
  </si>
  <si>
    <t>AWX1000000000040091327</t>
  </si>
  <si>
    <t>IYMAZXWO3P7EQTG</t>
  </si>
  <si>
    <t>AMPLEMARKET.COM</t>
  </si>
  <si>
    <t>AWX1000000000040268379</t>
  </si>
  <si>
    <t>AWX1000000000040367435</t>
  </si>
  <si>
    <t>AWX1000000000043318557</t>
  </si>
  <si>
    <t>TST* BON DELIRE</t>
  </si>
  <si>
    <t>AWX1000000000043325757</t>
  </si>
  <si>
    <t>21-8021510667</t>
  </si>
  <si>
    <t>HILTON GARDEN INN</t>
  </si>
  <si>
    <t>AWX1000000000043350183</t>
  </si>
  <si>
    <t>AWX1000000000043402024</t>
  </si>
  <si>
    <t>AWX1000000000043484614</t>
  </si>
  <si>
    <t>AWX1000000000040569175</t>
  </si>
  <si>
    <t>2RGDJQ0KJOTE7SW</t>
  </si>
  <si>
    <t>DROPBOX SIGN HELLOSIGN</t>
  </si>
  <si>
    <t>AWX1000000000040841026</t>
  </si>
  <si>
    <t>AWX1000000000040918141</t>
  </si>
  <si>
    <t>AWX1000000000043161115</t>
  </si>
  <si>
    <t>KPNIKO8INWV801P</t>
  </si>
  <si>
    <t>SILICONMANIA.TV</t>
  </si>
  <si>
    <t xml:space="preserve">   FR</t>
  </si>
  <si>
    <t>FR</t>
  </si>
  <si>
    <t>AWX1000000000043163335</t>
  </si>
  <si>
    <t>SQ *VOLTAIRE COFFEE ROAST</t>
  </si>
  <si>
    <t>AWX1000000000043181801</t>
  </si>
  <si>
    <t>Row Labels</t>
  </si>
  <si>
    <t>(blank)</t>
  </si>
  <si>
    <t>Grand Total</t>
  </si>
  <si>
    <t>Sum of Transaction Amount</t>
  </si>
  <si>
    <t>Count of Transaction Amount</t>
  </si>
  <si>
    <t xml:space="preserve">Sum of Transaction Amount </t>
  </si>
  <si>
    <t xml:space="preserve">Count of Transaction Amount </t>
  </si>
  <si>
    <t>2025</t>
  </si>
  <si>
    <t>Aug</t>
  </si>
  <si>
    <t>18-Aug</t>
  </si>
  <si>
    <t>Sep</t>
  </si>
  <si>
    <t>2-Sep</t>
  </si>
  <si>
    <t>11-Sep</t>
  </si>
  <si>
    <t>17-Sep</t>
  </si>
  <si>
    <t>18-Sep</t>
  </si>
  <si>
    <t>20-Sep</t>
  </si>
  <si>
    <t>23-Sep</t>
  </si>
  <si>
    <t>24-Sep</t>
  </si>
  <si>
    <t>Oct</t>
  </si>
  <si>
    <t>2-Oct</t>
  </si>
  <si>
    <t>16-Oct</t>
  </si>
  <si>
    <t>18-Oct</t>
  </si>
  <si>
    <t>19-Oct</t>
  </si>
  <si>
    <t>21-Oct</t>
  </si>
  <si>
    <t>24-Oct</t>
  </si>
  <si>
    <t>Nov</t>
  </si>
  <si>
    <t>2-Nov</t>
  </si>
  <si>
    <t>3-Nov</t>
  </si>
  <si>
    <t>11-Nov</t>
  </si>
  <si>
    <t>16-Nov</t>
  </si>
  <si>
    <t>17-Nov</t>
  </si>
  <si>
    <t>18-Nov</t>
  </si>
  <si>
    <t>19-Nov</t>
  </si>
  <si>
    <t>24-Nov</t>
  </si>
  <si>
    <t>28-Nov</t>
  </si>
  <si>
    <t>Dec</t>
  </si>
  <si>
    <t>2-Dec</t>
  </si>
  <si>
    <t>3-Dec</t>
  </si>
  <si>
    <t>8-Dec</t>
  </si>
  <si>
    <t>16-Dec</t>
  </si>
  <si>
    <t>17-Dec</t>
  </si>
  <si>
    <t>18-Dec</t>
  </si>
  <si>
    <t>19-Dec</t>
  </si>
  <si>
    <t>24-Dec</t>
  </si>
  <si>
    <t>2026</t>
  </si>
  <si>
    <t>Jan</t>
  </si>
  <si>
    <t>8-Jan</t>
  </si>
  <si>
    <t>9-Jan</t>
  </si>
  <si>
    <t>16-Jan</t>
  </si>
  <si>
    <t>18-Jan</t>
  </si>
  <si>
    <t>24-Jan</t>
  </si>
  <si>
    <t>Feb</t>
  </si>
  <si>
    <t>2-Feb</t>
  </si>
  <si>
    <t>9-Feb</t>
  </si>
  <si>
    <t>10-Feb</t>
  </si>
  <si>
    <t>16-Feb</t>
  </si>
  <si>
    <t>17-Feb</t>
  </si>
  <si>
    <t>18-Feb</t>
  </si>
  <si>
    <t>19-Feb</t>
  </si>
  <si>
    <t>20-Feb</t>
  </si>
  <si>
    <t>24-Feb</t>
  </si>
  <si>
    <t>27-Feb</t>
  </si>
  <si>
    <t>Mar</t>
  </si>
  <si>
    <t>3-Mar</t>
  </si>
  <si>
    <t>4-Mar</t>
  </si>
  <si>
    <t>6-Mar</t>
  </si>
  <si>
    <t>9-Mar</t>
  </si>
  <si>
    <t>12-Mar</t>
  </si>
  <si>
    <t>16-Mar</t>
  </si>
  <si>
    <t>17-Mar</t>
  </si>
  <si>
    <t>18-Mar</t>
  </si>
  <si>
    <t>20-Mar</t>
  </si>
  <si>
    <t>21-Mar</t>
  </si>
  <si>
    <t>22-Mar</t>
  </si>
  <si>
    <t xml:space="preserve">No of Trx  </t>
  </si>
  <si>
    <t xml:space="preserve">Sum of Transaction Amount  </t>
  </si>
  <si>
    <t xml:space="preserve">No of Trx   </t>
  </si>
  <si>
    <t xml:space="preserve">Sum of Transaction Amount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</si>
</sst>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dddd\,\ mmmm\ d\,\ yyyy"/>
    <numFmt numFmtId="166" formatCode="&quot;$&quot;#,#00.00"/>
    <numFmt numFmtId="167" formatCode="mm/dd/yyyy"/>
  </numFmts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165" fontId="3" fillId="3" borderId="1" xfId="0" applyNumberFormat="1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3"/>
    </xf>
    <xf numFmtId="167" fontId="0" fillId="0" borderId="0" xfId="0" applyNumberFormat="1" applyAlignment="1">
      <alignment horizontal="left" indent="2"/>
    </xf>
    <xf numFmtId="167" fontId="0" fillId="0" borderId="0" xfId="0" applyNumberFormat="1" applyAlignment="1">
      <alignment horizontal="left" indent="3"/>
    </xf>
    <xf numFmtId="166" fontId="1" fillId="4" borderId="0" xfId="0" applyNumberFormat="1" applyFont="1" applyFill="1"/>
  </cellXfs>
  <cellStyles count="1">
    <cellStyle name="Normal" xfId="0" builtinId="0"/>
  </cellStyles>
  <dxfs count="189">
    <dxf>
      <font>
        <color rgb="FF9C0006"/>
      </font>
    </dxf>
    <dxf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  <dxf>
      <numFmt numFmtId="167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6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 Saha" refreshedDate="46282.640139467592" createdVersion="8" refreshedVersion="8" minRefreshableVersion="3" recordCount="68" xr:uid="{11675AFE-8554-423B-9615-B858DC8CCF54}">
  <cacheSource type="worksheet">
    <worksheetSource ref="A1:AL69" sheet="Lookback Transactions"/>
  </cacheSource>
  <cacheFields count="38">
    <cacheField name="Transaction ID" numFmtId="0">
      <sharedItems containsSemiMixedTypes="0" containsString="0" containsNumber="1" containsInteger="1" minValue="1877576904" maxValue="2222663669"/>
    </cacheField>
    <cacheField name="Is Alerted Transaction?" numFmtId="0">
      <sharedItems/>
    </cacheField>
    <cacheField name="Velocity Alert ID" numFmtId="0">
      <sharedItems containsString="0" containsBlank="1" containsNumber="1" containsInteger="1" minValue="2175800" maxValue="2315814"/>
    </cacheField>
    <cacheField name="Alert Information" numFmtId="0">
      <sharedItems containsBlank="1" count="2">
        <s v="Large value card transactions for purchase"/>
        <m/>
      </sharedItems>
    </cacheField>
    <cacheField name="Alert Type" numFmtId="0">
      <sharedItems containsBlank="1"/>
    </cacheField>
    <cacheField name="Account No" numFmtId="0">
      <sharedItems/>
    </cacheField>
    <cacheField name="Ref No" numFmtId="0">
      <sharedItems/>
    </cacheField>
    <cacheField name="Transaction Code" numFmtId="0">
      <sharedItems/>
    </cacheField>
    <cacheField name="Transaction Code Description" numFmtId="0">
      <sharedItems/>
    </cacheField>
    <cacheField name="Currency" numFmtId="0">
      <sharedItems/>
    </cacheField>
    <cacheField name="Transaction Amount" numFmtId="164">
      <sharedItems containsSemiMixedTypes="0" containsString="0" containsNumber="1" minValue="3" maxValue="10000"/>
    </cacheField>
    <cacheField name="Transaction Date" numFmtId="165">
      <sharedItems containsSemiMixedTypes="0" containsNonDate="0" containsDate="1" containsString="0" minDate="2025-08-18T00:00:00" maxDate="2026-03-23T00:00:00"/>
    </cacheField>
    <cacheField name="Dr Cr" numFmtId="0">
      <sharedItems count="1">
        <s v="DR"/>
      </sharedItems>
    </cacheField>
    <cacheField name="Beneficiary ID" numFmtId="0">
      <sharedItems containsMixedTypes="1" containsNumber="1" containsInteger="1" minValue="683515" maxValue="899000002896338"/>
    </cacheField>
    <cacheField name="Beneficiary Name" numFmtId="0">
      <sharedItems/>
    </cacheField>
    <cacheField name="Beneficiary First Name" numFmtId="0">
      <sharedItems containsNonDate="0" containsString="0" containsBlank="1"/>
    </cacheField>
    <cacheField name="Beneficiary Last Name" numFmtId="0">
      <sharedItems/>
    </cacheField>
    <cacheField name="Beneficiary Middle Name" numFmtId="0">
      <sharedItems containsNonDate="0" containsString="0" containsBlank="1"/>
    </cacheField>
    <cacheField name="Beneficiary Address" numFmtId="0">
      <sharedItems/>
    </cacheField>
    <cacheField name="Beneficiary Country" numFmtId="0">
      <sharedItems/>
    </cacheField>
    <cacheField name="Beneficiary Type" numFmtId="0">
      <sharedItems/>
    </cacheField>
    <cacheField name="Beneficiary Corporation Or Individual Flag" numFmtId="0">
      <sharedItems containsNonDate="0" containsString="0" containsBlank="1"/>
    </cacheField>
    <cacheField name="Originator ID" numFmtId="0">
      <sharedItems/>
    </cacheField>
    <cacheField name="Originator Name" numFmtId="0">
      <sharedItems/>
    </cacheField>
    <cacheField name="Originator First Name" numFmtId="0">
      <sharedItems/>
    </cacheField>
    <cacheField name="Originator Last Name" numFmtId="0">
      <sharedItems/>
    </cacheField>
    <cacheField name="Originator Middle Name" numFmtId="0">
      <sharedItems containsNonDate="0" containsString="0" containsBlank="1"/>
    </cacheField>
    <cacheField name="Originator Address" numFmtId="0">
      <sharedItems/>
    </cacheField>
    <cacheField name="Originator Country" numFmtId="0">
      <sharedItems/>
    </cacheField>
    <cacheField name="Originator Corporation Or Individual Flag" numFmtId="0">
      <sharedItems containsNonDate="0" containsString="0" containsBlank="1"/>
    </cacheField>
    <cacheField name="MainId" numFmtId="0">
      <sharedItems containsSemiMixedTypes="0" containsString="0" containsNumber="1" containsInteger="1" minValue="1877576904" maxValue="2222663669"/>
    </cacheField>
    <cacheField name="Party Type1" numFmtId="0">
      <sharedItems/>
    </cacheField>
    <cacheField name="Party Name1" numFmtId="0">
      <sharedItems/>
    </cacheField>
    <cacheField name="Party Address1" numFmtId="0">
      <sharedItems/>
    </cacheField>
    <cacheField name="Party Type2" numFmtId="0">
      <sharedItems containsBlank="1"/>
    </cacheField>
    <cacheField name="Party Name2" numFmtId="0">
      <sharedItems containsBlank="1"/>
    </cacheField>
    <cacheField name="Party Address2" numFmtId="0">
      <sharedItems containsBlank="1"/>
    </cacheField>
    <cacheField name="Counterparty" numFmtId="0">
      <sharedItems count="26">
        <s v="klingai.com"/>
        <s v="PYMT* APRIO LLP"/>
        <s v="WEBFLOW.COM"/>
        <s v="CARTA (ESHARES)"/>
        <s v="RB2B PRO"/>
        <s v="DROPBOX DOCSEND"/>
        <s v="LEADIQ SUB* LEADIQ SUB"/>
        <s v="CLAY LABS INC"/>
        <s v="YWW*WeWork 44MontgomeryS"/>
        <s v="AUCTION IT WIZARD"/>
        <s v="BESTBUYCOM807112975695"/>
        <s v="FAL FEATURES LABELS"/>
        <s v="PARAFORM.COM"/>
        <s v="RB2B.COM"/>
        <s v="BEKIARES ELIEZER LLP"/>
        <s v="99DESIGNS LLC"/>
        <s v="MCTR-GWINNETT #65"/>
        <s v="artotel Hoxton"/>
        <s v="MOI Restuarant"/>
        <s v="The Brush Grand Cafe"/>
        <s v="AMPLEMARKET.COM"/>
        <s v="TST* BON DELIRE"/>
        <s v="HILTON GARDEN INN"/>
        <s v="DROPBOX SIGN HELLOSIGN"/>
        <s v="SILICONMANIA.TV"/>
        <s v="SQ *VOLTAIRE COFFEE RO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pnil Saha" refreshedDate="46282.640158680559" createdVersion="8" refreshedVersion="8" minRefreshableVersion="3" recordCount="68" xr:uid="{10A9C4D4-1AFA-4840-8A09-20BA322AE30A}">
  <cacheSource type="worksheet">
    <worksheetSource ref="A1:AL69" sheet="Sheet3" r:id="rId2"/>
  </cacheSource>
  <cacheFields count="41">
    <cacheField name="Transaction ID" numFmtId="0">
      <sharedItems containsSemiMixedTypes="0" containsString="0" containsNumber="1" containsInteger="1" minValue="1877576904" maxValue="2222663669"/>
    </cacheField>
    <cacheField name="Is Alerted Transaction?" numFmtId="0">
      <sharedItems/>
    </cacheField>
    <cacheField name="Velocity Alert ID" numFmtId="0">
      <sharedItems containsString="0" containsBlank="1" containsNumber="1" containsInteger="1" minValue="2175800" maxValue="2315814"/>
    </cacheField>
    <cacheField name="Alert Information" numFmtId="0">
      <sharedItems containsBlank="1"/>
    </cacheField>
    <cacheField name="Alert Type" numFmtId="0">
      <sharedItems containsBlank="1"/>
    </cacheField>
    <cacheField name="Account No" numFmtId="0">
      <sharedItems/>
    </cacheField>
    <cacheField name="Ref No" numFmtId="0">
      <sharedItems/>
    </cacheField>
    <cacheField name="Transaction Code" numFmtId="0">
      <sharedItems/>
    </cacheField>
    <cacheField name="Transaction Code Description" numFmtId="0">
      <sharedItems/>
    </cacheField>
    <cacheField name="Currency" numFmtId="0">
      <sharedItems/>
    </cacheField>
    <cacheField name="Transaction Amount" numFmtId="164">
      <sharedItems containsSemiMixedTypes="0" containsString="0" containsNumber="1" minValue="3" maxValue="10000"/>
    </cacheField>
    <cacheField name="Transaction Date" numFmtId="14">
      <sharedItems containsSemiMixedTypes="0" containsNonDate="0" containsDate="1" containsString="0" minDate="2025-08-18T00:00:00" maxDate="2026-03-23T00:00:00" count="57">
        <d v="2025-08-18T00:00:00"/>
        <d v="2025-09-02T00:00:00"/>
        <d v="2025-09-11T00:00:00"/>
        <d v="2025-09-17T00:00:00"/>
        <d v="2025-09-18T00:00:00"/>
        <d v="2025-09-20T00:00:00"/>
        <d v="2025-09-23T00:00:00"/>
        <d v="2025-09-24T00:00:00"/>
        <d v="2025-10-02T00:00:00"/>
        <d v="2025-10-16T00:00:00"/>
        <d v="2025-10-18T00:00:00"/>
        <d v="2025-10-21T00:00:00"/>
        <d v="2025-10-24T00:00:00"/>
        <d v="2025-11-02T00:00:00"/>
        <d v="2025-11-03T00:00:00"/>
        <d v="2025-11-11T00:00:00"/>
        <d v="2025-11-16T00:00:00"/>
        <d v="2025-11-17T00:00:00"/>
        <d v="2025-11-18T00:00:00"/>
        <d v="2025-11-19T00:00:00"/>
        <d v="2025-11-24T00:00:00"/>
        <d v="2025-11-28T00:00:00"/>
        <d v="2025-12-02T00:00:00"/>
        <d v="2025-12-03T00:00:00"/>
        <d v="2025-12-08T00:00:00"/>
        <d v="2025-12-16T00:00:00"/>
        <d v="2025-12-17T00:00:00"/>
        <d v="2025-12-18T00:00:00"/>
        <d v="2025-12-19T00:00:00"/>
        <d v="2025-12-24T00:00:00"/>
        <d v="2026-01-08T00:00:00"/>
        <d v="2026-01-09T00:00:00"/>
        <d v="2026-01-16T00:00:00"/>
        <d v="2026-01-18T00:00:00"/>
        <d v="2026-01-24T00:00:00"/>
        <d v="2025-10-19T00:00:00"/>
        <d v="2026-02-02T00:00:00"/>
        <d v="2026-02-09T00:00:00"/>
        <d v="2026-02-10T00:00:00"/>
        <d v="2026-02-16T00:00:00"/>
        <d v="2026-02-17T00:00:00"/>
        <d v="2026-02-18T00:00:00"/>
        <d v="2026-02-19T00:00:00"/>
        <d v="2026-02-20T00:00:00"/>
        <d v="2026-02-24T00:00:00"/>
        <d v="2026-02-27T00:00:00"/>
        <d v="2026-03-03T00:00:00"/>
        <d v="2026-03-04T00:00:00"/>
        <d v="2026-03-06T00:00:00"/>
        <d v="2026-03-09T00:00:00"/>
        <d v="2026-03-20T00:00:00"/>
        <d v="2026-03-21T00:00:00"/>
        <d v="2026-03-22T00:00:00"/>
        <d v="2026-03-12T00:00:00"/>
        <d v="2026-03-16T00:00:00"/>
        <d v="2026-03-17T00:00:00"/>
        <d v="2026-03-18T00:00:00"/>
      </sharedItems>
      <fieldGroup par="40"/>
    </cacheField>
    <cacheField name="Dr Cr" numFmtId="0">
      <sharedItems count="1">
        <s v="DR"/>
      </sharedItems>
    </cacheField>
    <cacheField name="Beneficiary ID" numFmtId="0">
      <sharedItems containsMixedTypes="1" containsNumber="1" containsInteger="1" minValue="683515" maxValue="899000002896338"/>
    </cacheField>
    <cacheField name="Beneficiary Name" numFmtId="0">
      <sharedItems/>
    </cacheField>
    <cacheField name="Beneficiary First Name" numFmtId="0">
      <sharedItems containsNonDate="0" containsString="0" containsBlank="1"/>
    </cacheField>
    <cacheField name="Beneficiary Last Name" numFmtId="0">
      <sharedItems/>
    </cacheField>
    <cacheField name="Beneficiary Middle Name" numFmtId="0">
      <sharedItems containsNonDate="0" containsString="0" containsBlank="1"/>
    </cacheField>
    <cacheField name="Beneficiary Address" numFmtId="0">
      <sharedItems/>
    </cacheField>
    <cacheField name="Beneficiary Country" numFmtId="0">
      <sharedItems/>
    </cacheField>
    <cacheField name="Beneficiary Type" numFmtId="0">
      <sharedItems/>
    </cacheField>
    <cacheField name="Beneficiary Corporation Or Individual Flag" numFmtId="0">
      <sharedItems containsNonDate="0" containsString="0" containsBlank="1"/>
    </cacheField>
    <cacheField name="Originator ID" numFmtId="0">
      <sharedItems/>
    </cacheField>
    <cacheField name="Originator Name" numFmtId="0">
      <sharedItems/>
    </cacheField>
    <cacheField name="Originator First Name" numFmtId="0">
      <sharedItems/>
    </cacheField>
    <cacheField name="Originator Last Name" numFmtId="0">
      <sharedItems/>
    </cacheField>
    <cacheField name="Originator Middle Name" numFmtId="0">
      <sharedItems containsNonDate="0" containsString="0" containsBlank="1"/>
    </cacheField>
    <cacheField name="Originator Address" numFmtId="0">
      <sharedItems/>
    </cacheField>
    <cacheField name="Originator Country" numFmtId="0">
      <sharedItems/>
    </cacheField>
    <cacheField name="Originator Corporation Or Individual Flag" numFmtId="0">
      <sharedItems containsNonDate="0" containsString="0" containsBlank="1"/>
    </cacheField>
    <cacheField name="MainId" numFmtId="0">
      <sharedItems containsSemiMixedTypes="0" containsString="0" containsNumber="1" containsInteger="1" minValue="1877576904" maxValue="2222663669"/>
    </cacheField>
    <cacheField name="Party Type1" numFmtId="0">
      <sharedItems/>
    </cacheField>
    <cacheField name="Party Name1" numFmtId="0">
      <sharedItems/>
    </cacheField>
    <cacheField name="Party Address1" numFmtId="0">
      <sharedItems/>
    </cacheField>
    <cacheField name="Party Type2" numFmtId="0">
      <sharedItems containsBlank="1"/>
    </cacheField>
    <cacheField name="Party Name2" numFmtId="0">
      <sharedItems containsBlank="1"/>
    </cacheField>
    <cacheField name="Party Address2" numFmtId="0">
      <sharedItems containsBlank="1"/>
    </cacheField>
    <cacheField name="Counterparty" numFmtId="0">
      <sharedItems/>
    </cacheField>
    <cacheField name="Days (Transaction Date)" numFmtId="0" databaseField="0">
      <fieldGroup base="11">
        <rangePr groupBy="days" startDate="2025-08-18T00:00:00" endDate="2026-03-23T00:00:00"/>
        <groupItems count="368">
          <s v="&lt;8/18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23/2026"/>
        </groupItems>
      </fieldGroup>
    </cacheField>
    <cacheField name="Months (Transaction Date)" numFmtId="0" databaseField="0">
      <fieldGroup base="11">
        <rangePr groupBy="months" startDate="2025-08-18T00:00:00" endDate="2026-03-23T00:00:00"/>
        <groupItems count="14">
          <s v="&lt;8/18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3/2026"/>
        </groupItems>
      </fieldGroup>
    </cacheField>
    <cacheField name="Years (Transaction Date)" numFmtId="0" databaseField="0">
      <fieldGroup base="11">
        <rangePr groupBy="years" startDate="2025-08-18T00:00:00" endDate="2026-03-23T00:00:00"/>
        <groupItems count="4">
          <s v="&lt;8/18/2025"/>
          <s v="2025"/>
          <s v="2026"/>
          <s v="&gt;3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1877576904"/>
    <s v="Yes"/>
    <n v="2175800"/>
    <x v="0"/>
    <s v="TM"/>
    <s v="AWX846a7af9081-5439-488a-99d5-3be5e9740d50"/>
    <s v="AWX1000000000009172322"/>
    <s v="AWX_D_00-0220"/>
    <s v="PURCHASE - Clearing Advice"/>
    <s v="USD"/>
    <n v="5600"/>
    <d v="2025-08-18T00:00:00"/>
    <x v="0"/>
    <n v="683515"/>
    <s v="klingai.com"/>
    <m/>
    <s v="klingai.com"/>
    <m/>
    <s v="   SG"/>
    <s v="SG"/>
    <s v="CreditParty"/>
    <m/>
    <s v="AWX846a7af9081-5439-488a-99d5-3be5e9740d50"/>
    <s v="MIKHAIL AVADY"/>
    <s v="MIKHAIL"/>
    <s v="AVADY"/>
    <m/>
    <s v="4995 MARISTONE LANDING WAY SUITE 800 30040 US"/>
    <s v="US"/>
    <m/>
    <n v="1877576904"/>
    <s v="BeneficialOwner"/>
    <s v="  PRODIA LABS INC."/>
    <s v="1155 MOUNT VERNON HIGHWAY SUITE 800 30338  US"/>
    <s v="BeneficialOwner"/>
    <s v="  PRODIA LABS INC."/>
    <s v="1155 MOUNT VERNON HIGHWAY SUITE 800 30338  US"/>
    <x v="0"/>
  </r>
  <r>
    <n v="1877580388"/>
    <s v="No"/>
    <m/>
    <x v="1"/>
    <m/>
    <s v="AWX8467827f4be-0daa-4cdd-853b-8df26ac1f642"/>
    <s v="AWX1000000000009180062"/>
    <s v="AWX_D_00-0220"/>
    <s v="PURCHASE - Clearing Advice"/>
    <s v="USD"/>
    <n v="1018.65"/>
    <d v="2025-08-18T00:00:00"/>
    <x v="0"/>
    <s v="OMRFEERZ1WRKKXW"/>
    <s v="PYMT* APRIO LLP"/>
    <m/>
    <s v="PYMT* APRIO LLP"/>
    <m/>
    <s v="   US"/>
    <s v="US"/>
    <s v="CreditParty"/>
    <m/>
    <s v="AWX8467827f4be-0daa-4cdd-853b-8df26ac1f642"/>
    <s v="MIKHAIL AVADY"/>
    <s v="MIKHAIL"/>
    <s v="AVADY"/>
    <m/>
    <s v="4995 MARISTONE LANDING WAY SUITE 800 30040 US"/>
    <s v="US"/>
    <m/>
    <n v="1877580388"/>
    <s v="BeneficialOwner"/>
    <s v="  PRODIA LABS INC."/>
    <s v="1155 MOUNT VERNON HIGHWAY SUITE 800 30338  US"/>
    <s v="BeneficialOwner"/>
    <s v="  PRODIA LABS INC."/>
    <s v="1155 MOUNT VERNON HIGHWAY SUITE 800 30338  US"/>
    <x v="1"/>
  </r>
  <r>
    <n v="1902689473"/>
    <s v="No"/>
    <m/>
    <x v="1"/>
    <m/>
    <s v="AWX846cc7167a8-ca38-49ea-a3b3-4a7f65430a57"/>
    <s v="AWX1000000000010534971"/>
    <s v="AWX_D_00-0220"/>
    <s v="PURCHASE - Clearing Advice"/>
    <s v="USD"/>
    <n v="29"/>
    <d v="2025-09-02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1902689473"/>
    <s v="BeneficialOwner"/>
    <s v="  PRODIA LABS INC."/>
    <s v="1155 MOUNT VERNON HIGHWAY SUITE 800 30338  US"/>
    <s v="BeneficialOwner"/>
    <s v="  PRODIA LABS INC."/>
    <s v="1155 MOUNT VERNON HIGHWAY SUITE 800 30338  US"/>
    <x v="2"/>
  </r>
  <r>
    <n v="1915597846"/>
    <s v="No"/>
    <m/>
    <x v="1"/>
    <m/>
    <s v="AWX846bab5e649-61b4-4585-bbbe-a7576847fc98"/>
    <s v="AWX1000000000011671693"/>
    <s v="AWX_D_50-0220"/>
    <s v="PAY_OTHER_PARTY - Clearing Advice"/>
    <s v="USD"/>
    <n v="3420"/>
    <d v="2025-09-11T00:00:00"/>
    <x v="0"/>
    <s v="VAJG9RECGQ85RUM"/>
    <s v="CARTA (ESHARES)"/>
    <m/>
    <s v="CARTA (ESHARES)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1915597846"/>
    <s v="BeneficialOwner"/>
    <s v="  PRODIA LABS INC."/>
    <s v="1155 MOUNT VERNON HIGHWAY SUITE 800 30338  US"/>
    <s v="BeneficialOwner"/>
    <s v="  PRODIA LABS INC."/>
    <s v="1155 MOUNT VERNON HIGHWAY SUITE 800 30338  US"/>
    <x v="3"/>
  </r>
  <r>
    <n v="1925170284"/>
    <s v="No"/>
    <m/>
    <x v="1"/>
    <m/>
    <s v="AWX84606500f95-92e0-434d-a3d1-d1dc98003e95"/>
    <s v="AWX1000000000012316055"/>
    <s v="AWX_D_00-0220"/>
    <s v="PURCHASE - Clearing Advice"/>
    <s v="USD"/>
    <n v="149"/>
    <d v="2025-09-17T00:00:00"/>
    <x v="0"/>
    <s v="NFEH7CD6GOFC6BA"/>
    <s v="RB2B PRO"/>
    <m/>
    <s v="RB2B PRO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25170284"/>
    <s v="BeneficialOwner"/>
    <s v="  PRODIA LABS INC."/>
    <s v="1155 MOUNT VERNON HIGHWAY SUITE 800 30338  US"/>
    <s v="BeneficialOwner"/>
    <s v="  PRODIA LABS INC."/>
    <s v="1155 MOUNT VERNON HIGHWAY SUITE 800 30338  US"/>
    <x v="4"/>
  </r>
  <r>
    <n v="1926412605"/>
    <s v="No"/>
    <m/>
    <x v="1"/>
    <m/>
    <s v="AWX846bab5e649-61b4-4585-bbbe-a7576847fc98"/>
    <s v="AWX1000000000012396996"/>
    <s v="AWX_D_00-0220"/>
    <s v="PURCHASE - Clearing Advice"/>
    <s v="USD"/>
    <n v="300"/>
    <d v="2025-09-18T00:00:00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1926412605"/>
    <s v="BeneficialOwner"/>
    <s v="  PRODIA LABS INC."/>
    <s v="1155 MOUNT VERNON HIGHWAY SUITE 800 30338  US"/>
    <s v="BeneficialOwner"/>
    <s v="  PRODIA LABS INC."/>
    <s v="1155 MOUNT VERNON HIGHWAY SUITE 800 30338  US"/>
    <x v="5"/>
  </r>
  <r>
    <n v="1929653768"/>
    <s v="No"/>
    <m/>
    <x v="1"/>
    <m/>
    <s v="AWX84606500f95-92e0-434d-a3d1-d1dc98003e95"/>
    <s v="AWX1000000000012620334"/>
    <s v="AWX_D_00-0220"/>
    <s v="PURCHASE - Clearing Advice"/>
    <s v="USD"/>
    <n v="28"/>
    <d v="2025-09-20T00:00:00"/>
    <x v="0"/>
    <s v="SAGJJ8SMSOMRFCY"/>
    <s v="LEADIQ SUB* LEADIQ SUB"/>
    <m/>
    <s v="LEADIQ SUB* LEADIQ SUB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29653768"/>
    <s v="BeneficialOwner"/>
    <s v="  PRODIA LABS INC."/>
    <s v="1155 MOUNT VERNON HIGHWAY SUITE 800 30338  US"/>
    <s v="BeneficialOwner"/>
    <s v="  PRODIA LABS INC."/>
    <s v="1155 MOUNT VERNON HIGHWAY SUITE 800 30338  US"/>
    <x v="6"/>
  </r>
  <r>
    <n v="1934670783"/>
    <s v="No"/>
    <m/>
    <x v="1"/>
    <m/>
    <s v="AWX84606500f95-92e0-434d-a3d1-d1dc98003e95"/>
    <s v="AWX1000000000013044412"/>
    <s v="AWX_D_00-0220"/>
    <s v="PURCHASE - Clearing Advice"/>
    <s v="USD"/>
    <n v="66"/>
    <d v="2025-09-23T00:00:00"/>
    <x v="0"/>
    <s v="SAGJJ8SMSOMRFCY"/>
    <s v="LEADIQ SUB* LEADIQ SUB"/>
    <m/>
    <s v="LEADIQ SUB* LEADIQ SUB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34670783"/>
    <s v="BeneficialOwner"/>
    <s v="  PRODIA LABS INC."/>
    <s v="1155 MOUNT VERNON HIGHWAY SUITE 800 30338  US"/>
    <s v="BeneficialOwner"/>
    <s v="  PRODIA LABS INC."/>
    <s v="1155 MOUNT VERNON HIGHWAY SUITE 800 30338  US"/>
    <x v="6"/>
  </r>
  <r>
    <n v="1936227053"/>
    <s v="No"/>
    <m/>
    <x v="1"/>
    <m/>
    <s v="AWX84606500f95-92e0-434d-a3d1-d1dc98003e95"/>
    <s v="AWX1000000000013077120"/>
    <s v="AWX_D_00-0220"/>
    <s v="PURCHASE - Clearing Advice"/>
    <s v="USD"/>
    <n v="149"/>
    <d v="2025-09-24T00:00:00"/>
    <x v="0"/>
    <s v="UOVWETCXR4QL2AC"/>
    <s v="CLAY LABS INC"/>
    <m/>
    <s v="CLAY LABS INC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36227053"/>
    <s v="BeneficialOwner"/>
    <s v="  PRODIA LABS INC."/>
    <s v="1155 MOUNT VERNON HIGHWAY SUITE 800 30338  US"/>
    <s v="BeneficialOwner"/>
    <s v="  PRODIA LABS INC."/>
    <s v="1155 MOUNT VERNON HIGHWAY SUITE 800 30338  US"/>
    <x v="7"/>
  </r>
  <r>
    <n v="1949860012"/>
    <s v="No"/>
    <m/>
    <x v="1"/>
    <m/>
    <s v="AWX846cc7167a8-ca38-49ea-a3b3-4a7f65430a57"/>
    <s v="AWX1000000000013874400"/>
    <s v="AWX_D_00-0220"/>
    <s v="PURCHASE - Clearing Advice"/>
    <s v="USD"/>
    <n v="29"/>
    <d v="2025-10-02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1949860012"/>
    <s v="BeneficialOwner"/>
    <s v="  PRODIA LABS INC."/>
    <s v="1155 MOUNT VERNON HIGHWAY SUITE 800 30338  US"/>
    <s v="BeneficialOwner"/>
    <s v="  PRODIA LABS INC."/>
    <s v="1155 MOUNT VERNON HIGHWAY SUITE 800 30338  US"/>
    <x v="2"/>
  </r>
  <r>
    <n v="1972926945"/>
    <s v="No"/>
    <m/>
    <x v="1"/>
    <m/>
    <s v="AWX846cc7167a8-ca38-49ea-a3b3-4a7f65430a57"/>
    <s v="AWX1000000000015612900"/>
    <s v="AWX_D_00-0220"/>
    <s v="PURCHASE - Clearing Advice"/>
    <s v="USD"/>
    <n v="24"/>
    <d v="2025-10-16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1972926945"/>
    <s v="BeneficialOwner"/>
    <s v="  PRODIA LABS INC."/>
    <s v="1155 MOUNT VERNON HIGHWAY SUITE 800 30338  US"/>
    <s v="BeneficialOwner"/>
    <s v="  PRODIA LABS INC."/>
    <s v="1155 MOUNT VERNON HIGHWAY SUITE 800 30338  US"/>
    <x v="2"/>
  </r>
  <r>
    <n v="1976077512"/>
    <s v="No"/>
    <m/>
    <x v="1"/>
    <m/>
    <s v="AWX846bab5e649-61b4-4585-bbbe-a7576847fc98"/>
    <s v="AWX1000000000015838385"/>
    <s v="AWX_D_00-0220"/>
    <s v="PURCHASE - Clearing Advice"/>
    <s v="USD"/>
    <n v="300"/>
    <d v="2025-10-18T00:00:00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1976077512"/>
    <s v="BeneficialOwner"/>
    <s v="  PRODIA LABS INC."/>
    <s v="1155 MOUNT VERNON HIGHWAY SUITE 800 30338  US"/>
    <s v="BeneficialOwner"/>
    <s v="  PRODIA LABS INC."/>
    <s v="1155 MOUNT VERNON HIGHWAY SUITE 800 30338  US"/>
    <x v="5"/>
  </r>
  <r>
    <n v="1976091570"/>
    <s v="No"/>
    <m/>
    <x v="1"/>
    <m/>
    <s v="AWX84606500f95-92e0-434d-a3d1-d1dc98003e95"/>
    <s v="AWX1000000000015865206"/>
    <s v="AWX_D_00-0220"/>
    <s v="PURCHASE - Clearing Advice"/>
    <s v="USD"/>
    <n v="149"/>
    <d v="2025-10-18T00:00:00"/>
    <x v="0"/>
    <s v="NFEH7CD6GOFC6BA"/>
    <s v="RB2B PRO"/>
    <m/>
    <s v="RB2B PRO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76091570"/>
    <s v="BeneficialOwner"/>
    <s v="  PRODIA LABS INC."/>
    <s v="1155 MOUNT VERNON HIGHWAY SUITE 800 30338  US"/>
    <s v="BeneficialOwner"/>
    <s v="  PRODIA LABS INC."/>
    <s v="1155 MOUNT VERNON HIGHWAY SUITE 800 30338  US"/>
    <x v="4"/>
  </r>
  <r>
    <n v="1980957491"/>
    <s v="No"/>
    <m/>
    <x v="1"/>
    <m/>
    <s v="AWX846bab5e649-61b4-4585-bbbe-a7576847fc98"/>
    <s v="AWX1000000000016086061"/>
    <s v="AWX_D_00-0220"/>
    <s v="PURCHASE - Clearing Advice"/>
    <s v="USD"/>
    <n v="141.22999999999999"/>
    <d v="2025-10-21T00:00:00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1980957491"/>
    <s v="BeneficialOwner"/>
    <s v="  PRODIA LABS INC."/>
    <s v="1155 MOUNT VERNON HIGHWAY SUITE 800 30338  US"/>
    <s v="BeneficialOwner"/>
    <s v="  PRODIA LABS INC."/>
    <s v="1155 MOUNT VERNON HIGHWAY SUITE 800 30338  US"/>
    <x v="8"/>
  </r>
  <r>
    <n v="1984845427"/>
    <s v="No"/>
    <m/>
    <x v="1"/>
    <m/>
    <s v="AWX84606500f95-92e0-434d-a3d1-d1dc98003e95"/>
    <s v="AWX1000000000016625157"/>
    <s v="AWX_D_00-0220"/>
    <s v="PURCHASE - Clearing Advice"/>
    <s v="USD"/>
    <n v="149"/>
    <d v="2025-10-24T00:00:00"/>
    <x v="0"/>
    <s v="UOVWETCXR4QL2AC"/>
    <s v="CLAY LABS INC"/>
    <m/>
    <s v="CLAY LABS INC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84845427"/>
    <s v="BeneficialOwner"/>
    <s v="  PRODIA LABS INC."/>
    <s v="1155 MOUNT VERNON HIGHWAY SUITE 800 30338  US"/>
    <s v="BeneficialOwner"/>
    <s v="  PRODIA LABS INC."/>
    <s v="1155 MOUNT VERNON HIGHWAY SUITE 800 30338  US"/>
    <x v="7"/>
  </r>
  <r>
    <n v="2000549558"/>
    <s v="No"/>
    <m/>
    <x v="1"/>
    <m/>
    <s v="AWX846cc7167a8-ca38-49ea-a3b3-4a7f65430a57"/>
    <s v="AWX1000000000017723920"/>
    <s v="AWX_D_00-0220"/>
    <s v="PURCHASE - Clearing Advice"/>
    <s v="USD"/>
    <n v="29"/>
    <d v="2025-11-02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000549558"/>
    <s v="BeneficialOwner"/>
    <s v="  PRODIA LABS INC."/>
    <s v="1155 MOUNT VERNON HIGHWAY SUITE 800 30338  US"/>
    <s v="BeneficialOwner"/>
    <s v="  PRODIA LABS INC."/>
    <s v="1155 MOUNT VERNON HIGHWAY SUITE 800 30338  US"/>
    <x v="2"/>
  </r>
  <r>
    <n v="2002239063"/>
    <s v="No"/>
    <m/>
    <x v="1"/>
    <m/>
    <s v="AWX846bab5e649-61b4-4585-bbbe-a7576847fc98"/>
    <s v="AWX1000000000017847942"/>
    <s v="AWX_D_00-0220"/>
    <s v="PURCHASE - Clearing Advice"/>
    <s v="USD"/>
    <n v="339"/>
    <d v="2025-11-03T00:00:00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02239063"/>
    <s v="BeneficialOwner"/>
    <s v="  PRODIA LABS INC."/>
    <s v="1155 MOUNT VERNON HIGHWAY SUITE 800 30338  US"/>
    <s v="BeneficialOwner"/>
    <s v="  PRODIA LABS INC."/>
    <s v="1155 MOUNT VERNON HIGHWAY SUITE 800 30338  US"/>
    <x v="8"/>
  </r>
  <r>
    <n v="2022831920"/>
    <s v="No"/>
    <m/>
    <x v="1"/>
    <m/>
    <s v="AWX84606500f95-92e0-434d-a3d1-d1dc98003e95"/>
    <s v="AWX1000000000020311189"/>
    <s v="AWX_D_50-0220"/>
    <s v="PAY_OTHER_PARTY - Clearing Advice"/>
    <s v="USD"/>
    <n v="200"/>
    <d v="2025-11-11T00:00:00"/>
    <x v="0"/>
    <s v="UMKRPMGSFE9MLSE"/>
    <s v="AUCTION IT WIZARD"/>
    <m/>
    <s v="AUCTION IT WIZARD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22831920"/>
    <s v="BeneficialOwner"/>
    <s v="  PRODIA LABS INC."/>
    <s v="1155 MOUNT VERNON HIGHWAY SUITE 800 30338  US"/>
    <s v="BeneficialOwner"/>
    <s v="  PRODIA LABS INC."/>
    <s v="1155 MOUNT VERNON HIGHWAY SUITE 800 30338  US"/>
    <x v="9"/>
  </r>
  <r>
    <n v="2023396316"/>
    <s v="No"/>
    <m/>
    <x v="1"/>
    <m/>
    <s v="AWX846cc7167a8-ca38-49ea-a3b3-4a7f65430a57"/>
    <s v="AWX1000000000020382964"/>
    <s v="AWX_D_00-0220"/>
    <s v="PURCHASE - Clearing Advice"/>
    <s v="USD"/>
    <n v="24"/>
    <d v="2025-11-16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023396316"/>
    <s v="BeneficialOwner"/>
    <s v="  PRODIA LABS INC."/>
    <s v="1155 MOUNT VERNON HIGHWAY SUITE 800 30338  US"/>
    <s v="BeneficialOwner"/>
    <s v="  PRODIA LABS INC."/>
    <s v="1155 MOUNT VERNON HIGHWAY SUITE 800 30338  US"/>
    <x v="2"/>
  </r>
  <r>
    <n v="2025054663"/>
    <s v="No"/>
    <m/>
    <x v="1"/>
    <m/>
    <s v="AWX84606500f95-92e0-434d-a3d1-d1dc98003e95"/>
    <s v="AWX1000000000020725886"/>
    <s v="AWX_D_00-0220"/>
    <s v="PURCHASE - Clearing Advice"/>
    <s v="USD"/>
    <n v="177.9"/>
    <d v="2025-11-17T00:00:00"/>
    <x v="0"/>
    <s v="NFEH7CD6GOFC6BA"/>
    <s v="RB2B PRO"/>
    <m/>
    <s v="RB2B PRO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25054663"/>
    <s v="BeneficialOwner"/>
    <s v="  PRODIA LABS INC."/>
    <s v="1155 MOUNT VERNON HIGHWAY SUITE 800 30338  US"/>
    <s v="BeneficialOwner"/>
    <s v="  PRODIA LABS INC."/>
    <s v="1155 MOUNT VERNON HIGHWAY SUITE 800 30338  US"/>
    <x v="4"/>
  </r>
  <r>
    <n v="2026830842"/>
    <s v="No"/>
    <m/>
    <x v="1"/>
    <m/>
    <s v="AWX846bab5e649-61b4-4585-bbbe-a7576847fc98"/>
    <s v="AWX1000000000020796614"/>
    <s v="AWX_D_00-0220"/>
    <s v="PURCHASE - Clearing Advice"/>
    <s v="USD"/>
    <n v="300"/>
    <d v="2025-11-18T00:00:00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26830842"/>
    <s v="BeneficialOwner"/>
    <s v="  PRODIA LABS INC."/>
    <s v="1155 MOUNT VERNON HIGHWAY SUITE 800 30338  US"/>
    <s v="BeneficialOwner"/>
    <s v="  PRODIA LABS INC."/>
    <s v="1155 MOUNT VERNON HIGHWAY SUITE 800 30338  US"/>
    <x v="5"/>
  </r>
  <r>
    <n v="2028190494"/>
    <s v="No"/>
    <m/>
    <x v="1"/>
    <m/>
    <s v="AWX84606500f95-92e0-434d-a3d1-d1dc98003e95"/>
    <s v="AWX1000000000020914680"/>
    <s v="AWX_D_00-0220"/>
    <s v="PURCHASE - Clearing Advice"/>
    <s v="USD"/>
    <n v="94"/>
    <d v="2025-11-19T00:00:00"/>
    <x v="0"/>
    <s v="SAGJJ8SMSOMRFCY"/>
    <s v="LEADIQ SUB* LEADIQ SUB"/>
    <m/>
    <s v="LEADIQ SUB* LEADIQ SUB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28190494"/>
    <s v="BeneficialOwner"/>
    <s v="  PRODIA LABS INC."/>
    <s v="1155 MOUNT VERNON HIGHWAY SUITE 800 30338  US"/>
    <s v="BeneficialOwner"/>
    <s v="  PRODIA LABS INC."/>
    <s v="1155 MOUNT VERNON HIGHWAY SUITE 800 30338  US"/>
    <x v="6"/>
  </r>
  <r>
    <n v="2035684443"/>
    <s v="No"/>
    <m/>
    <x v="1"/>
    <m/>
    <s v="AWX84606500f95-92e0-434d-a3d1-d1dc98003e95"/>
    <s v="AWX1000000000018661067"/>
    <s v="AWX_D_00-0220"/>
    <s v="PURCHASE - Clearing Advice"/>
    <s v="USD"/>
    <n v="149"/>
    <d v="2025-11-24T00:00:00"/>
    <x v="0"/>
    <s v="UOVWETCXR4QL2AC"/>
    <s v="CLAY LABS INC"/>
    <m/>
    <s v="CLAY LABS INC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35684443"/>
    <s v="BeneficialOwner"/>
    <s v="  PRODIA LABS INC."/>
    <s v="1155 MOUNT VERNON HIGHWAY SUITE 800 30338  US"/>
    <s v="BeneficialOwner"/>
    <s v="  PRODIA LABS INC."/>
    <s v="1155 MOUNT VERNON HIGHWAY SUITE 800 30338  US"/>
    <x v="7"/>
  </r>
  <r>
    <n v="2041396592"/>
    <s v="No"/>
    <m/>
    <x v="1"/>
    <m/>
    <s v="AWX846bab5e649-61b4-4585-bbbe-a7576847fc98"/>
    <s v="AWX1000000000019191011"/>
    <s v="AWX_D_00-0220"/>
    <s v="PURCHASE - Clearing Advice"/>
    <s v="USD"/>
    <n v="1616.24"/>
    <d v="2025-11-28T00:00:00"/>
    <x v="0"/>
    <n v="50300000009944"/>
    <s v="BESTBUYCOM807112975695"/>
    <m/>
    <s v="BESTBUYCOM807112975695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41396592"/>
    <s v="BeneficialOwner"/>
    <s v="  PRODIA LABS INC."/>
    <s v="1155 MOUNT VERNON HIGHWAY SUITE 800 30338  US"/>
    <s v="BeneficialOwner"/>
    <s v="  PRODIA LABS INC."/>
    <s v="1155 MOUNT VERNON HIGHWAY SUITE 800 30338  US"/>
    <x v="10"/>
  </r>
  <r>
    <n v="2050081074"/>
    <s v="No"/>
    <m/>
    <x v="1"/>
    <m/>
    <s v="AWX846cc7167a8-ca38-49ea-a3b3-4a7f65430a57"/>
    <s v="AWX1000000000019529715"/>
    <s v="AWX_D_00-0220"/>
    <s v="PURCHASE - Clearing Advice"/>
    <s v="USD"/>
    <n v="29"/>
    <d v="2025-12-02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050081074"/>
    <s v="BeneficialOwner"/>
    <s v="  PRODIA LABS INC."/>
    <s v="1155 MOUNT VERNON HIGHWAY SUITE 800 30338  US"/>
    <m/>
    <m/>
    <m/>
    <x v="2"/>
  </r>
  <r>
    <n v="2051340952"/>
    <s v="Yes"/>
    <n v="2257336"/>
    <x v="0"/>
    <s v="TM"/>
    <s v="AWX846bab5e649-61b4-4585-bbbe-a7576847fc98"/>
    <s v="AWX1000000000019755294"/>
    <s v="AWX_D_00-0220"/>
    <s v="PURCHASE - Clearing Advice"/>
    <s v="USD"/>
    <n v="3939"/>
    <d v="2025-12-03T00:00:00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51340952"/>
    <s v="BeneficialOwner"/>
    <s v="  PRODIA LABS INC."/>
    <s v="1155 MOUNT VERNON HIGHWAY SUITE 800 30338  US"/>
    <m/>
    <m/>
    <m/>
    <x v="8"/>
  </r>
  <r>
    <n v="2051349898"/>
    <s v="No"/>
    <m/>
    <x v="1"/>
    <m/>
    <s v="AWX84681523300-d17d-460f-8036-ea3cfed87fd1"/>
    <s v="AWX1000000000019778472"/>
    <s v="AWX_D_00-0220"/>
    <s v="PURCHASE - Clearing Advice"/>
    <s v="USD"/>
    <n v="50"/>
    <d v="2025-12-03T00:00:00"/>
    <x v="0"/>
    <s v="NFRUAZTNFIJDESD"/>
    <s v="FAL FEATURES LABELS"/>
    <m/>
    <s v="FAL FEATURES LABELS"/>
    <m/>
    <s v="   US"/>
    <s v="US"/>
    <s v="CreditParty"/>
    <m/>
    <s v="AWX84681523300-d17d-460f-8036-ea3cfed87fd1"/>
    <s v="MIKHAIL AVADY"/>
    <s v="MIKHAIL"/>
    <s v="AVADY"/>
    <m/>
    <s v="4995 MARISTONE LANDING WAY SUITE 800 30040 US"/>
    <s v="US"/>
    <m/>
    <n v="2051349898"/>
    <s v="BeneficialOwner"/>
    <s v="  PRODIA LABS INC."/>
    <s v="1155 MOUNT VERNON HIGHWAY SUITE 800 30338  US"/>
    <m/>
    <m/>
    <m/>
    <x v="11"/>
  </r>
  <r>
    <n v="2059092226"/>
    <s v="No"/>
    <m/>
    <x v="1"/>
    <m/>
    <s v="AWX846cc7167a8-ca38-49ea-a3b3-4a7f65430a57"/>
    <s v="AWX1000000000021549121"/>
    <s v="AWX_D_00-0220"/>
    <s v="PURCHASE - Clearing Advice"/>
    <s v="USD"/>
    <n v="29"/>
    <d v="2025-12-08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059092226"/>
    <s v="BeneficialOwner"/>
    <s v="  PRODIA LABS INC."/>
    <s v="1155 MOUNT VERNON HIGHWAY SUITE 800 30338  US"/>
    <m/>
    <m/>
    <m/>
    <x v="2"/>
  </r>
  <r>
    <n v="2071646841"/>
    <s v="No"/>
    <m/>
    <x v="1"/>
    <m/>
    <s v="AWX846cc7167a8-ca38-49ea-a3b3-4a7f65430a57"/>
    <s v="AWX1000000000022503014"/>
    <s v="AWX_D_00-0220"/>
    <s v="PURCHASE - Clearing Advice"/>
    <s v="USD"/>
    <n v="24"/>
    <d v="2025-12-16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071646841"/>
    <s v="BeneficialOwner"/>
    <s v="  PRODIA LABS INC."/>
    <s v="1155 MOUNT VERNON HIGHWAY SUITE 800 30338  US"/>
    <m/>
    <m/>
    <m/>
    <x v="2"/>
  </r>
  <r>
    <n v="2072853946"/>
    <s v="No"/>
    <m/>
    <x v="1"/>
    <m/>
    <s v="AWX84606500f95-92e0-434d-a3d1-d1dc98003e95"/>
    <s v="AWX1000000000022737192"/>
    <s v="AWX_D_00-0220"/>
    <s v="PURCHASE - Clearing Advice"/>
    <s v="USD"/>
    <n v="149"/>
    <d v="2025-12-17T00:00:00"/>
    <x v="0"/>
    <s v="NFEH7CD6GOFC6BA"/>
    <s v="RB2B PRO"/>
    <m/>
    <s v="RB2B PRO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72853946"/>
    <s v="BeneficialOwner"/>
    <s v="  PRODIA LABS INC."/>
    <s v="1155 MOUNT VERNON HIGHWAY SUITE 800 30338  US"/>
    <m/>
    <m/>
    <m/>
    <x v="4"/>
  </r>
  <r>
    <n v="2074141628"/>
    <s v="No"/>
    <m/>
    <x v="1"/>
    <m/>
    <s v="AWX846bab5e649-61b4-4585-bbbe-a7576847fc98"/>
    <s v="AWX1000000000022844098"/>
    <s v="AWX_D_00-0220"/>
    <s v="PURCHASE - Clearing Advice"/>
    <s v="USD"/>
    <n v="300"/>
    <d v="2025-12-18T00:00:00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74141628"/>
    <s v="BeneficialOwner"/>
    <s v="  PRODIA LABS INC."/>
    <s v="1155 MOUNT VERNON HIGHWAY SUITE 800 30338  US"/>
    <m/>
    <m/>
    <m/>
    <x v="5"/>
  </r>
  <r>
    <n v="2075482077"/>
    <s v="No"/>
    <m/>
    <x v="1"/>
    <m/>
    <s v="AWX84606500f95-92e0-434d-a3d1-d1dc98003e95"/>
    <s v="AWX1000000000022958943"/>
    <s v="AWX_D_00-0220"/>
    <s v="PURCHASE - Clearing Advice"/>
    <s v="USD"/>
    <n v="94"/>
    <d v="2025-12-19T00:00:00"/>
    <x v="0"/>
    <s v="SAGJJ8SMSOMRFCY"/>
    <s v="LEADIQ SUB* LEADIQ SUB"/>
    <m/>
    <s v="LEADIQ SUB* LEADIQ SUB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75482077"/>
    <s v="BeneficialOwner"/>
    <s v="  PRODIA LABS INC."/>
    <s v="1155 MOUNT VERNON HIGHWAY SUITE 800 30338  US"/>
    <m/>
    <m/>
    <m/>
    <x v="6"/>
  </r>
  <r>
    <n v="2084014795"/>
    <s v="No"/>
    <m/>
    <x v="1"/>
    <m/>
    <s v="AWX84606500f95-92e0-434d-a3d1-d1dc98003e95"/>
    <s v="AWX1000000000023623269"/>
    <s v="AWX_D_00-0220"/>
    <s v="PURCHASE - Clearing Advice"/>
    <s v="USD"/>
    <n v="149"/>
    <d v="2025-12-24T00:00:00"/>
    <x v="0"/>
    <s v="UOVWETCXR4QL2AC"/>
    <s v="CLAY LABS INC"/>
    <m/>
    <s v="CLAY LABS INC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84014795"/>
    <s v="BeneficialOwner"/>
    <s v="  PRODIA LABS INC."/>
    <s v="1155 MOUNT VERNON HIGHWAY SUITE 800 30338  US"/>
    <m/>
    <m/>
    <m/>
    <x v="7"/>
  </r>
  <r>
    <n v="2108718849"/>
    <s v="No"/>
    <m/>
    <x v="1"/>
    <m/>
    <s v="AWX846bab5e649-61b4-4585-bbbe-a7576847fc98"/>
    <s v="AWX1000000000026643268"/>
    <s v="AWX_D_00-0220"/>
    <s v="PURCHASE - Clearing Advice"/>
    <s v="USD"/>
    <n v="500"/>
    <d v="2026-01-08T00:00:00"/>
    <x v="0"/>
    <s v="EWFBZZ0CDDMOP2E"/>
    <s v="PARAFORM.COM"/>
    <m/>
    <s v="PARAFORM.COM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08718849"/>
    <s v="BeneficialOwner"/>
    <s v="  PRODIA LABS INC."/>
    <s v="1155 MOUNT VERNON HIGHWAY SUITE 800 30338  US"/>
    <m/>
    <m/>
    <m/>
    <x v="12"/>
  </r>
  <r>
    <n v="2108736531"/>
    <s v="No"/>
    <m/>
    <x v="1"/>
    <m/>
    <s v="AWX846bab5e649-61b4-4585-bbbe-a7576847fc98"/>
    <s v="AWX1000000000026710802"/>
    <s v="AWX_D_00-0220"/>
    <s v="PURCHASE - Clearing Advice"/>
    <s v="USD"/>
    <n v="339"/>
    <d v="2026-01-08T00:00:00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08736531"/>
    <s v="BeneficialOwner"/>
    <s v="  PRODIA LABS INC."/>
    <s v="1155 MOUNT VERNON HIGHWAY SUITE 800 30338  US"/>
    <m/>
    <m/>
    <m/>
    <x v="8"/>
  </r>
  <r>
    <n v="2110068835"/>
    <s v="No"/>
    <m/>
    <x v="1"/>
    <m/>
    <s v="AWX846cc7167a8-ca38-49ea-a3b3-4a7f65430a57"/>
    <s v="AWX1000000000026865226"/>
    <s v="AWX_D_00-0220"/>
    <s v="PURCHASE - Clearing Advice"/>
    <s v="USD"/>
    <n v="29"/>
    <d v="2026-01-09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10068835"/>
    <s v="BeneficialOwner"/>
    <s v="  PRODIA LABS INC."/>
    <s v="1155 MOUNT VERNON HIGHWAY SUITE 800 30338  US"/>
    <m/>
    <m/>
    <m/>
    <x v="2"/>
  </r>
  <r>
    <n v="2120169353"/>
    <s v="No"/>
    <m/>
    <x v="1"/>
    <m/>
    <s v="AWX846cc7167a8-ca38-49ea-a3b3-4a7f65430a57"/>
    <s v="AWX1000000000027510993"/>
    <s v="AWX_D_00-0220"/>
    <s v="PURCHASE - Clearing Advice"/>
    <s v="USD"/>
    <n v="24"/>
    <d v="2026-01-16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20169353"/>
    <s v="BeneficialOwner"/>
    <s v="  PRODIA LABS INC."/>
    <s v="1155 MOUNT VERNON HIGHWAY SUITE 800 30338  US"/>
    <m/>
    <m/>
    <m/>
    <x v="2"/>
  </r>
  <r>
    <n v="2123298888"/>
    <s v="No"/>
    <m/>
    <x v="1"/>
    <m/>
    <s v="AWX846bab5e649-61b4-4585-bbbe-a7576847fc98"/>
    <s v="AWX1000000000027648583"/>
    <s v="AWX_D_00-0220"/>
    <s v="PURCHASE - Clearing Advice"/>
    <s v="USD"/>
    <n v="300"/>
    <d v="2026-01-18T00:00:00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23298888"/>
    <s v="BeneficialOwner"/>
    <s v="  PRODIA LABS INC."/>
    <s v="1155 MOUNT VERNON HIGHWAY SUITE 800 30338  US"/>
    <m/>
    <m/>
    <m/>
    <x v="5"/>
  </r>
  <r>
    <n v="2123299120"/>
    <s v="No"/>
    <m/>
    <x v="1"/>
    <m/>
    <s v="AWX84606500f95-92e0-434d-a3d1-d1dc98003e95"/>
    <s v="AWX1000000000027648817"/>
    <s v="AWX_D_00-0220"/>
    <s v="PURCHASE - Clearing Advice"/>
    <s v="USD"/>
    <n v="234"/>
    <d v="2026-01-18T00:00:00"/>
    <x v="0"/>
    <s v="NFEH7CD6GOFC6BA"/>
    <s v="RB2B.COM"/>
    <m/>
    <s v="RB2B.COM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123299120"/>
    <s v="BeneficialOwner"/>
    <s v="  PRODIA LABS INC."/>
    <s v="1155 MOUNT VERNON HIGHWAY SUITE 800 30338  US"/>
    <m/>
    <m/>
    <m/>
    <x v="13"/>
  </r>
  <r>
    <n v="2132552706"/>
    <s v="No"/>
    <m/>
    <x v="1"/>
    <m/>
    <s v="AWX84606500f95-92e0-434d-a3d1-d1dc98003e95"/>
    <s v="AWX1000000000028107476"/>
    <s v="AWX_D_00-0220"/>
    <s v="PURCHASE - Clearing Advice"/>
    <s v="USD"/>
    <n v="149"/>
    <d v="2026-01-24T00:00:00"/>
    <x v="0"/>
    <s v="UOVWETCXR4QL2AC"/>
    <s v="CLAY LABS INC"/>
    <m/>
    <s v="CLAY LABS INC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132552706"/>
    <s v="BeneficialOwner"/>
    <s v="  PRODIA LABS INC."/>
    <s v="1155 MOUNT VERNON HIGHWAY SUITE 800 30338  US"/>
    <m/>
    <m/>
    <m/>
    <x v="7"/>
  </r>
  <r>
    <n v="2138613456"/>
    <s v="No"/>
    <m/>
    <x v="1"/>
    <m/>
    <s v="AWX84606500f95-92e0-434d-a3d1-d1dc98003e95"/>
    <s v="AWX1000000000028392478"/>
    <s v="AWX_D_00-0220"/>
    <s v="PURCHASE - Clearing Advice"/>
    <s v="USD"/>
    <n v="94"/>
    <d v="2025-10-19T00:00:00"/>
    <x v="0"/>
    <s v="SAGJJ8SMSOMRFCY"/>
    <s v="LEADIQ SUB* LEADIQ SUB"/>
    <m/>
    <s v="LEADIQ SUB* LEADIQ SUB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138613456"/>
    <s v="BeneficialOwner"/>
    <s v="  PRODIA LABS INC."/>
    <s v="1155 MOUNT VERNON HIGHWAY SUITE 800 30338  US"/>
    <m/>
    <m/>
    <m/>
    <x v="6"/>
  </r>
  <r>
    <n v="2147425743"/>
    <s v="No"/>
    <m/>
    <x v="1"/>
    <m/>
    <s v="AWX846bab5e649-61b4-4585-bbbe-a7576847fc98"/>
    <s v="AWX1000000000028698528"/>
    <s v="AWX_D_00-0220"/>
    <s v="PURCHASE - Clearing Advice"/>
    <s v="USD"/>
    <n v="339"/>
    <d v="2026-02-02T00:00:00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47425743"/>
    <s v="BeneficialOwner"/>
    <s v="  PRODIA LABS INC."/>
    <s v="1155 MOUNT VERNON HIGHWAY SUITE 800 30338  US"/>
    <m/>
    <m/>
    <m/>
    <x v="8"/>
  </r>
  <r>
    <n v="2157802894"/>
    <s v="No"/>
    <m/>
    <x v="1"/>
    <m/>
    <s v="AWX846cc7167a8-ca38-49ea-a3b3-4a7f65430a57"/>
    <s v="AWX1000000000029170436"/>
    <s v="AWX_D_00-0220"/>
    <s v="PURCHASE - Clearing Advice"/>
    <s v="USD"/>
    <n v="29"/>
    <d v="2026-02-09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57802894"/>
    <s v="BeneficialOwner"/>
    <s v="  PRODIA LABS INC."/>
    <s v="1155 MOUNT VERNON HIGHWAY SUITE 800 30338  US"/>
    <m/>
    <m/>
    <m/>
    <x v="2"/>
  </r>
  <r>
    <n v="2159551978"/>
    <s v="No"/>
    <m/>
    <x v="1"/>
    <m/>
    <s v="AWX84670e304e0-e7b3-4e75-8396-e591c09502f8"/>
    <s v="AWX1000000000029210333"/>
    <s v="AWX_D_00-0220"/>
    <s v="PURCHASE - Clearing Advice"/>
    <s v="USD"/>
    <n v="1026.9100000000001"/>
    <d v="2026-02-10T00:00:00"/>
    <x v="0"/>
    <n v="899000002896338"/>
    <s v="BEKIARES ELIEZER LLP"/>
    <m/>
    <s v="BEKIARES ELIEZER LLP"/>
    <m/>
    <s v="   US"/>
    <s v="US"/>
    <s v="CreditParty"/>
    <m/>
    <s v="AWX84670e304e0-e7b3-4e75-8396-e591c09502f8"/>
    <s v="MIKHAIL AVADY"/>
    <s v="MIKHAIL"/>
    <s v="AVADY"/>
    <m/>
    <s v="4995 MARISTONE LANDING WAY SUITE 800 30040 US"/>
    <s v="US"/>
    <m/>
    <n v="2159551978"/>
    <s v="BeneficialOwner"/>
    <s v="  PRODIA LABS INC."/>
    <s v="1155 MOUNT VERNON HIGHWAY SUITE 800 30338  US"/>
    <m/>
    <m/>
    <m/>
    <x v="14"/>
  </r>
  <r>
    <n v="2159566667"/>
    <s v="No"/>
    <m/>
    <x v="1"/>
    <m/>
    <s v="AWX846cc7167a8-ca38-49ea-a3b3-4a7f65430a57"/>
    <s v="AWX1000000000029231158"/>
    <s v="AWX_D_00-0220"/>
    <s v="PURCHASE - Clearing Advice"/>
    <s v="USD"/>
    <n v="8.8800000000000008"/>
    <d v="2026-02-10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59566667"/>
    <s v="BeneficialOwner"/>
    <s v="  PRODIA LABS INC."/>
    <s v="1155 MOUNT VERNON HIGHWAY SUITE 800 30338  US"/>
    <m/>
    <m/>
    <m/>
    <x v="2"/>
  </r>
  <r>
    <n v="2167949002"/>
    <s v="No"/>
    <m/>
    <x v="1"/>
    <m/>
    <s v="AWX846cc7167a8-ca38-49ea-a3b3-4a7f65430a57"/>
    <s v="AWX1000000000039284979"/>
    <s v="AWX_D_00-0220"/>
    <s v="PURCHASE - Clearing Advice"/>
    <s v="USD"/>
    <n v="69"/>
    <d v="2026-02-16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67949002"/>
    <s v="BeneficialOwner"/>
    <s v="  PRODIA LABS INC."/>
    <s v="1155 MOUNT VERNON HIGHWAY SUITE 800 30338  US"/>
    <m/>
    <m/>
    <m/>
    <x v="2"/>
  </r>
  <r>
    <n v="2169656645"/>
    <s v="No"/>
    <m/>
    <x v="1"/>
    <m/>
    <s v="AWX84606500f95-92e0-434d-a3d1-d1dc98003e95"/>
    <s v="AWX1000000000039319468"/>
    <s v="AWX_D_00-0220"/>
    <s v="PURCHASE - Clearing Advice"/>
    <s v="USD"/>
    <n v="174"/>
    <d v="2026-02-17T00:00:00"/>
    <x v="0"/>
    <s v="NFEH7CD6GOFC6BA"/>
    <s v="RB2B.COM"/>
    <m/>
    <s v="RB2B.COM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169656645"/>
    <s v="BeneficialOwner"/>
    <s v="  PRODIA LABS INC."/>
    <s v="1155 MOUNT VERNON HIGHWAY SUITE 800 30338  US"/>
    <m/>
    <m/>
    <m/>
    <x v="13"/>
  </r>
  <r>
    <n v="2171002480"/>
    <s v="No"/>
    <m/>
    <x v="1"/>
    <m/>
    <s v="AWX846bab5e649-61b4-4585-bbbe-a7576847fc98"/>
    <s v="AWX1000000000039365283"/>
    <s v="AWX_D_00-0220"/>
    <s v="PURCHASE - Clearing Advice"/>
    <s v="USD"/>
    <n v="300"/>
    <d v="2026-02-18T00:00:00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71002480"/>
    <s v="BeneficialOwner"/>
    <s v="  PRODIA LABS INC."/>
    <s v="1155 MOUNT VERNON HIGHWAY SUITE 800 30338  US"/>
    <m/>
    <m/>
    <m/>
    <x v="5"/>
  </r>
  <r>
    <n v="2172137604"/>
    <s v="No"/>
    <m/>
    <x v="1"/>
    <m/>
    <s v="AWX846cc7167a8-ca38-49ea-a3b3-4a7f65430a57"/>
    <s v="AWX1000000000039402599"/>
    <s v="AWX_D_00-0220"/>
    <s v="PURCHASE - Clearing Advice"/>
    <s v="USD"/>
    <n v="420"/>
    <d v="2026-02-19T00:00:00"/>
    <x v="0"/>
    <n v="767221404886"/>
    <s v="99DESIGNS LLC"/>
    <m/>
    <s v="99DESIGNS LLC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72137604"/>
    <s v="BeneficialOwner"/>
    <s v="  PRODIA LABS INC."/>
    <s v="1155 MOUNT VERNON HIGHWAY SUITE 800 30338  US"/>
    <m/>
    <m/>
    <m/>
    <x v="15"/>
  </r>
  <r>
    <n v="2173366808"/>
    <s v="Yes"/>
    <n v="2295015"/>
    <x v="0"/>
    <s v="TM"/>
    <s v="AWX8463c9ccd97-c1f0-4e59-943e-23166e2d9c0d"/>
    <s v="AWX1000000000039459363"/>
    <s v="AWX_D_00-0220"/>
    <s v="PURCHASE - Clearing Advice"/>
    <s v="USD"/>
    <n v="4239.99"/>
    <d v="2026-02-20T00:00:00"/>
    <x v="0"/>
    <n v="4445091074823"/>
    <s v="MCTR-GWINNETT #65"/>
    <m/>
    <s v="MCTR-GWINNETT #65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173366808"/>
    <s v="BeneficialOwner"/>
    <s v="  PRODIA LABS INC."/>
    <s v="1155 MOUNT VERNON HIGHWAY SUITE 800 30338  US"/>
    <m/>
    <m/>
    <m/>
    <x v="16"/>
  </r>
  <r>
    <n v="2179758955"/>
    <s v="No"/>
    <m/>
    <x v="1"/>
    <m/>
    <s v="AWX8463c9ccd97-c1f0-4e59-943e-23166e2d9c0d"/>
    <s v="AWX1000000000039612572"/>
    <s v="AWX_D_00-0220"/>
    <s v="PURCHASE - Clearing Advice"/>
    <s v="USD"/>
    <n v="1466.3"/>
    <d v="2026-02-24T00:00:00"/>
    <x v="0"/>
    <n v="487530005586841"/>
    <s v="artotel Hoxton"/>
    <m/>
    <s v="artotel Hoxton"/>
    <m/>
    <s v="   GB"/>
    <s v="GB"/>
    <s v="CreditParty"/>
    <m/>
    <s v="AWX8463c9ccd97-c1f0-4e59-943e-23166e2d9c0d"/>
    <s v="MIKHAIL AVADY"/>
    <s v="MIKHAIL"/>
    <s v="AVADY"/>
    <m/>
    <s v="4995 MARISTONE LANDING WAY SUITE 800 30040 US"/>
    <s v="US"/>
    <m/>
    <n v="2179758955"/>
    <s v="BeneficialOwner"/>
    <s v="  PRODIA LABS INC."/>
    <s v="1155 MOUNT VERNON HIGHWAY SUITE 800 30338  US"/>
    <m/>
    <m/>
    <m/>
    <x v="17"/>
  </r>
  <r>
    <n v="2183267555"/>
    <s v="No"/>
    <m/>
    <x v="1"/>
    <m/>
    <s v="AWX8463c9ccd97-c1f0-4e59-943e-23166e2d9c0d"/>
    <s v="AWX1000000000039757426"/>
    <s v="AWX_D_00-0220"/>
    <s v="PURCHASE - Clearing Advice"/>
    <s v="USD"/>
    <n v="321.56"/>
    <d v="2026-02-27T00:00:00"/>
    <x v="0"/>
    <n v="487530004905782"/>
    <s v="MOI Restuarant"/>
    <m/>
    <s v="MOI Restuarant"/>
    <m/>
    <s v="   GB"/>
    <s v="GB"/>
    <s v="CreditParty"/>
    <m/>
    <s v="AWX8463c9ccd97-c1f0-4e59-943e-23166e2d9c0d"/>
    <s v="MIKHAIL AVADY"/>
    <s v="MIKHAIL"/>
    <s v="AVADY"/>
    <m/>
    <s v="4995 MARISTONE LANDING WAY SUITE 800 30040 US"/>
    <s v="US"/>
    <m/>
    <n v="2183267555"/>
    <s v="BeneficialOwner"/>
    <s v="  PRODIA LABS INC."/>
    <s v="1155 MOUNT VERNON HIGHWAY SUITE 800 30338  US"/>
    <m/>
    <m/>
    <m/>
    <x v="18"/>
  </r>
  <r>
    <n v="2183285404"/>
    <s v="No"/>
    <m/>
    <x v="1"/>
    <m/>
    <s v="AWX8463c9ccd97-c1f0-4e59-943e-23166e2d9c0d"/>
    <s v="AWX1000000000039778303"/>
    <s v="AWX_D_00-0220"/>
    <s v="PURCHASE - Clearing Advice"/>
    <s v="USD"/>
    <n v="70.290000000000006"/>
    <d v="2026-02-27T00:00:00"/>
    <x v="0"/>
    <n v="487530001611862"/>
    <s v="The Brush Grand Cafe"/>
    <m/>
    <s v="The Brush Grand Cafe"/>
    <m/>
    <s v="   GB"/>
    <s v="GB"/>
    <s v="CreditParty"/>
    <m/>
    <s v="AWX8463c9ccd97-c1f0-4e59-943e-23166e2d9c0d"/>
    <s v="MIKHAIL AVADY"/>
    <s v="MIKHAIL"/>
    <s v="AVADY"/>
    <m/>
    <s v="4995 MARISTONE LANDING WAY SUITE 800 30040 US"/>
    <s v="US"/>
    <m/>
    <n v="2183285404"/>
    <s v="BeneficialOwner"/>
    <s v="  PRODIA LABS INC."/>
    <s v="1155 MOUNT VERNON HIGHWAY SUITE 800 30338  US"/>
    <m/>
    <m/>
    <m/>
    <x v="19"/>
  </r>
  <r>
    <n v="2192123927"/>
    <s v="No"/>
    <m/>
    <x v="1"/>
    <m/>
    <s v="AWX846bab5e649-61b4-4585-bbbe-a7576847fc98"/>
    <s v="AWX1000000000040038679"/>
    <s v="AWX_D_00-0220"/>
    <s v="PURCHASE - Clearing Advice"/>
    <s v="USD"/>
    <n v="339"/>
    <d v="2026-03-03T00:00:00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92123927"/>
    <s v="BeneficialOwner"/>
    <s v="  PRODIA LABS INC."/>
    <s v="1155 MOUNT VERNON HIGHWAY SUITE 800 30338  US"/>
    <m/>
    <m/>
    <m/>
    <x v="8"/>
  </r>
  <r>
    <n v="2193303195"/>
    <s v="No"/>
    <m/>
    <x v="1"/>
    <m/>
    <s v="AWX84606500f95-92e0-434d-a3d1-d1dc98003e95"/>
    <s v="AWX1000000000040091327"/>
    <s v="AWX_D_50-0220"/>
    <s v="PAY_OTHER_PARTY - Clearing Advice"/>
    <s v="USD"/>
    <n v="489.24"/>
    <d v="2026-03-04T00:00:00"/>
    <x v="0"/>
    <s v="IYMAZXWO3P7EQTG"/>
    <s v="AMPLEMARKET.COM"/>
    <m/>
    <s v="AMPLEMARKET.COM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193303195"/>
    <s v="BeneficialOwner"/>
    <s v="  PRODIA LABS INC."/>
    <s v="1155 MOUNT VERNON HIGHWAY SUITE 800 30338  US"/>
    <m/>
    <m/>
    <m/>
    <x v="20"/>
  </r>
  <r>
    <n v="2195530529"/>
    <s v="No"/>
    <m/>
    <x v="1"/>
    <m/>
    <s v="AWX846cc7167a8-ca38-49ea-a3b3-4a7f65430a57"/>
    <s v="AWX1000000000040268379"/>
    <s v="AWX_D_00-0220"/>
    <s v="PURCHASE - Clearing Advice"/>
    <s v="USD"/>
    <n v="7.09"/>
    <d v="2026-03-06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95530529"/>
    <s v="BeneficialOwner"/>
    <s v="  PRODIA LABS INC."/>
    <s v="1155 MOUNT VERNON HIGHWAY SUITE 800 30338  US"/>
    <m/>
    <m/>
    <m/>
    <x v="2"/>
  </r>
  <r>
    <n v="2200790879"/>
    <s v="No"/>
    <m/>
    <x v="1"/>
    <m/>
    <s v="AWX846cc7167a8-ca38-49ea-a3b3-4a7f65430a57"/>
    <s v="AWX1000000000040367435"/>
    <s v="AWX_D_00-0220"/>
    <s v="PURCHASE - Clearing Advice"/>
    <s v="USD"/>
    <n v="29"/>
    <d v="2026-03-09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200790879"/>
    <s v="BeneficialOwner"/>
    <s v="  PRODIA LABS INC."/>
    <s v="1155 MOUNT VERNON HIGHWAY SUITE 800 30338  US"/>
    <m/>
    <m/>
    <m/>
    <x v="2"/>
  </r>
  <r>
    <n v="2217290558"/>
    <s v="No"/>
    <m/>
    <x v="1"/>
    <m/>
    <s v="AWX8463c9ccd97-c1f0-4e59-943e-23166e2d9c0d"/>
    <s v="AWX1000000000043318557"/>
    <s v="AWX_D_00-0220"/>
    <s v="PURCHASE - Clearing Advice"/>
    <s v="USD"/>
    <n v="27.93"/>
    <d v="2026-03-20T00:00:00"/>
    <x v="0"/>
    <n v="4445074094368"/>
    <s v="TST* BON DELIRE"/>
    <m/>
    <s v="TST* BON DELIRE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217290558"/>
    <s v="BeneficialOwner"/>
    <s v="  PRODIA LABS INC."/>
    <s v="1155 MOUNT VERNON HIGHWAY SUITE 800 30338  US"/>
    <m/>
    <m/>
    <m/>
    <x v="21"/>
  </r>
  <r>
    <n v="2217297757"/>
    <s v="No"/>
    <m/>
    <x v="1"/>
    <m/>
    <s v="AWX8463c9ccd97-c1f0-4e59-943e-23166e2d9c0d"/>
    <s v="AWX1000000000043325757"/>
    <s v="AWX_D_00-0220"/>
    <s v="PURCHASE - Clearing Advice"/>
    <s v="USD"/>
    <n v="20"/>
    <d v="2026-03-20T00:00:00"/>
    <x v="0"/>
    <s v="21-8021510667"/>
    <s v="HILTON GARDEN INN"/>
    <m/>
    <s v="HILTON GARDEN INN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217297757"/>
    <s v="BeneficialOwner"/>
    <s v="  PRODIA LABS INC."/>
    <s v="1155 MOUNT VERNON HIGHWAY SUITE 800 30338  US"/>
    <m/>
    <m/>
    <m/>
    <x v="22"/>
  </r>
  <r>
    <n v="2217313347"/>
    <s v="No"/>
    <m/>
    <x v="1"/>
    <m/>
    <s v="AWX8463c9ccd97-c1f0-4e59-943e-23166e2d9c0d"/>
    <s v="AWX1000000000043350183"/>
    <s v="AWX_D_00-0220"/>
    <s v="PURCHASE - Clearing Advice"/>
    <s v="USD"/>
    <n v="3"/>
    <d v="2026-03-20T00:00:00"/>
    <x v="0"/>
    <s v="21-8021510667"/>
    <s v="HILTON GARDEN INN"/>
    <m/>
    <s v="HILTON GARDEN INN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217313347"/>
    <s v="BeneficialOwner"/>
    <s v="  PRODIA LABS INC."/>
    <s v="1155 MOUNT VERNON HIGHWAY SUITE 800 30338  US"/>
    <m/>
    <m/>
    <m/>
    <x v="22"/>
  </r>
  <r>
    <n v="2218617490"/>
    <s v="No"/>
    <m/>
    <x v="1"/>
    <m/>
    <s v="AWX84606500f95-92e0-434d-a3d1-d1dc98003e95"/>
    <s v="AWX1000000000043402024"/>
    <s v="AWX_D_00-0220"/>
    <s v="PURCHASE - Clearing Advice"/>
    <s v="USD"/>
    <n v="25"/>
    <d v="2026-03-21T00:00:00"/>
    <x v="0"/>
    <s v="NFEH7CD6GOFC6BA"/>
    <s v="RB2B.COM"/>
    <m/>
    <s v="RB2B.COM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218617490"/>
    <s v="BeneficialOwner"/>
    <s v="  PRODIA LABS INC."/>
    <s v="1155 MOUNT VERNON HIGHWAY SUITE 800 30338  US"/>
    <m/>
    <m/>
    <m/>
    <x v="13"/>
  </r>
  <r>
    <n v="2218976150"/>
    <s v="No"/>
    <m/>
    <x v="1"/>
    <m/>
    <s v="AWX8463c9ccd97-c1f0-4e59-943e-23166e2d9c0d"/>
    <s v="AWX1000000000043484614"/>
    <s v="AWX_D_00-0220"/>
    <s v="PURCHASE - Clearing Advice"/>
    <s v="USD"/>
    <n v="386.65"/>
    <d v="2026-03-22T00:00:00"/>
    <x v="0"/>
    <n v="4445074094368"/>
    <s v="TST* BON DELIRE"/>
    <m/>
    <s v="TST* BON DELIRE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218976150"/>
    <s v="BeneficialOwner"/>
    <s v="  PRODIA LABS INC."/>
    <s v="1155 MOUNT VERNON HIGHWAY SUITE 800 30338  US"/>
    <m/>
    <m/>
    <m/>
    <x v="21"/>
  </r>
  <r>
    <n v="2222412640"/>
    <s v="No"/>
    <m/>
    <x v="1"/>
    <m/>
    <s v="AWX84606500f95-92e0-434d-a3d1-d1dc98003e95"/>
    <s v="AWX1000000000040569175"/>
    <s v="AWX_D_00-0220"/>
    <s v="PURCHASE - Clearing Advice"/>
    <s v="USD"/>
    <n v="600"/>
    <d v="2026-03-12T00:00:00"/>
    <x v="0"/>
    <s v="2RGDJQ0KJOTE7SW"/>
    <s v="DROPBOX SIGN HELLOSIGN"/>
    <m/>
    <s v="DROPBOX SIGN HELLOSIGN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222412640"/>
    <s v="BeneficialOwner"/>
    <s v="  PRODIA LABS INC."/>
    <s v="1155 MOUNT VERNON HIGHWAY SUITE 800 30338  US"/>
    <m/>
    <m/>
    <m/>
    <x v="23"/>
  </r>
  <r>
    <n v="2222578906"/>
    <s v="No"/>
    <m/>
    <x v="1"/>
    <m/>
    <s v="AWX846cc7167a8-ca38-49ea-a3b3-4a7f65430a57"/>
    <s v="AWX1000000000040841026"/>
    <s v="AWX_D_00-0220"/>
    <s v="PURCHASE - Clearing Advice"/>
    <s v="USD"/>
    <n v="88"/>
    <d v="2026-03-16T00:00:00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222578906"/>
    <s v="BeneficialOwner"/>
    <s v="  PRODIA LABS INC."/>
    <s v="1155 MOUNT VERNON HIGHWAY SUITE 800 30338  US"/>
    <m/>
    <m/>
    <m/>
    <x v="2"/>
  </r>
  <r>
    <n v="2222625847"/>
    <s v="No"/>
    <m/>
    <x v="1"/>
    <m/>
    <s v="AWX84606500f95-92e0-434d-a3d1-d1dc98003e95"/>
    <s v="AWX1000000000040918141"/>
    <s v="AWX_D_00-0220"/>
    <s v="PURCHASE - Clearing Advice"/>
    <s v="USD"/>
    <n v="174"/>
    <d v="2026-03-17T00:00:00"/>
    <x v="0"/>
    <s v="NFEH7CD6GOFC6BA"/>
    <s v="RB2B.COM"/>
    <m/>
    <s v="RB2B.COM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222625847"/>
    <s v="BeneficialOwner"/>
    <s v="  PRODIA LABS INC."/>
    <s v="1155 MOUNT VERNON HIGHWAY SUITE 800 30338  US"/>
    <m/>
    <m/>
    <m/>
    <x v="13"/>
  </r>
  <r>
    <n v="2222650714"/>
    <s v="Yes"/>
    <n v="2315814"/>
    <x v="0"/>
    <s v="TM"/>
    <s v="AWX846cc7167a8-ca38-49ea-a3b3-4a7f65430a57"/>
    <s v="AWX1000000000043161115"/>
    <s v="AWX_D_00-0220"/>
    <s v="PURCHASE - Clearing Advice"/>
    <s v="USD"/>
    <n v="10000"/>
    <d v="2026-03-18T00:00:00"/>
    <x v="0"/>
    <s v="KPNIKO8INWV801P"/>
    <s v="SILICONMANIA.TV"/>
    <m/>
    <s v="SILICONMANIA.TV"/>
    <m/>
    <s v="   FR"/>
    <s v="FR"/>
    <s v="CreditParty"/>
    <m/>
    <s v="AWX846cc7167a8-ca38-49ea-a3b3-4a7f65430a57"/>
    <s v="MIKHAIL AVADY"/>
    <s v="MIKHAIL"/>
    <s v="AVADY"/>
    <m/>
    <s v="4995 MARISTONE LANDING WAY SUITE 800 30040 US"/>
    <s v="US"/>
    <m/>
    <n v="2222650714"/>
    <s v="BeneficialOwner"/>
    <s v="  PRODIA LABS INC."/>
    <s v="1155 MOUNT VERNON HIGHWAY SUITE 800 30338  US"/>
    <m/>
    <m/>
    <m/>
    <x v="24"/>
  </r>
  <r>
    <n v="2222652933"/>
    <s v="No"/>
    <m/>
    <x v="1"/>
    <m/>
    <s v="AWX8463c9ccd97-c1f0-4e59-943e-23166e2d9c0d"/>
    <s v="AWX1000000000043163335"/>
    <s v="AWX_D_00-0220"/>
    <s v="PURCHASE - Clearing Advice"/>
    <s v="USD"/>
    <n v="6.47"/>
    <d v="2026-03-18T00:00:00"/>
    <x v="0"/>
    <n v="242661000053360"/>
    <s v="SQ *VOLTAIRE COFFEE ROAST"/>
    <m/>
    <s v="SQ *VOLTAIRE COFFEE ROAST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222652933"/>
    <s v="BeneficialOwner"/>
    <s v="  PRODIA LABS INC."/>
    <s v="1155 MOUNT VERNON HIGHWAY SUITE 800 30338  US"/>
    <m/>
    <m/>
    <m/>
    <x v="25"/>
  </r>
  <r>
    <n v="2222663669"/>
    <s v="No"/>
    <m/>
    <x v="1"/>
    <m/>
    <s v="AWX846bab5e649-61b4-4585-bbbe-a7576847fc98"/>
    <s v="AWX1000000000043181801"/>
    <s v="AWX_D_00-0220"/>
    <s v="PURCHASE - Clearing Advice"/>
    <s v="USD"/>
    <n v="300"/>
    <d v="2026-03-18T00:00:00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222663669"/>
    <s v="BeneficialOwner"/>
    <s v="  PRODIA LABS INC."/>
    <s v="1155 MOUNT VERNON HIGHWAY SUITE 800 30338  US"/>
    <m/>
    <m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1877576904"/>
    <s v="Yes"/>
    <n v="2175800"/>
    <s v="Large value card transactions for purchase"/>
    <s v="TM"/>
    <s v="AWX846a7af9081-5439-488a-99d5-3be5e9740d50"/>
    <s v="AWX1000000000009172322"/>
    <s v="AWX_D_00-0220"/>
    <s v="PURCHASE - Clearing Advice"/>
    <s v="USD"/>
    <n v="5600"/>
    <x v="0"/>
    <x v="0"/>
    <n v="683515"/>
    <s v="klingai.com"/>
    <m/>
    <s v="klingai.com"/>
    <m/>
    <s v="   SG"/>
    <s v="SG"/>
    <s v="CreditParty"/>
    <m/>
    <s v="AWX846a7af9081-5439-488a-99d5-3be5e9740d50"/>
    <s v="MIKHAIL AVADY"/>
    <s v="MIKHAIL"/>
    <s v="AVADY"/>
    <m/>
    <s v="4995 MARISTONE LANDING WAY SUITE 800 30040 US"/>
    <s v="US"/>
    <m/>
    <n v="1877576904"/>
    <s v="BeneficialOwner"/>
    <s v="  PRODIA LABS INC."/>
    <s v="1155 MOUNT VERNON HIGHWAY SUITE 800 30338  US"/>
    <s v="BeneficialOwner"/>
    <s v="  PRODIA LABS INC."/>
    <s v="1155 MOUNT VERNON HIGHWAY SUITE 800 30338  US"/>
    <s v="klingai.com"/>
  </r>
  <r>
    <n v="1877580388"/>
    <s v="No"/>
    <m/>
    <m/>
    <m/>
    <s v="AWX8467827f4be-0daa-4cdd-853b-8df26ac1f642"/>
    <s v="AWX1000000000009180062"/>
    <s v="AWX_D_00-0220"/>
    <s v="PURCHASE - Clearing Advice"/>
    <s v="USD"/>
    <n v="1018.65"/>
    <x v="0"/>
    <x v="0"/>
    <s v="OMRFEERZ1WRKKXW"/>
    <s v="PYMT* APRIO LLP"/>
    <m/>
    <s v="PYMT* APRIO LLP"/>
    <m/>
    <s v="   US"/>
    <s v="US"/>
    <s v="CreditParty"/>
    <m/>
    <s v="AWX8467827f4be-0daa-4cdd-853b-8df26ac1f642"/>
    <s v="MIKHAIL AVADY"/>
    <s v="MIKHAIL"/>
    <s v="AVADY"/>
    <m/>
    <s v="4995 MARISTONE LANDING WAY SUITE 800 30040 US"/>
    <s v="US"/>
    <m/>
    <n v="1877580388"/>
    <s v="BeneficialOwner"/>
    <s v="  PRODIA LABS INC."/>
    <s v="1155 MOUNT VERNON HIGHWAY SUITE 800 30338  US"/>
    <s v="BeneficialOwner"/>
    <s v="  PRODIA LABS INC."/>
    <s v="1155 MOUNT VERNON HIGHWAY SUITE 800 30338  US"/>
    <s v="PYMT* APRIO LLP"/>
  </r>
  <r>
    <n v="1902689473"/>
    <s v="No"/>
    <m/>
    <m/>
    <m/>
    <s v="AWX846cc7167a8-ca38-49ea-a3b3-4a7f65430a57"/>
    <s v="AWX1000000000010534971"/>
    <s v="AWX_D_00-0220"/>
    <s v="PURCHASE - Clearing Advice"/>
    <s v="USD"/>
    <n v="29"/>
    <x v="1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1902689473"/>
    <s v="BeneficialOwner"/>
    <s v="  PRODIA LABS INC."/>
    <s v="1155 MOUNT VERNON HIGHWAY SUITE 800 30338  US"/>
    <s v="BeneficialOwner"/>
    <s v="  PRODIA LABS INC."/>
    <s v="1155 MOUNT VERNON HIGHWAY SUITE 800 30338  US"/>
    <s v="WEBFLOW.COM"/>
  </r>
  <r>
    <n v="1915597846"/>
    <s v="No"/>
    <m/>
    <m/>
    <m/>
    <s v="AWX846bab5e649-61b4-4585-bbbe-a7576847fc98"/>
    <s v="AWX1000000000011671693"/>
    <s v="AWX_D_50-0220"/>
    <s v="PAY_OTHER_PARTY - Clearing Advice"/>
    <s v="USD"/>
    <n v="3420"/>
    <x v="2"/>
    <x v="0"/>
    <s v="VAJG9RECGQ85RUM"/>
    <s v="CARTA (ESHARES)"/>
    <m/>
    <s v="CARTA (ESHARES)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1915597846"/>
    <s v="BeneficialOwner"/>
    <s v="  PRODIA LABS INC."/>
    <s v="1155 MOUNT VERNON HIGHWAY SUITE 800 30338  US"/>
    <s v="BeneficialOwner"/>
    <s v="  PRODIA LABS INC."/>
    <s v="1155 MOUNT VERNON HIGHWAY SUITE 800 30338  US"/>
    <s v="CARTA (ESHARES)"/>
  </r>
  <r>
    <n v="1925170284"/>
    <s v="No"/>
    <m/>
    <m/>
    <m/>
    <s v="AWX84606500f95-92e0-434d-a3d1-d1dc98003e95"/>
    <s v="AWX1000000000012316055"/>
    <s v="AWX_D_00-0220"/>
    <s v="PURCHASE - Clearing Advice"/>
    <s v="USD"/>
    <n v="149"/>
    <x v="3"/>
    <x v="0"/>
    <s v="NFEH7CD6GOFC6BA"/>
    <s v="RB2B PRO"/>
    <m/>
    <s v="RB2B PRO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25170284"/>
    <s v="BeneficialOwner"/>
    <s v="  PRODIA LABS INC."/>
    <s v="1155 MOUNT VERNON HIGHWAY SUITE 800 30338  US"/>
    <s v="BeneficialOwner"/>
    <s v="  PRODIA LABS INC."/>
    <s v="1155 MOUNT VERNON HIGHWAY SUITE 800 30338  US"/>
    <s v="RB2B PRO"/>
  </r>
  <r>
    <n v="1926412605"/>
    <s v="No"/>
    <m/>
    <m/>
    <m/>
    <s v="AWX846bab5e649-61b4-4585-bbbe-a7576847fc98"/>
    <s v="AWX1000000000012396996"/>
    <s v="AWX_D_00-0220"/>
    <s v="PURCHASE - Clearing Advice"/>
    <s v="USD"/>
    <n v="300"/>
    <x v="4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1926412605"/>
    <s v="BeneficialOwner"/>
    <s v="  PRODIA LABS INC."/>
    <s v="1155 MOUNT VERNON HIGHWAY SUITE 800 30338  US"/>
    <s v="BeneficialOwner"/>
    <s v="  PRODIA LABS INC."/>
    <s v="1155 MOUNT VERNON HIGHWAY SUITE 800 30338  US"/>
    <s v="DROPBOX DOCSEND"/>
  </r>
  <r>
    <n v="1929653768"/>
    <s v="No"/>
    <m/>
    <m/>
    <m/>
    <s v="AWX84606500f95-92e0-434d-a3d1-d1dc98003e95"/>
    <s v="AWX1000000000012620334"/>
    <s v="AWX_D_00-0220"/>
    <s v="PURCHASE - Clearing Advice"/>
    <s v="USD"/>
    <n v="28"/>
    <x v="5"/>
    <x v="0"/>
    <s v="SAGJJ8SMSOMRFCY"/>
    <s v="LEADIQ SUB* LEADIQ SUB"/>
    <m/>
    <s v="LEADIQ SUB* LEADIQ SUB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29653768"/>
    <s v="BeneficialOwner"/>
    <s v="  PRODIA LABS INC."/>
    <s v="1155 MOUNT VERNON HIGHWAY SUITE 800 30338  US"/>
    <s v="BeneficialOwner"/>
    <s v="  PRODIA LABS INC."/>
    <s v="1155 MOUNT VERNON HIGHWAY SUITE 800 30338  US"/>
    <s v="LEADIQ SUB* LEADIQ SUB"/>
  </r>
  <r>
    <n v="1934670783"/>
    <s v="No"/>
    <m/>
    <m/>
    <m/>
    <s v="AWX84606500f95-92e0-434d-a3d1-d1dc98003e95"/>
    <s v="AWX1000000000013044412"/>
    <s v="AWX_D_00-0220"/>
    <s v="PURCHASE - Clearing Advice"/>
    <s v="USD"/>
    <n v="66"/>
    <x v="6"/>
    <x v="0"/>
    <s v="SAGJJ8SMSOMRFCY"/>
    <s v="LEADIQ SUB* LEADIQ SUB"/>
    <m/>
    <s v="LEADIQ SUB* LEADIQ SUB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34670783"/>
    <s v="BeneficialOwner"/>
    <s v="  PRODIA LABS INC."/>
    <s v="1155 MOUNT VERNON HIGHWAY SUITE 800 30338  US"/>
    <s v="BeneficialOwner"/>
    <s v="  PRODIA LABS INC."/>
    <s v="1155 MOUNT VERNON HIGHWAY SUITE 800 30338  US"/>
    <s v="LEADIQ SUB* LEADIQ SUB"/>
  </r>
  <r>
    <n v="1936227053"/>
    <s v="No"/>
    <m/>
    <m/>
    <m/>
    <s v="AWX84606500f95-92e0-434d-a3d1-d1dc98003e95"/>
    <s v="AWX1000000000013077120"/>
    <s v="AWX_D_00-0220"/>
    <s v="PURCHASE - Clearing Advice"/>
    <s v="USD"/>
    <n v="149"/>
    <x v="7"/>
    <x v="0"/>
    <s v="UOVWETCXR4QL2AC"/>
    <s v="CLAY LABS INC"/>
    <m/>
    <s v="CLAY LABS INC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36227053"/>
    <s v="BeneficialOwner"/>
    <s v="  PRODIA LABS INC."/>
    <s v="1155 MOUNT VERNON HIGHWAY SUITE 800 30338  US"/>
    <s v="BeneficialOwner"/>
    <s v="  PRODIA LABS INC."/>
    <s v="1155 MOUNT VERNON HIGHWAY SUITE 800 30338  US"/>
    <s v="CLAY LABS INC"/>
  </r>
  <r>
    <n v="1949860012"/>
    <s v="No"/>
    <m/>
    <m/>
    <m/>
    <s v="AWX846cc7167a8-ca38-49ea-a3b3-4a7f65430a57"/>
    <s v="AWX1000000000013874400"/>
    <s v="AWX_D_00-0220"/>
    <s v="PURCHASE - Clearing Advice"/>
    <s v="USD"/>
    <n v="29"/>
    <x v="8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1949860012"/>
    <s v="BeneficialOwner"/>
    <s v="  PRODIA LABS INC."/>
    <s v="1155 MOUNT VERNON HIGHWAY SUITE 800 30338  US"/>
    <s v="BeneficialOwner"/>
    <s v="  PRODIA LABS INC."/>
    <s v="1155 MOUNT VERNON HIGHWAY SUITE 800 30338  US"/>
    <s v="WEBFLOW.COM"/>
  </r>
  <r>
    <n v="1972926945"/>
    <s v="No"/>
    <m/>
    <m/>
    <m/>
    <s v="AWX846cc7167a8-ca38-49ea-a3b3-4a7f65430a57"/>
    <s v="AWX1000000000015612900"/>
    <s v="AWX_D_00-0220"/>
    <s v="PURCHASE - Clearing Advice"/>
    <s v="USD"/>
    <n v="24"/>
    <x v="9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1972926945"/>
    <s v="BeneficialOwner"/>
    <s v="  PRODIA LABS INC."/>
    <s v="1155 MOUNT VERNON HIGHWAY SUITE 800 30338  US"/>
    <s v="BeneficialOwner"/>
    <s v="  PRODIA LABS INC."/>
    <s v="1155 MOUNT VERNON HIGHWAY SUITE 800 30338  US"/>
    <s v="WEBFLOW.COM"/>
  </r>
  <r>
    <n v="1976077512"/>
    <s v="No"/>
    <m/>
    <m/>
    <m/>
    <s v="AWX846bab5e649-61b4-4585-bbbe-a7576847fc98"/>
    <s v="AWX1000000000015838385"/>
    <s v="AWX_D_00-0220"/>
    <s v="PURCHASE - Clearing Advice"/>
    <s v="USD"/>
    <n v="300"/>
    <x v="10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1976077512"/>
    <s v="BeneficialOwner"/>
    <s v="  PRODIA LABS INC."/>
    <s v="1155 MOUNT VERNON HIGHWAY SUITE 800 30338  US"/>
    <s v="BeneficialOwner"/>
    <s v="  PRODIA LABS INC."/>
    <s v="1155 MOUNT VERNON HIGHWAY SUITE 800 30338  US"/>
    <s v="DROPBOX DOCSEND"/>
  </r>
  <r>
    <n v="1976091570"/>
    <s v="No"/>
    <m/>
    <m/>
    <m/>
    <s v="AWX84606500f95-92e0-434d-a3d1-d1dc98003e95"/>
    <s v="AWX1000000000015865206"/>
    <s v="AWX_D_00-0220"/>
    <s v="PURCHASE - Clearing Advice"/>
    <s v="USD"/>
    <n v="149"/>
    <x v="10"/>
    <x v="0"/>
    <s v="NFEH7CD6GOFC6BA"/>
    <s v="RB2B PRO"/>
    <m/>
    <s v="RB2B PRO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76091570"/>
    <s v="BeneficialOwner"/>
    <s v="  PRODIA LABS INC."/>
    <s v="1155 MOUNT VERNON HIGHWAY SUITE 800 30338  US"/>
    <s v="BeneficialOwner"/>
    <s v="  PRODIA LABS INC."/>
    <s v="1155 MOUNT VERNON HIGHWAY SUITE 800 30338  US"/>
    <s v="RB2B PRO"/>
  </r>
  <r>
    <n v="1980957491"/>
    <s v="No"/>
    <m/>
    <m/>
    <m/>
    <s v="AWX846bab5e649-61b4-4585-bbbe-a7576847fc98"/>
    <s v="AWX1000000000016086061"/>
    <s v="AWX_D_00-0220"/>
    <s v="PURCHASE - Clearing Advice"/>
    <s v="USD"/>
    <n v="141.22999999999999"/>
    <x v="11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1980957491"/>
    <s v="BeneficialOwner"/>
    <s v="  PRODIA LABS INC."/>
    <s v="1155 MOUNT VERNON HIGHWAY SUITE 800 30338  US"/>
    <s v="BeneficialOwner"/>
    <s v="  PRODIA LABS INC."/>
    <s v="1155 MOUNT VERNON HIGHWAY SUITE 800 30338  US"/>
    <s v="YWW*WeWork 44MontgomeryS"/>
  </r>
  <r>
    <n v="1984845427"/>
    <s v="No"/>
    <m/>
    <m/>
    <m/>
    <s v="AWX84606500f95-92e0-434d-a3d1-d1dc98003e95"/>
    <s v="AWX1000000000016625157"/>
    <s v="AWX_D_00-0220"/>
    <s v="PURCHASE - Clearing Advice"/>
    <s v="USD"/>
    <n v="149"/>
    <x v="12"/>
    <x v="0"/>
    <s v="UOVWETCXR4QL2AC"/>
    <s v="CLAY LABS INC"/>
    <m/>
    <s v="CLAY LABS INC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1984845427"/>
    <s v="BeneficialOwner"/>
    <s v="  PRODIA LABS INC."/>
    <s v="1155 MOUNT VERNON HIGHWAY SUITE 800 30338  US"/>
    <s v="BeneficialOwner"/>
    <s v="  PRODIA LABS INC."/>
    <s v="1155 MOUNT VERNON HIGHWAY SUITE 800 30338  US"/>
    <s v="CLAY LABS INC"/>
  </r>
  <r>
    <n v="2000549558"/>
    <s v="No"/>
    <m/>
    <m/>
    <m/>
    <s v="AWX846cc7167a8-ca38-49ea-a3b3-4a7f65430a57"/>
    <s v="AWX1000000000017723920"/>
    <s v="AWX_D_00-0220"/>
    <s v="PURCHASE - Clearing Advice"/>
    <s v="USD"/>
    <n v="29"/>
    <x v="13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000549558"/>
    <s v="BeneficialOwner"/>
    <s v="  PRODIA LABS INC."/>
    <s v="1155 MOUNT VERNON HIGHWAY SUITE 800 30338  US"/>
    <s v="BeneficialOwner"/>
    <s v="  PRODIA LABS INC."/>
    <s v="1155 MOUNT VERNON HIGHWAY SUITE 800 30338  US"/>
    <s v="WEBFLOW.COM"/>
  </r>
  <r>
    <n v="2002239063"/>
    <s v="No"/>
    <m/>
    <m/>
    <m/>
    <s v="AWX846bab5e649-61b4-4585-bbbe-a7576847fc98"/>
    <s v="AWX1000000000017847942"/>
    <s v="AWX_D_00-0220"/>
    <s v="PURCHASE - Clearing Advice"/>
    <s v="USD"/>
    <n v="339"/>
    <x v="14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02239063"/>
    <s v="BeneficialOwner"/>
    <s v="  PRODIA LABS INC."/>
    <s v="1155 MOUNT VERNON HIGHWAY SUITE 800 30338  US"/>
    <s v="BeneficialOwner"/>
    <s v="  PRODIA LABS INC."/>
    <s v="1155 MOUNT VERNON HIGHWAY SUITE 800 30338  US"/>
    <s v="YWW*WeWork 44MontgomeryS"/>
  </r>
  <r>
    <n v="2022831920"/>
    <s v="No"/>
    <m/>
    <m/>
    <m/>
    <s v="AWX84606500f95-92e0-434d-a3d1-d1dc98003e95"/>
    <s v="AWX1000000000020311189"/>
    <s v="AWX_D_50-0220"/>
    <s v="PAY_OTHER_PARTY - Clearing Advice"/>
    <s v="USD"/>
    <n v="200"/>
    <x v="15"/>
    <x v="0"/>
    <s v="UMKRPMGSFE9MLSE"/>
    <s v="AUCTION IT WIZARD"/>
    <m/>
    <s v="AUCTION IT WIZARD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22831920"/>
    <s v="BeneficialOwner"/>
    <s v="  PRODIA LABS INC."/>
    <s v="1155 MOUNT VERNON HIGHWAY SUITE 800 30338  US"/>
    <s v="BeneficialOwner"/>
    <s v="  PRODIA LABS INC."/>
    <s v="1155 MOUNT VERNON HIGHWAY SUITE 800 30338  US"/>
    <s v="AUCTION IT WIZARD"/>
  </r>
  <r>
    <n v="2023396316"/>
    <s v="No"/>
    <m/>
    <m/>
    <m/>
    <s v="AWX846cc7167a8-ca38-49ea-a3b3-4a7f65430a57"/>
    <s v="AWX1000000000020382964"/>
    <s v="AWX_D_00-0220"/>
    <s v="PURCHASE - Clearing Advice"/>
    <s v="USD"/>
    <n v="24"/>
    <x v="16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023396316"/>
    <s v="BeneficialOwner"/>
    <s v="  PRODIA LABS INC."/>
    <s v="1155 MOUNT VERNON HIGHWAY SUITE 800 30338  US"/>
    <s v="BeneficialOwner"/>
    <s v="  PRODIA LABS INC."/>
    <s v="1155 MOUNT VERNON HIGHWAY SUITE 800 30338  US"/>
    <s v="WEBFLOW.COM"/>
  </r>
  <r>
    <n v="2025054663"/>
    <s v="No"/>
    <m/>
    <m/>
    <m/>
    <s v="AWX84606500f95-92e0-434d-a3d1-d1dc98003e95"/>
    <s v="AWX1000000000020725886"/>
    <s v="AWX_D_00-0220"/>
    <s v="PURCHASE - Clearing Advice"/>
    <s v="USD"/>
    <n v="177.9"/>
    <x v="17"/>
    <x v="0"/>
    <s v="NFEH7CD6GOFC6BA"/>
    <s v="RB2B PRO"/>
    <m/>
    <s v="RB2B PRO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25054663"/>
    <s v="BeneficialOwner"/>
    <s v="  PRODIA LABS INC."/>
    <s v="1155 MOUNT VERNON HIGHWAY SUITE 800 30338  US"/>
    <s v="BeneficialOwner"/>
    <s v="  PRODIA LABS INC."/>
    <s v="1155 MOUNT VERNON HIGHWAY SUITE 800 30338  US"/>
    <s v="RB2B PRO"/>
  </r>
  <r>
    <n v="2026830842"/>
    <s v="No"/>
    <m/>
    <m/>
    <m/>
    <s v="AWX846bab5e649-61b4-4585-bbbe-a7576847fc98"/>
    <s v="AWX1000000000020796614"/>
    <s v="AWX_D_00-0220"/>
    <s v="PURCHASE - Clearing Advice"/>
    <s v="USD"/>
    <n v="300"/>
    <x v="18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26830842"/>
    <s v="BeneficialOwner"/>
    <s v="  PRODIA LABS INC."/>
    <s v="1155 MOUNT VERNON HIGHWAY SUITE 800 30338  US"/>
    <s v="BeneficialOwner"/>
    <s v="  PRODIA LABS INC."/>
    <s v="1155 MOUNT VERNON HIGHWAY SUITE 800 30338  US"/>
    <s v="DROPBOX DOCSEND"/>
  </r>
  <r>
    <n v="2028190494"/>
    <s v="No"/>
    <m/>
    <m/>
    <m/>
    <s v="AWX84606500f95-92e0-434d-a3d1-d1dc98003e95"/>
    <s v="AWX1000000000020914680"/>
    <s v="AWX_D_00-0220"/>
    <s v="PURCHASE - Clearing Advice"/>
    <s v="USD"/>
    <n v="94"/>
    <x v="19"/>
    <x v="0"/>
    <s v="SAGJJ8SMSOMRFCY"/>
    <s v="LEADIQ SUB* LEADIQ SUB"/>
    <m/>
    <s v="LEADIQ SUB* LEADIQ SUB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28190494"/>
    <s v="BeneficialOwner"/>
    <s v="  PRODIA LABS INC."/>
    <s v="1155 MOUNT VERNON HIGHWAY SUITE 800 30338  US"/>
    <s v="BeneficialOwner"/>
    <s v="  PRODIA LABS INC."/>
    <s v="1155 MOUNT VERNON HIGHWAY SUITE 800 30338  US"/>
    <s v="LEADIQ SUB* LEADIQ SUB"/>
  </r>
  <r>
    <n v="2035684443"/>
    <s v="No"/>
    <m/>
    <m/>
    <m/>
    <s v="AWX84606500f95-92e0-434d-a3d1-d1dc98003e95"/>
    <s v="AWX1000000000018661067"/>
    <s v="AWX_D_00-0220"/>
    <s v="PURCHASE - Clearing Advice"/>
    <s v="USD"/>
    <n v="149"/>
    <x v="20"/>
    <x v="0"/>
    <s v="UOVWETCXR4QL2AC"/>
    <s v="CLAY LABS INC"/>
    <m/>
    <s v="CLAY LABS INC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35684443"/>
    <s v="BeneficialOwner"/>
    <s v="  PRODIA LABS INC."/>
    <s v="1155 MOUNT VERNON HIGHWAY SUITE 800 30338  US"/>
    <s v="BeneficialOwner"/>
    <s v="  PRODIA LABS INC."/>
    <s v="1155 MOUNT VERNON HIGHWAY SUITE 800 30338  US"/>
    <s v="CLAY LABS INC"/>
  </r>
  <r>
    <n v="2041396592"/>
    <s v="No"/>
    <m/>
    <m/>
    <m/>
    <s v="AWX846bab5e649-61b4-4585-bbbe-a7576847fc98"/>
    <s v="AWX1000000000019191011"/>
    <s v="AWX_D_00-0220"/>
    <s v="PURCHASE - Clearing Advice"/>
    <s v="USD"/>
    <n v="1616.24"/>
    <x v="21"/>
    <x v="0"/>
    <n v="50300000009944"/>
    <s v="BESTBUYCOM807112975695"/>
    <m/>
    <s v="BESTBUYCOM807112975695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41396592"/>
    <s v="BeneficialOwner"/>
    <s v="  PRODIA LABS INC."/>
    <s v="1155 MOUNT VERNON HIGHWAY SUITE 800 30338  US"/>
    <s v="BeneficialOwner"/>
    <s v="  PRODIA LABS INC."/>
    <s v="1155 MOUNT VERNON HIGHWAY SUITE 800 30338  US"/>
    <s v="BESTBUYCOM807112975695"/>
  </r>
  <r>
    <n v="2050081074"/>
    <s v="No"/>
    <m/>
    <m/>
    <m/>
    <s v="AWX846cc7167a8-ca38-49ea-a3b3-4a7f65430a57"/>
    <s v="AWX1000000000019529715"/>
    <s v="AWX_D_00-0220"/>
    <s v="PURCHASE - Clearing Advice"/>
    <s v="USD"/>
    <n v="29"/>
    <x v="22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050081074"/>
    <s v="BeneficialOwner"/>
    <s v="  PRODIA LABS INC."/>
    <s v="1155 MOUNT VERNON HIGHWAY SUITE 800 30338  US"/>
    <m/>
    <m/>
    <m/>
    <s v="WEBFLOW.COM"/>
  </r>
  <r>
    <n v="2051340952"/>
    <s v="Yes"/>
    <n v="2257336"/>
    <s v="Large value card transactions for purchase"/>
    <s v="TM"/>
    <s v="AWX846bab5e649-61b4-4585-bbbe-a7576847fc98"/>
    <s v="AWX1000000000019755294"/>
    <s v="AWX_D_00-0220"/>
    <s v="PURCHASE - Clearing Advice"/>
    <s v="USD"/>
    <n v="3939"/>
    <x v="23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51340952"/>
    <s v="BeneficialOwner"/>
    <s v="  PRODIA LABS INC."/>
    <s v="1155 MOUNT VERNON HIGHWAY SUITE 800 30338  US"/>
    <m/>
    <m/>
    <m/>
    <s v="YWW*WeWork 44MontgomeryS"/>
  </r>
  <r>
    <n v="2051349898"/>
    <s v="No"/>
    <m/>
    <m/>
    <m/>
    <s v="AWX84681523300-d17d-460f-8036-ea3cfed87fd1"/>
    <s v="AWX1000000000019778472"/>
    <s v="AWX_D_00-0220"/>
    <s v="PURCHASE - Clearing Advice"/>
    <s v="USD"/>
    <n v="50"/>
    <x v="23"/>
    <x v="0"/>
    <s v="NFRUAZTNFIJDESD"/>
    <s v="FAL FEATURES LABELS"/>
    <m/>
    <s v="FAL FEATURES LABELS"/>
    <m/>
    <s v="   US"/>
    <s v="US"/>
    <s v="CreditParty"/>
    <m/>
    <s v="AWX84681523300-d17d-460f-8036-ea3cfed87fd1"/>
    <s v="MIKHAIL AVADY"/>
    <s v="MIKHAIL"/>
    <s v="AVADY"/>
    <m/>
    <s v="4995 MARISTONE LANDING WAY SUITE 800 30040 US"/>
    <s v="US"/>
    <m/>
    <n v="2051349898"/>
    <s v="BeneficialOwner"/>
    <s v="  PRODIA LABS INC."/>
    <s v="1155 MOUNT VERNON HIGHWAY SUITE 800 30338  US"/>
    <m/>
    <m/>
    <m/>
    <s v="FAL FEATURES LABELS"/>
  </r>
  <r>
    <n v="2059092226"/>
    <s v="No"/>
    <m/>
    <m/>
    <m/>
    <s v="AWX846cc7167a8-ca38-49ea-a3b3-4a7f65430a57"/>
    <s v="AWX1000000000021549121"/>
    <s v="AWX_D_00-0220"/>
    <s v="PURCHASE - Clearing Advice"/>
    <s v="USD"/>
    <n v="29"/>
    <x v="24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059092226"/>
    <s v="BeneficialOwner"/>
    <s v="  PRODIA LABS INC."/>
    <s v="1155 MOUNT VERNON HIGHWAY SUITE 800 30338  US"/>
    <m/>
    <m/>
    <m/>
    <s v="WEBFLOW.COM"/>
  </r>
  <r>
    <n v="2071646841"/>
    <s v="No"/>
    <m/>
    <m/>
    <m/>
    <s v="AWX846cc7167a8-ca38-49ea-a3b3-4a7f65430a57"/>
    <s v="AWX1000000000022503014"/>
    <s v="AWX_D_00-0220"/>
    <s v="PURCHASE - Clearing Advice"/>
    <s v="USD"/>
    <n v="24"/>
    <x v="25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071646841"/>
    <s v="BeneficialOwner"/>
    <s v="  PRODIA LABS INC."/>
    <s v="1155 MOUNT VERNON HIGHWAY SUITE 800 30338  US"/>
    <m/>
    <m/>
    <m/>
    <s v="WEBFLOW.COM"/>
  </r>
  <r>
    <n v="2072853946"/>
    <s v="No"/>
    <m/>
    <m/>
    <m/>
    <s v="AWX84606500f95-92e0-434d-a3d1-d1dc98003e95"/>
    <s v="AWX1000000000022737192"/>
    <s v="AWX_D_00-0220"/>
    <s v="PURCHASE - Clearing Advice"/>
    <s v="USD"/>
    <n v="149"/>
    <x v="26"/>
    <x v="0"/>
    <s v="NFEH7CD6GOFC6BA"/>
    <s v="RB2B PRO"/>
    <m/>
    <s v="RB2B PRO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72853946"/>
    <s v="BeneficialOwner"/>
    <s v="  PRODIA LABS INC."/>
    <s v="1155 MOUNT VERNON HIGHWAY SUITE 800 30338  US"/>
    <m/>
    <m/>
    <m/>
    <s v="RB2B PRO"/>
  </r>
  <r>
    <n v="2074141628"/>
    <s v="No"/>
    <m/>
    <m/>
    <m/>
    <s v="AWX846bab5e649-61b4-4585-bbbe-a7576847fc98"/>
    <s v="AWX1000000000022844098"/>
    <s v="AWX_D_00-0220"/>
    <s v="PURCHASE - Clearing Advice"/>
    <s v="USD"/>
    <n v="300"/>
    <x v="27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074141628"/>
    <s v="BeneficialOwner"/>
    <s v="  PRODIA LABS INC."/>
    <s v="1155 MOUNT VERNON HIGHWAY SUITE 800 30338  US"/>
    <m/>
    <m/>
    <m/>
    <s v="DROPBOX DOCSEND"/>
  </r>
  <r>
    <n v="2075482077"/>
    <s v="No"/>
    <m/>
    <m/>
    <m/>
    <s v="AWX84606500f95-92e0-434d-a3d1-d1dc98003e95"/>
    <s v="AWX1000000000022958943"/>
    <s v="AWX_D_00-0220"/>
    <s v="PURCHASE - Clearing Advice"/>
    <s v="USD"/>
    <n v="94"/>
    <x v="28"/>
    <x v="0"/>
    <s v="SAGJJ8SMSOMRFCY"/>
    <s v="LEADIQ SUB* LEADIQ SUB"/>
    <m/>
    <s v="LEADIQ SUB* LEADIQ SUB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75482077"/>
    <s v="BeneficialOwner"/>
    <s v="  PRODIA LABS INC."/>
    <s v="1155 MOUNT VERNON HIGHWAY SUITE 800 30338  US"/>
    <m/>
    <m/>
    <m/>
    <s v="LEADIQ SUB* LEADIQ SUB"/>
  </r>
  <r>
    <n v="2084014795"/>
    <s v="No"/>
    <m/>
    <m/>
    <m/>
    <s v="AWX84606500f95-92e0-434d-a3d1-d1dc98003e95"/>
    <s v="AWX1000000000023623269"/>
    <s v="AWX_D_00-0220"/>
    <s v="PURCHASE - Clearing Advice"/>
    <s v="USD"/>
    <n v="149"/>
    <x v="29"/>
    <x v="0"/>
    <s v="UOVWETCXR4QL2AC"/>
    <s v="CLAY LABS INC"/>
    <m/>
    <s v="CLAY LABS INC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084014795"/>
    <s v="BeneficialOwner"/>
    <s v="  PRODIA LABS INC."/>
    <s v="1155 MOUNT VERNON HIGHWAY SUITE 800 30338  US"/>
    <m/>
    <m/>
    <m/>
    <s v="CLAY LABS INC"/>
  </r>
  <r>
    <n v="2108718849"/>
    <s v="No"/>
    <m/>
    <m/>
    <m/>
    <s v="AWX846bab5e649-61b4-4585-bbbe-a7576847fc98"/>
    <s v="AWX1000000000026643268"/>
    <s v="AWX_D_00-0220"/>
    <s v="PURCHASE - Clearing Advice"/>
    <s v="USD"/>
    <n v="500"/>
    <x v="30"/>
    <x v="0"/>
    <s v="EWFBZZ0CDDMOP2E"/>
    <s v="PARAFORM.COM"/>
    <m/>
    <s v="PARAFORM.COM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08718849"/>
    <s v="BeneficialOwner"/>
    <s v="  PRODIA LABS INC."/>
    <s v="1155 MOUNT VERNON HIGHWAY SUITE 800 30338  US"/>
    <m/>
    <m/>
    <m/>
    <s v="PARAFORM.COM"/>
  </r>
  <r>
    <n v="2108736531"/>
    <s v="No"/>
    <m/>
    <m/>
    <m/>
    <s v="AWX846bab5e649-61b4-4585-bbbe-a7576847fc98"/>
    <s v="AWX1000000000026710802"/>
    <s v="AWX_D_00-0220"/>
    <s v="PURCHASE - Clearing Advice"/>
    <s v="USD"/>
    <n v="339"/>
    <x v="30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08736531"/>
    <s v="BeneficialOwner"/>
    <s v="  PRODIA LABS INC."/>
    <s v="1155 MOUNT VERNON HIGHWAY SUITE 800 30338  US"/>
    <m/>
    <m/>
    <m/>
    <s v="YWW*WeWork 44MontgomeryS"/>
  </r>
  <r>
    <n v="2110068835"/>
    <s v="No"/>
    <m/>
    <m/>
    <m/>
    <s v="AWX846cc7167a8-ca38-49ea-a3b3-4a7f65430a57"/>
    <s v="AWX1000000000026865226"/>
    <s v="AWX_D_00-0220"/>
    <s v="PURCHASE - Clearing Advice"/>
    <s v="USD"/>
    <n v="29"/>
    <x v="31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10068835"/>
    <s v="BeneficialOwner"/>
    <s v="  PRODIA LABS INC."/>
    <s v="1155 MOUNT VERNON HIGHWAY SUITE 800 30338  US"/>
    <m/>
    <m/>
    <m/>
    <s v="WEBFLOW.COM"/>
  </r>
  <r>
    <n v="2120169353"/>
    <s v="No"/>
    <m/>
    <m/>
    <m/>
    <s v="AWX846cc7167a8-ca38-49ea-a3b3-4a7f65430a57"/>
    <s v="AWX1000000000027510993"/>
    <s v="AWX_D_00-0220"/>
    <s v="PURCHASE - Clearing Advice"/>
    <s v="USD"/>
    <n v="24"/>
    <x v="32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20169353"/>
    <s v="BeneficialOwner"/>
    <s v="  PRODIA LABS INC."/>
    <s v="1155 MOUNT VERNON HIGHWAY SUITE 800 30338  US"/>
    <m/>
    <m/>
    <m/>
    <s v="WEBFLOW.COM"/>
  </r>
  <r>
    <n v="2123298888"/>
    <s v="No"/>
    <m/>
    <m/>
    <m/>
    <s v="AWX846bab5e649-61b4-4585-bbbe-a7576847fc98"/>
    <s v="AWX1000000000027648583"/>
    <s v="AWX_D_00-0220"/>
    <s v="PURCHASE - Clearing Advice"/>
    <s v="USD"/>
    <n v="300"/>
    <x v="33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23298888"/>
    <s v="BeneficialOwner"/>
    <s v="  PRODIA LABS INC."/>
    <s v="1155 MOUNT VERNON HIGHWAY SUITE 800 30338  US"/>
    <m/>
    <m/>
    <m/>
    <s v="DROPBOX DOCSEND"/>
  </r>
  <r>
    <n v="2123299120"/>
    <s v="No"/>
    <m/>
    <m/>
    <m/>
    <s v="AWX84606500f95-92e0-434d-a3d1-d1dc98003e95"/>
    <s v="AWX1000000000027648817"/>
    <s v="AWX_D_00-0220"/>
    <s v="PURCHASE - Clearing Advice"/>
    <s v="USD"/>
    <n v="234"/>
    <x v="33"/>
    <x v="0"/>
    <s v="NFEH7CD6GOFC6BA"/>
    <s v="RB2B.COM"/>
    <m/>
    <s v="RB2B.COM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123299120"/>
    <s v="BeneficialOwner"/>
    <s v="  PRODIA LABS INC."/>
    <s v="1155 MOUNT VERNON HIGHWAY SUITE 800 30338  US"/>
    <m/>
    <m/>
    <m/>
    <s v="RB2B.COM"/>
  </r>
  <r>
    <n v="2132552706"/>
    <s v="No"/>
    <m/>
    <m/>
    <m/>
    <s v="AWX84606500f95-92e0-434d-a3d1-d1dc98003e95"/>
    <s v="AWX1000000000028107476"/>
    <s v="AWX_D_00-0220"/>
    <s v="PURCHASE - Clearing Advice"/>
    <s v="USD"/>
    <n v="149"/>
    <x v="34"/>
    <x v="0"/>
    <s v="UOVWETCXR4QL2AC"/>
    <s v="CLAY LABS INC"/>
    <m/>
    <s v="CLAY LABS INC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132552706"/>
    <s v="BeneficialOwner"/>
    <s v="  PRODIA LABS INC."/>
    <s v="1155 MOUNT VERNON HIGHWAY SUITE 800 30338  US"/>
    <m/>
    <m/>
    <m/>
    <s v="CLAY LABS INC"/>
  </r>
  <r>
    <n v="2138613456"/>
    <s v="No"/>
    <m/>
    <m/>
    <m/>
    <s v="AWX84606500f95-92e0-434d-a3d1-d1dc98003e95"/>
    <s v="AWX1000000000028392478"/>
    <s v="AWX_D_00-0220"/>
    <s v="PURCHASE - Clearing Advice"/>
    <s v="USD"/>
    <n v="94"/>
    <x v="35"/>
    <x v="0"/>
    <s v="SAGJJ8SMSOMRFCY"/>
    <s v="LEADIQ SUB* LEADIQ SUB"/>
    <m/>
    <s v="LEADIQ SUB* LEADIQ SUB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138613456"/>
    <s v="BeneficialOwner"/>
    <s v="  PRODIA LABS INC."/>
    <s v="1155 MOUNT VERNON HIGHWAY SUITE 800 30338  US"/>
    <m/>
    <m/>
    <m/>
    <s v="LEADIQ SUB* LEADIQ SUB"/>
  </r>
  <r>
    <n v="2147425743"/>
    <s v="No"/>
    <m/>
    <m/>
    <m/>
    <s v="AWX846bab5e649-61b4-4585-bbbe-a7576847fc98"/>
    <s v="AWX1000000000028698528"/>
    <s v="AWX_D_00-0220"/>
    <s v="PURCHASE - Clearing Advice"/>
    <s v="USD"/>
    <n v="339"/>
    <x v="36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47425743"/>
    <s v="BeneficialOwner"/>
    <s v="  PRODIA LABS INC."/>
    <s v="1155 MOUNT VERNON HIGHWAY SUITE 800 30338  US"/>
    <m/>
    <m/>
    <m/>
    <s v="YWW*WeWork 44MontgomeryS"/>
  </r>
  <r>
    <n v="2157802894"/>
    <s v="No"/>
    <m/>
    <m/>
    <m/>
    <s v="AWX846cc7167a8-ca38-49ea-a3b3-4a7f65430a57"/>
    <s v="AWX1000000000029170436"/>
    <s v="AWX_D_00-0220"/>
    <s v="PURCHASE - Clearing Advice"/>
    <s v="USD"/>
    <n v="29"/>
    <x v="37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57802894"/>
    <s v="BeneficialOwner"/>
    <s v="  PRODIA LABS INC."/>
    <s v="1155 MOUNT VERNON HIGHWAY SUITE 800 30338  US"/>
    <m/>
    <m/>
    <m/>
    <s v="WEBFLOW.COM"/>
  </r>
  <r>
    <n v="2159551978"/>
    <s v="No"/>
    <m/>
    <m/>
    <m/>
    <s v="AWX84670e304e0-e7b3-4e75-8396-e591c09502f8"/>
    <s v="AWX1000000000029210333"/>
    <s v="AWX_D_00-0220"/>
    <s v="PURCHASE - Clearing Advice"/>
    <s v="USD"/>
    <n v="1026.9100000000001"/>
    <x v="38"/>
    <x v="0"/>
    <n v="899000002896338"/>
    <s v="BEKIARES ELIEZER LLP"/>
    <m/>
    <s v="BEKIARES ELIEZER LLP"/>
    <m/>
    <s v="   US"/>
    <s v="US"/>
    <s v="CreditParty"/>
    <m/>
    <s v="AWX84670e304e0-e7b3-4e75-8396-e591c09502f8"/>
    <s v="MIKHAIL AVADY"/>
    <s v="MIKHAIL"/>
    <s v="AVADY"/>
    <m/>
    <s v="4995 MARISTONE LANDING WAY SUITE 800 30040 US"/>
    <s v="US"/>
    <m/>
    <n v="2159551978"/>
    <s v="BeneficialOwner"/>
    <s v="  PRODIA LABS INC."/>
    <s v="1155 MOUNT VERNON HIGHWAY SUITE 800 30338  US"/>
    <m/>
    <m/>
    <m/>
    <s v="BEKIARES ELIEZER LLP"/>
  </r>
  <r>
    <n v="2159566667"/>
    <s v="No"/>
    <m/>
    <m/>
    <m/>
    <s v="AWX846cc7167a8-ca38-49ea-a3b3-4a7f65430a57"/>
    <s v="AWX1000000000029231158"/>
    <s v="AWX_D_00-0220"/>
    <s v="PURCHASE - Clearing Advice"/>
    <s v="USD"/>
    <n v="8.8800000000000008"/>
    <x v="38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59566667"/>
    <s v="BeneficialOwner"/>
    <s v="  PRODIA LABS INC."/>
    <s v="1155 MOUNT VERNON HIGHWAY SUITE 800 30338  US"/>
    <m/>
    <m/>
    <m/>
    <s v="WEBFLOW.COM"/>
  </r>
  <r>
    <n v="2167949002"/>
    <s v="No"/>
    <m/>
    <m/>
    <m/>
    <s v="AWX846cc7167a8-ca38-49ea-a3b3-4a7f65430a57"/>
    <s v="AWX1000000000039284979"/>
    <s v="AWX_D_00-0220"/>
    <s v="PURCHASE - Clearing Advice"/>
    <s v="USD"/>
    <n v="69"/>
    <x v="39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67949002"/>
    <s v="BeneficialOwner"/>
    <s v="  PRODIA LABS INC."/>
    <s v="1155 MOUNT VERNON HIGHWAY SUITE 800 30338  US"/>
    <m/>
    <m/>
    <m/>
    <s v="WEBFLOW.COM"/>
  </r>
  <r>
    <n v="2169656645"/>
    <s v="No"/>
    <m/>
    <m/>
    <m/>
    <s v="AWX84606500f95-92e0-434d-a3d1-d1dc98003e95"/>
    <s v="AWX1000000000039319468"/>
    <s v="AWX_D_00-0220"/>
    <s v="PURCHASE - Clearing Advice"/>
    <s v="USD"/>
    <n v="174"/>
    <x v="40"/>
    <x v="0"/>
    <s v="NFEH7CD6GOFC6BA"/>
    <s v="RB2B.COM"/>
    <m/>
    <s v="RB2B.COM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169656645"/>
    <s v="BeneficialOwner"/>
    <s v="  PRODIA LABS INC."/>
    <s v="1155 MOUNT VERNON HIGHWAY SUITE 800 30338  US"/>
    <m/>
    <m/>
    <m/>
    <s v="RB2B.COM"/>
  </r>
  <r>
    <n v="2171002480"/>
    <s v="No"/>
    <m/>
    <m/>
    <m/>
    <s v="AWX846bab5e649-61b4-4585-bbbe-a7576847fc98"/>
    <s v="AWX1000000000039365283"/>
    <s v="AWX_D_00-0220"/>
    <s v="PURCHASE - Clearing Advice"/>
    <s v="USD"/>
    <n v="300"/>
    <x v="41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71002480"/>
    <s v="BeneficialOwner"/>
    <s v="  PRODIA LABS INC."/>
    <s v="1155 MOUNT VERNON HIGHWAY SUITE 800 30338  US"/>
    <m/>
    <m/>
    <m/>
    <s v="DROPBOX DOCSEND"/>
  </r>
  <r>
    <n v="2172137604"/>
    <s v="No"/>
    <m/>
    <m/>
    <m/>
    <s v="AWX846cc7167a8-ca38-49ea-a3b3-4a7f65430a57"/>
    <s v="AWX1000000000039402599"/>
    <s v="AWX_D_00-0220"/>
    <s v="PURCHASE - Clearing Advice"/>
    <s v="USD"/>
    <n v="420"/>
    <x v="42"/>
    <x v="0"/>
    <n v="767221404886"/>
    <s v="99DESIGNS LLC"/>
    <m/>
    <s v="99DESIGNS LLC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72137604"/>
    <s v="BeneficialOwner"/>
    <s v="  PRODIA LABS INC."/>
    <s v="1155 MOUNT VERNON HIGHWAY SUITE 800 30338  US"/>
    <m/>
    <m/>
    <m/>
    <s v="99DESIGNS LLC"/>
  </r>
  <r>
    <n v="2173366808"/>
    <s v="Yes"/>
    <n v="2295015"/>
    <s v="Large value card transactions for purchase"/>
    <s v="TM"/>
    <s v="AWX8463c9ccd97-c1f0-4e59-943e-23166e2d9c0d"/>
    <s v="AWX1000000000039459363"/>
    <s v="AWX_D_00-0220"/>
    <s v="PURCHASE - Clearing Advice"/>
    <s v="USD"/>
    <n v="4239.99"/>
    <x v="43"/>
    <x v="0"/>
    <n v="4445091074823"/>
    <s v="MCTR-GWINNETT #65"/>
    <m/>
    <s v="MCTR-GWINNETT #65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173366808"/>
    <s v="BeneficialOwner"/>
    <s v="  PRODIA LABS INC."/>
    <s v="1155 MOUNT VERNON HIGHWAY SUITE 800 30338  US"/>
    <m/>
    <m/>
    <m/>
    <s v="MCTR-GWINNETT #65"/>
  </r>
  <r>
    <n v="2179758955"/>
    <s v="No"/>
    <m/>
    <m/>
    <m/>
    <s v="AWX8463c9ccd97-c1f0-4e59-943e-23166e2d9c0d"/>
    <s v="AWX1000000000039612572"/>
    <s v="AWX_D_00-0220"/>
    <s v="PURCHASE - Clearing Advice"/>
    <s v="USD"/>
    <n v="1466.3"/>
    <x v="44"/>
    <x v="0"/>
    <n v="487530005586841"/>
    <s v="artotel Hoxton"/>
    <m/>
    <s v="artotel Hoxton"/>
    <m/>
    <s v="   GB"/>
    <s v="GB"/>
    <s v="CreditParty"/>
    <m/>
    <s v="AWX8463c9ccd97-c1f0-4e59-943e-23166e2d9c0d"/>
    <s v="MIKHAIL AVADY"/>
    <s v="MIKHAIL"/>
    <s v="AVADY"/>
    <m/>
    <s v="4995 MARISTONE LANDING WAY SUITE 800 30040 US"/>
    <s v="US"/>
    <m/>
    <n v="2179758955"/>
    <s v="BeneficialOwner"/>
    <s v="  PRODIA LABS INC."/>
    <s v="1155 MOUNT VERNON HIGHWAY SUITE 800 30338  US"/>
    <m/>
    <m/>
    <m/>
    <s v="artotel Hoxton"/>
  </r>
  <r>
    <n v="2183267555"/>
    <s v="No"/>
    <m/>
    <m/>
    <m/>
    <s v="AWX8463c9ccd97-c1f0-4e59-943e-23166e2d9c0d"/>
    <s v="AWX1000000000039757426"/>
    <s v="AWX_D_00-0220"/>
    <s v="PURCHASE - Clearing Advice"/>
    <s v="USD"/>
    <n v="321.56"/>
    <x v="45"/>
    <x v="0"/>
    <n v="487530004905782"/>
    <s v="MOI Restuarant"/>
    <m/>
    <s v="MOI Restuarant"/>
    <m/>
    <s v="   GB"/>
    <s v="GB"/>
    <s v="CreditParty"/>
    <m/>
    <s v="AWX8463c9ccd97-c1f0-4e59-943e-23166e2d9c0d"/>
    <s v="MIKHAIL AVADY"/>
    <s v="MIKHAIL"/>
    <s v="AVADY"/>
    <m/>
    <s v="4995 MARISTONE LANDING WAY SUITE 800 30040 US"/>
    <s v="US"/>
    <m/>
    <n v="2183267555"/>
    <s v="BeneficialOwner"/>
    <s v="  PRODIA LABS INC."/>
    <s v="1155 MOUNT VERNON HIGHWAY SUITE 800 30338  US"/>
    <m/>
    <m/>
    <m/>
    <s v="MOI Restuarant"/>
  </r>
  <r>
    <n v="2183285404"/>
    <s v="No"/>
    <m/>
    <m/>
    <m/>
    <s v="AWX8463c9ccd97-c1f0-4e59-943e-23166e2d9c0d"/>
    <s v="AWX1000000000039778303"/>
    <s v="AWX_D_00-0220"/>
    <s v="PURCHASE - Clearing Advice"/>
    <s v="USD"/>
    <n v="70.290000000000006"/>
    <x v="45"/>
    <x v="0"/>
    <n v="487530001611862"/>
    <s v="The Brush Grand Cafe"/>
    <m/>
    <s v="The Brush Grand Cafe"/>
    <m/>
    <s v="   GB"/>
    <s v="GB"/>
    <s v="CreditParty"/>
    <m/>
    <s v="AWX8463c9ccd97-c1f0-4e59-943e-23166e2d9c0d"/>
    <s v="MIKHAIL AVADY"/>
    <s v="MIKHAIL"/>
    <s v="AVADY"/>
    <m/>
    <s v="4995 MARISTONE LANDING WAY SUITE 800 30040 US"/>
    <s v="US"/>
    <m/>
    <n v="2183285404"/>
    <s v="BeneficialOwner"/>
    <s v="  PRODIA LABS INC."/>
    <s v="1155 MOUNT VERNON HIGHWAY SUITE 800 30338  US"/>
    <m/>
    <m/>
    <m/>
    <s v="The Brush Grand Cafe"/>
  </r>
  <r>
    <n v="2192123927"/>
    <s v="No"/>
    <m/>
    <m/>
    <m/>
    <s v="AWX846bab5e649-61b4-4585-bbbe-a7576847fc98"/>
    <s v="AWX1000000000040038679"/>
    <s v="AWX_D_00-0220"/>
    <s v="PURCHASE - Clearing Advice"/>
    <s v="USD"/>
    <n v="339"/>
    <x v="46"/>
    <x v="0"/>
    <n v="395711276353"/>
    <s v="YWW*WeWork 44MontgomeryS"/>
    <m/>
    <s v="YWW*WeWork 44MontgomeryS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192123927"/>
    <s v="BeneficialOwner"/>
    <s v="  PRODIA LABS INC."/>
    <s v="1155 MOUNT VERNON HIGHWAY SUITE 800 30338  US"/>
    <m/>
    <m/>
    <m/>
    <s v="YWW*WeWork 44MontgomeryS"/>
  </r>
  <r>
    <n v="2193303195"/>
    <s v="No"/>
    <m/>
    <m/>
    <m/>
    <s v="AWX84606500f95-92e0-434d-a3d1-d1dc98003e95"/>
    <s v="AWX1000000000040091327"/>
    <s v="AWX_D_50-0220"/>
    <s v="PAY_OTHER_PARTY - Clearing Advice"/>
    <s v="USD"/>
    <n v="489.24"/>
    <x v="47"/>
    <x v="0"/>
    <s v="IYMAZXWO3P7EQTG"/>
    <s v="AMPLEMARKET.COM"/>
    <m/>
    <s v="AMPLEMARKET.COM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193303195"/>
    <s v="BeneficialOwner"/>
    <s v="  PRODIA LABS INC."/>
    <s v="1155 MOUNT VERNON HIGHWAY SUITE 800 30338  US"/>
    <m/>
    <m/>
    <m/>
    <s v="AMPLEMARKET.COM"/>
  </r>
  <r>
    <n v="2195530529"/>
    <s v="No"/>
    <m/>
    <m/>
    <m/>
    <s v="AWX846cc7167a8-ca38-49ea-a3b3-4a7f65430a57"/>
    <s v="AWX1000000000040268379"/>
    <s v="AWX_D_00-0220"/>
    <s v="PURCHASE - Clearing Advice"/>
    <s v="USD"/>
    <n v="7.09"/>
    <x v="48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195530529"/>
    <s v="BeneficialOwner"/>
    <s v="  PRODIA LABS INC."/>
    <s v="1155 MOUNT VERNON HIGHWAY SUITE 800 30338  US"/>
    <m/>
    <m/>
    <m/>
    <s v="WEBFLOW.COM"/>
  </r>
  <r>
    <n v="2200790879"/>
    <s v="No"/>
    <m/>
    <m/>
    <m/>
    <s v="AWX846cc7167a8-ca38-49ea-a3b3-4a7f65430a57"/>
    <s v="AWX1000000000040367435"/>
    <s v="AWX_D_00-0220"/>
    <s v="PURCHASE - Clearing Advice"/>
    <s v="USD"/>
    <n v="29"/>
    <x v="49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200790879"/>
    <s v="BeneficialOwner"/>
    <s v="  PRODIA LABS INC."/>
    <s v="1155 MOUNT VERNON HIGHWAY SUITE 800 30338  US"/>
    <m/>
    <m/>
    <m/>
    <s v="WEBFLOW.COM"/>
  </r>
  <r>
    <n v="2217290558"/>
    <s v="No"/>
    <m/>
    <m/>
    <m/>
    <s v="AWX8463c9ccd97-c1f0-4e59-943e-23166e2d9c0d"/>
    <s v="AWX1000000000043318557"/>
    <s v="AWX_D_00-0220"/>
    <s v="PURCHASE - Clearing Advice"/>
    <s v="USD"/>
    <n v="27.93"/>
    <x v="50"/>
    <x v="0"/>
    <n v="4445074094368"/>
    <s v="TST* BON DELIRE"/>
    <m/>
    <s v="TST* BON DELIRE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217290558"/>
    <s v="BeneficialOwner"/>
    <s v="  PRODIA LABS INC."/>
    <s v="1155 MOUNT VERNON HIGHWAY SUITE 800 30338  US"/>
    <m/>
    <m/>
    <m/>
    <s v="TST* BON DELIRE"/>
  </r>
  <r>
    <n v="2217297757"/>
    <s v="No"/>
    <m/>
    <m/>
    <m/>
    <s v="AWX8463c9ccd97-c1f0-4e59-943e-23166e2d9c0d"/>
    <s v="AWX1000000000043325757"/>
    <s v="AWX_D_00-0220"/>
    <s v="PURCHASE - Clearing Advice"/>
    <s v="USD"/>
    <n v="20"/>
    <x v="50"/>
    <x v="0"/>
    <s v="21-8021510667"/>
    <s v="HILTON GARDEN INN"/>
    <m/>
    <s v="HILTON GARDEN INN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217297757"/>
    <s v="BeneficialOwner"/>
    <s v="  PRODIA LABS INC."/>
    <s v="1155 MOUNT VERNON HIGHWAY SUITE 800 30338  US"/>
    <m/>
    <m/>
    <m/>
    <s v="HILTON GARDEN INN"/>
  </r>
  <r>
    <n v="2217313347"/>
    <s v="No"/>
    <m/>
    <m/>
    <m/>
    <s v="AWX8463c9ccd97-c1f0-4e59-943e-23166e2d9c0d"/>
    <s v="AWX1000000000043350183"/>
    <s v="AWX_D_00-0220"/>
    <s v="PURCHASE - Clearing Advice"/>
    <s v="USD"/>
    <n v="3"/>
    <x v="50"/>
    <x v="0"/>
    <s v="21-8021510667"/>
    <s v="HILTON GARDEN INN"/>
    <m/>
    <s v="HILTON GARDEN INN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217313347"/>
    <s v="BeneficialOwner"/>
    <s v="  PRODIA LABS INC."/>
    <s v="1155 MOUNT VERNON HIGHWAY SUITE 800 30338  US"/>
    <m/>
    <m/>
    <m/>
    <s v="HILTON GARDEN INN"/>
  </r>
  <r>
    <n v="2218617490"/>
    <s v="No"/>
    <m/>
    <m/>
    <m/>
    <s v="AWX84606500f95-92e0-434d-a3d1-d1dc98003e95"/>
    <s v="AWX1000000000043402024"/>
    <s v="AWX_D_00-0220"/>
    <s v="PURCHASE - Clearing Advice"/>
    <s v="USD"/>
    <n v="25"/>
    <x v="51"/>
    <x v="0"/>
    <s v="NFEH7CD6GOFC6BA"/>
    <s v="RB2B.COM"/>
    <m/>
    <s v="RB2B.COM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218617490"/>
    <s v="BeneficialOwner"/>
    <s v="  PRODIA LABS INC."/>
    <s v="1155 MOUNT VERNON HIGHWAY SUITE 800 30338  US"/>
    <m/>
    <m/>
    <m/>
    <s v="RB2B.COM"/>
  </r>
  <r>
    <n v="2218976150"/>
    <s v="No"/>
    <m/>
    <m/>
    <m/>
    <s v="AWX8463c9ccd97-c1f0-4e59-943e-23166e2d9c0d"/>
    <s v="AWX1000000000043484614"/>
    <s v="AWX_D_00-0220"/>
    <s v="PURCHASE - Clearing Advice"/>
    <s v="USD"/>
    <n v="386.65"/>
    <x v="52"/>
    <x v="0"/>
    <n v="4445074094368"/>
    <s v="TST* BON DELIRE"/>
    <m/>
    <s v="TST* BON DELIRE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218976150"/>
    <s v="BeneficialOwner"/>
    <s v="  PRODIA LABS INC."/>
    <s v="1155 MOUNT VERNON HIGHWAY SUITE 800 30338  US"/>
    <m/>
    <m/>
    <m/>
    <s v="TST* BON DELIRE"/>
  </r>
  <r>
    <n v="2222412640"/>
    <s v="No"/>
    <m/>
    <m/>
    <m/>
    <s v="AWX84606500f95-92e0-434d-a3d1-d1dc98003e95"/>
    <s v="AWX1000000000040569175"/>
    <s v="AWX_D_00-0220"/>
    <s v="PURCHASE - Clearing Advice"/>
    <s v="USD"/>
    <n v="600"/>
    <x v="53"/>
    <x v="0"/>
    <s v="2RGDJQ0KJOTE7SW"/>
    <s v="DROPBOX SIGN HELLOSIGN"/>
    <m/>
    <s v="DROPBOX SIGN HELLOSIGN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222412640"/>
    <s v="BeneficialOwner"/>
    <s v="  PRODIA LABS INC."/>
    <s v="1155 MOUNT VERNON HIGHWAY SUITE 800 30338  US"/>
    <m/>
    <m/>
    <m/>
    <s v="DROPBOX SIGN HELLOSIGN"/>
  </r>
  <r>
    <n v="2222578906"/>
    <s v="No"/>
    <m/>
    <m/>
    <m/>
    <s v="AWX846cc7167a8-ca38-49ea-a3b3-4a7f65430a57"/>
    <s v="AWX1000000000040841026"/>
    <s v="AWX_D_00-0220"/>
    <s v="PURCHASE - Clearing Advice"/>
    <s v="USD"/>
    <n v="88"/>
    <x v="54"/>
    <x v="0"/>
    <s v="VHWLO7VF91VFRZF"/>
    <s v="WEBFLOW.COM"/>
    <m/>
    <s v="WEBFLOW.COM"/>
    <m/>
    <s v="   US"/>
    <s v="US"/>
    <s v="CreditParty"/>
    <m/>
    <s v="AWX846cc7167a8-ca38-49ea-a3b3-4a7f65430a57"/>
    <s v="MIKHAIL AVADY"/>
    <s v="MIKHAIL"/>
    <s v="AVADY"/>
    <m/>
    <s v="4995 MARISTONE LANDING WAY SUITE 800 30040 US"/>
    <s v="US"/>
    <m/>
    <n v="2222578906"/>
    <s v="BeneficialOwner"/>
    <s v="  PRODIA LABS INC."/>
    <s v="1155 MOUNT VERNON HIGHWAY SUITE 800 30338  US"/>
    <m/>
    <m/>
    <m/>
    <s v="WEBFLOW.COM"/>
  </r>
  <r>
    <n v="2222625847"/>
    <s v="No"/>
    <m/>
    <m/>
    <m/>
    <s v="AWX84606500f95-92e0-434d-a3d1-d1dc98003e95"/>
    <s v="AWX1000000000040918141"/>
    <s v="AWX_D_00-0220"/>
    <s v="PURCHASE - Clearing Advice"/>
    <s v="USD"/>
    <n v="174"/>
    <x v="55"/>
    <x v="0"/>
    <s v="NFEH7CD6GOFC6BA"/>
    <s v="RB2B.COM"/>
    <m/>
    <s v="RB2B.COM"/>
    <m/>
    <s v="   US"/>
    <s v="US"/>
    <s v="CreditParty"/>
    <m/>
    <s v="AWX84606500f95-92e0-434d-a3d1-d1dc98003e95"/>
    <s v="MIKHAIL AVADY"/>
    <s v="MIKHAIL"/>
    <s v="AVADY"/>
    <m/>
    <s v="4995 MARISTONE LANDING WAY SUITE 800 30040 US"/>
    <s v="US"/>
    <m/>
    <n v="2222625847"/>
    <s v="BeneficialOwner"/>
    <s v="  PRODIA LABS INC."/>
    <s v="1155 MOUNT VERNON HIGHWAY SUITE 800 30338  US"/>
    <m/>
    <m/>
    <m/>
    <s v="RB2B.COM"/>
  </r>
  <r>
    <n v="2222650714"/>
    <s v="Yes"/>
    <n v="2315814"/>
    <s v="Large value card transactions for purchase"/>
    <s v="TM"/>
    <s v="AWX846cc7167a8-ca38-49ea-a3b3-4a7f65430a57"/>
    <s v="AWX1000000000043161115"/>
    <s v="AWX_D_00-0220"/>
    <s v="PURCHASE - Clearing Advice"/>
    <s v="USD"/>
    <n v="10000"/>
    <x v="56"/>
    <x v="0"/>
    <s v="KPNIKO8INWV801P"/>
    <s v="SILICONMANIA.TV"/>
    <m/>
    <s v="SILICONMANIA.TV"/>
    <m/>
    <s v="   FR"/>
    <s v="FR"/>
    <s v="CreditParty"/>
    <m/>
    <s v="AWX846cc7167a8-ca38-49ea-a3b3-4a7f65430a57"/>
    <s v="MIKHAIL AVADY"/>
    <s v="MIKHAIL"/>
    <s v="AVADY"/>
    <m/>
    <s v="4995 MARISTONE LANDING WAY SUITE 800 30040 US"/>
    <s v="US"/>
    <m/>
    <n v="2222650714"/>
    <s v="BeneficialOwner"/>
    <s v="  PRODIA LABS INC."/>
    <s v="1155 MOUNT VERNON HIGHWAY SUITE 800 30338  US"/>
    <m/>
    <m/>
    <m/>
    <s v="SILICONMANIA.TV"/>
  </r>
  <r>
    <n v="2222652933"/>
    <s v="No"/>
    <m/>
    <m/>
    <m/>
    <s v="AWX8463c9ccd97-c1f0-4e59-943e-23166e2d9c0d"/>
    <s v="AWX1000000000043163335"/>
    <s v="AWX_D_00-0220"/>
    <s v="PURCHASE - Clearing Advice"/>
    <s v="USD"/>
    <n v="6.47"/>
    <x v="56"/>
    <x v="0"/>
    <n v="242661000053360"/>
    <s v="SQ *VOLTAIRE COFFEE ROAST"/>
    <m/>
    <s v="SQ *VOLTAIRE COFFEE ROAST"/>
    <m/>
    <s v="   US"/>
    <s v="US"/>
    <s v="CreditParty"/>
    <m/>
    <s v="AWX8463c9ccd97-c1f0-4e59-943e-23166e2d9c0d"/>
    <s v="MIKHAIL AVADY"/>
    <s v="MIKHAIL"/>
    <s v="AVADY"/>
    <m/>
    <s v="4995 MARISTONE LANDING WAY SUITE 800 30040 US"/>
    <s v="US"/>
    <m/>
    <n v="2222652933"/>
    <s v="BeneficialOwner"/>
    <s v="  PRODIA LABS INC."/>
    <s v="1155 MOUNT VERNON HIGHWAY SUITE 800 30338  US"/>
    <m/>
    <m/>
    <m/>
    <s v="SQ *VOLTAIRE COFFEE ROAST"/>
  </r>
  <r>
    <n v="2222663669"/>
    <s v="No"/>
    <m/>
    <m/>
    <m/>
    <s v="AWX846bab5e649-61b4-4585-bbbe-a7576847fc98"/>
    <s v="AWX1000000000043181801"/>
    <s v="AWX_D_00-0220"/>
    <s v="PURCHASE - Clearing Advice"/>
    <s v="USD"/>
    <n v="300"/>
    <x v="56"/>
    <x v="0"/>
    <s v="KNHVZFCKOOOUVZE"/>
    <s v="DROPBOX DOCSEND"/>
    <m/>
    <s v="DROPBOX DOCSEND"/>
    <m/>
    <s v="   US"/>
    <s v="US"/>
    <s v="CreditParty"/>
    <m/>
    <s v="AWX846bab5e649-61b4-4585-bbbe-a7576847fc98"/>
    <s v="MIKHAIL AVADY"/>
    <s v="MIKHAIL"/>
    <s v="AVADY"/>
    <m/>
    <s v="4995 MARISTONE LANDING WAY SUITE 800 30040 US"/>
    <s v="US"/>
    <m/>
    <n v="2222663669"/>
    <s v="BeneficialOwner"/>
    <s v="  PRODIA LABS INC."/>
    <s v="1155 MOUNT VERNON HIGHWAY SUITE 800 30338  US"/>
    <m/>
    <m/>
    <m/>
    <s v="DROPBOX DOCSE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4B358-5C3E-4311-8AD1-211A29D75F3E}" name="DrCrTemporalPivot" cacheId="4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72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35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3"/>
        <item x="54"/>
        <item x="55"/>
        <item x="56"/>
        <item x="50"/>
        <item x="51"/>
        <item x="52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12"/>
    <field x="40"/>
    <field x="39"/>
    <field x="38"/>
  </rowFields>
  <rowItems count="69">
    <i>
      <x/>
    </i>
    <i r="1">
      <x v="1"/>
    </i>
    <i r="2">
      <x v="8"/>
    </i>
    <i r="3">
      <x v="231"/>
    </i>
    <i r="2">
      <x v="9"/>
    </i>
    <i r="3">
      <x v="246"/>
    </i>
    <i r="3">
      <x v="255"/>
    </i>
    <i r="3">
      <x v="261"/>
    </i>
    <i r="3">
      <x v="262"/>
    </i>
    <i r="3">
      <x v="264"/>
    </i>
    <i r="3">
      <x v="267"/>
    </i>
    <i r="3">
      <x v="268"/>
    </i>
    <i r="2">
      <x v="10"/>
    </i>
    <i r="3">
      <x v="276"/>
    </i>
    <i r="3">
      <x v="290"/>
    </i>
    <i r="3">
      <x v="292"/>
    </i>
    <i r="3">
      <x v="293"/>
    </i>
    <i r="3">
      <x v="295"/>
    </i>
    <i r="3">
      <x v="298"/>
    </i>
    <i r="2">
      <x v="11"/>
    </i>
    <i r="3">
      <x v="307"/>
    </i>
    <i r="3">
      <x v="308"/>
    </i>
    <i r="3">
      <x v="316"/>
    </i>
    <i r="3">
      <x v="321"/>
    </i>
    <i r="3">
      <x v="322"/>
    </i>
    <i r="3">
      <x v="323"/>
    </i>
    <i r="3">
      <x v="324"/>
    </i>
    <i r="3">
      <x v="329"/>
    </i>
    <i r="3">
      <x v="333"/>
    </i>
    <i r="2">
      <x v="12"/>
    </i>
    <i r="3">
      <x v="337"/>
    </i>
    <i r="3">
      <x v="338"/>
    </i>
    <i r="3">
      <x v="343"/>
    </i>
    <i r="3">
      <x v="351"/>
    </i>
    <i r="3">
      <x v="352"/>
    </i>
    <i r="3">
      <x v="353"/>
    </i>
    <i r="3">
      <x v="354"/>
    </i>
    <i r="3">
      <x v="359"/>
    </i>
    <i r="1">
      <x v="2"/>
    </i>
    <i r="2">
      <x v="1"/>
    </i>
    <i r="3">
      <x v="8"/>
    </i>
    <i r="3">
      <x v="9"/>
    </i>
    <i r="3">
      <x v="16"/>
    </i>
    <i r="3">
      <x v="18"/>
    </i>
    <i r="3">
      <x v="24"/>
    </i>
    <i r="2">
      <x v="2"/>
    </i>
    <i r="3">
      <x v="33"/>
    </i>
    <i r="3">
      <x v="40"/>
    </i>
    <i r="3">
      <x v="41"/>
    </i>
    <i r="3">
      <x v="47"/>
    </i>
    <i r="3">
      <x v="48"/>
    </i>
    <i r="3">
      <x v="49"/>
    </i>
    <i r="3">
      <x v="50"/>
    </i>
    <i r="3">
      <x v="51"/>
    </i>
    <i r="3">
      <x v="55"/>
    </i>
    <i r="3">
      <x v="58"/>
    </i>
    <i r="2">
      <x v="3"/>
    </i>
    <i r="3">
      <x v="63"/>
    </i>
    <i r="3">
      <x v="64"/>
    </i>
    <i r="3">
      <x v="66"/>
    </i>
    <i r="3">
      <x v="69"/>
    </i>
    <i r="3">
      <x v="72"/>
    </i>
    <i r="3">
      <x v="76"/>
    </i>
    <i r="3">
      <x v="77"/>
    </i>
    <i r="3">
      <x v="78"/>
    </i>
    <i r="3">
      <x v="80"/>
    </i>
    <i r="3">
      <x v="81"/>
    </i>
    <i r="3">
      <x v="82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Trx   " fld="10" subtotal="count" baseField="0" baseItem="0" numFmtId="1"/>
    <dataField name="Sum of Transaction Amount   " fld="10" baseField="0" baseItem="0" numFmtId="166"/>
  </dataFields>
  <formats count="10">
    <format dxfId="188">
      <pivotArea dataOnly="0" labelOnly="1" fieldPosition="0">
        <references count="4">
          <reference field="12" count="0" selected="0"/>
          <reference field="38" count="1">
            <x v="231"/>
          </reference>
          <reference field="39" count="1" selected="0">
            <x v="8"/>
          </reference>
          <reference field="40" count="1" selected="0">
            <x v="1"/>
          </reference>
        </references>
      </pivotArea>
    </format>
    <format dxfId="187">
      <pivotArea dataOnly="0" labelOnly="1" fieldPosition="0">
        <references count="4">
          <reference field="12" count="0" selected="0"/>
          <reference field="38" count="7">
            <x v="246"/>
            <x v="255"/>
            <x v="261"/>
            <x v="262"/>
            <x v="264"/>
            <x v="267"/>
            <x v="268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86">
      <pivotArea dataOnly="0" labelOnly="1" fieldPosition="0">
        <references count="4">
          <reference field="12" count="0" selected="0"/>
          <reference field="38" count="6">
            <x v="276"/>
            <x v="290"/>
            <x v="292"/>
            <x v="293"/>
            <x v="295"/>
            <x v="298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85">
      <pivotArea dataOnly="0" labelOnly="1" fieldPosition="0">
        <references count="4">
          <reference field="12" count="0" selected="0"/>
          <reference field="38" count="9">
            <x v="307"/>
            <x v="308"/>
            <x v="316"/>
            <x v="321"/>
            <x v="322"/>
            <x v="323"/>
            <x v="324"/>
            <x v="329"/>
            <x v="333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84">
      <pivotArea dataOnly="0" labelOnly="1" fieldPosition="0">
        <references count="4">
          <reference field="12" count="0" selected="0"/>
          <reference field="38" count="8">
            <x v="337"/>
            <x v="338"/>
            <x v="343"/>
            <x v="351"/>
            <x v="352"/>
            <x v="353"/>
            <x v="354"/>
            <x v="359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83">
      <pivotArea dataOnly="0" labelOnly="1" fieldPosition="0">
        <references count="4">
          <reference field="12" count="0" selected="0"/>
          <reference field="38" count="5">
            <x v="8"/>
            <x v="9"/>
            <x v="16"/>
            <x v="18"/>
            <x v="24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182">
      <pivotArea dataOnly="0" labelOnly="1" fieldPosition="0">
        <references count="4">
          <reference field="12" count="0" selected="0"/>
          <reference field="38" count="10">
            <x v="33"/>
            <x v="40"/>
            <x v="41"/>
            <x v="47"/>
            <x v="48"/>
            <x v="49"/>
            <x v="50"/>
            <x v="51"/>
            <x v="55"/>
            <x v="58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81">
      <pivotArea dataOnly="0" labelOnly="1" fieldPosition="0">
        <references count="4">
          <reference field="12" count="0" selected="0"/>
          <reference field="38" count="11">
            <x v="63"/>
            <x v="64"/>
            <x v="66"/>
            <x v="69"/>
            <x v="72"/>
            <x v="76"/>
            <x v="77"/>
            <x v="78"/>
            <x v="80"/>
            <x v="81"/>
            <x v="82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A738B-8106-4619-91A9-7FC6801C69D1}" name="TemporalPivot_Enhanced" cacheId="4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128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35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3"/>
        <item x="54"/>
        <item x="55"/>
        <item x="56"/>
        <item x="50"/>
        <item x="51"/>
        <item x="52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4">
    <field x="40"/>
    <field x="39"/>
    <field x="38"/>
    <field x="12"/>
  </rowFields>
  <rowItems count="125">
    <i>
      <x v="1"/>
    </i>
    <i r="1">
      <x v="8"/>
    </i>
    <i r="2">
      <x v="231"/>
    </i>
    <i r="3">
      <x/>
    </i>
    <i r="1">
      <x v="9"/>
    </i>
    <i r="2">
      <x v="246"/>
    </i>
    <i r="3">
      <x/>
    </i>
    <i r="2">
      <x v="255"/>
    </i>
    <i r="3">
      <x/>
    </i>
    <i r="2">
      <x v="261"/>
    </i>
    <i r="3">
      <x/>
    </i>
    <i r="2">
      <x v="262"/>
    </i>
    <i r="3">
      <x/>
    </i>
    <i r="2">
      <x v="264"/>
    </i>
    <i r="3">
      <x/>
    </i>
    <i r="2">
      <x v="267"/>
    </i>
    <i r="3">
      <x/>
    </i>
    <i r="2">
      <x v="268"/>
    </i>
    <i r="3">
      <x/>
    </i>
    <i r="1">
      <x v="10"/>
    </i>
    <i r="2">
      <x v="276"/>
    </i>
    <i r="3">
      <x/>
    </i>
    <i r="2">
      <x v="290"/>
    </i>
    <i r="3">
      <x/>
    </i>
    <i r="2">
      <x v="292"/>
    </i>
    <i r="3">
      <x/>
    </i>
    <i r="2">
      <x v="293"/>
    </i>
    <i r="3">
      <x/>
    </i>
    <i r="2">
      <x v="295"/>
    </i>
    <i r="3">
      <x/>
    </i>
    <i r="2">
      <x v="298"/>
    </i>
    <i r="3">
      <x/>
    </i>
    <i r="1">
      <x v="11"/>
    </i>
    <i r="2">
      <x v="307"/>
    </i>
    <i r="3">
      <x/>
    </i>
    <i r="2">
      <x v="308"/>
    </i>
    <i r="3">
      <x/>
    </i>
    <i r="2">
      <x v="316"/>
    </i>
    <i r="3">
      <x/>
    </i>
    <i r="2">
      <x v="321"/>
    </i>
    <i r="3">
      <x/>
    </i>
    <i r="2">
      <x v="322"/>
    </i>
    <i r="3">
      <x/>
    </i>
    <i r="2">
      <x v="323"/>
    </i>
    <i r="3">
      <x/>
    </i>
    <i r="2">
      <x v="324"/>
    </i>
    <i r="3">
      <x/>
    </i>
    <i r="2">
      <x v="329"/>
    </i>
    <i r="3">
      <x/>
    </i>
    <i r="2">
      <x v="333"/>
    </i>
    <i r="3">
      <x/>
    </i>
    <i r="1">
      <x v="12"/>
    </i>
    <i r="2">
      <x v="337"/>
    </i>
    <i r="3">
      <x/>
    </i>
    <i r="2">
      <x v="338"/>
    </i>
    <i r="3">
      <x/>
    </i>
    <i r="2">
      <x v="343"/>
    </i>
    <i r="3">
      <x/>
    </i>
    <i r="2">
      <x v="351"/>
    </i>
    <i r="3">
      <x/>
    </i>
    <i r="2">
      <x v="352"/>
    </i>
    <i r="3">
      <x/>
    </i>
    <i r="2">
      <x v="353"/>
    </i>
    <i r="3">
      <x/>
    </i>
    <i r="2">
      <x v="354"/>
    </i>
    <i r="3">
      <x/>
    </i>
    <i r="2">
      <x v="359"/>
    </i>
    <i r="3">
      <x/>
    </i>
    <i>
      <x v="2"/>
    </i>
    <i r="1">
      <x v="1"/>
    </i>
    <i r="2">
      <x v="8"/>
    </i>
    <i r="3">
      <x/>
    </i>
    <i r="2">
      <x v="9"/>
    </i>
    <i r="3">
      <x/>
    </i>
    <i r="2">
      <x v="16"/>
    </i>
    <i r="3">
      <x/>
    </i>
    <i r="2">
      <x v="18"/>
    </i>
    <i r="3">
      <x/>
    </i>
    <i r="2">
      <x v="24"/>
    </i>
    <i r="3">
      <x/>
    </i>
    <i r="1">
      <x v="2"/>
    </i>
    <i r="2">
      <x v="33"/>
    </i>
    <i r="3">
      <x/>
    </i>
    <i r="2">
      <x v="40"/>
    </i>
    <i r="3">
      <x/>
    </i>
    <i r="2">
      <x v="41"/>
    </i>
    <i r="3">
      <x/>
    </i>
    <i r="2">
      <x v="47"/>
    </i>
    <i r="3">
      <x/>
    </i>
    <i r="2">
      <x v="48"/>
    </i>
    <i r="3">
      <x/>
    </i>
    <i r="2">
      <x v="49"/>
    </i>
    <i r="3">
      <x/>
    </i>
    <i r="2">
      <x v="50"/>
    </i>
    <i r="3">
      <x/>
    </i>
    <i r="2">
      <x v="51"/>
    </i>
    <i r="3">
      <x/>
    </i>
    <i r="2">
      <x v="55"/>
    </i>
    <i r="3">
      <x/>
    </i>
    <i r="2">
      <x v="58"/>
    </i>
    <i r="3">
      <x/>
    </i>
    <i r="1">
      <x v="3"/>
    </i>
    <i r="2">
      <x v="63"/>
    </i>
    <i r="3">
      <x/>
    </i>
    <i r="2">
      <x v="64"/>
    </i>
    <i r="3">
      <x/>
    </i>
    <i r="2">
      <x v="66"/>
    </i>
    <i r="3">
      <x/>
    </i>
    <i r="2">
      <x v="69"/>
    </i>
    <i r="3">
      <x/>
    </i>
    <i r="2">
      <x v="72"/>
    </i>
    <i r="3">
      <x/>
    </i>
    <i r="2">
      <x v="76"/>
    </i>
    <i r="3">
      <x/>
    </i>
    <i r="2">
      <x v="77"/>
    </i>
    <i r="3">
      <x/>
    </i>
    <i r="2">
      <x v="78"/>
    </i>
    <i r="3">
      <x/>
    </i>
    <i r="2">
      <x v="80"/>
    </i>
    <i r="3">
      <x/>
    </i>
    <i r="2">
      <x v="81"/>
    </i>
    <i r="3">
      <x/>
    </i>
    <i r="2">
      <x v="82"/>
    </i>
    <i r="3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Trx  " fld="10" subtotal="count" baseField="0" baseItem="0" numFmtId="1"/>
    <dataField name="Sum of Transaction Amount  " fld="10" baseField="0" baseItem="0" numFmtId="166"/>
  </dataFields>
  <formats count="171">
    <format dxfId="180">
      <pivotArea dataOnly="0" labelOnly="1" fieldPosition="0">
        <references count="3">
          <reference field="38" count="1">
            <x v="231"/>
          </reference>
          <reference field="39" count="1" selected="0">
            <x v="8"/>
          </reference>
          <reference field="40" count="1" selected="0">
            <x v="1"/>
          </reference>
        </references>
      </pivotArea>
    </format>
    <format dxfId="179">
      <pivotArea dataOnly="0" labelOnly="1" fieldPosition="0">
        <references count="3">
          <reference field="38" count="1">
            <x v="246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78">
      <pivotArea dataOnly="0" labelOnly="1" fieldPosition="0">
        <references count="3">
          <reference field="38" count="1">
            <x v="255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77">
      <pivotArea dataOnly="0" labelOnly="1" fieldPosition="0">
        <references count="3">
          <reference field="38" count="1">
            <x v="261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76">
      <pivotArea dataOnly="0" labelOnly="1" fieldPosition="0">
        <references count="3">
          <reference field="38" count="1">
            <x v="262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75">
      <pivotArea dataOnly="0" labelOnly="1" fieldPosition="0">
        <references count="3">
          <reference field="38" count="1">
            <x v="264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74">
      <pivotArea dataOnly="0" labelOnly="1" fieldPosition="0">
        <references count="3">
          <reference field="38" count="1">
            <x v="267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73">
      <pivotArea dataOnly="0" labelOnly="1" fieldPosition="0">
        <references count="3">
          <reference field="38" count="1">
            <x v="268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72">
      <pivotArea dataOnly="0" labelOnly="1" fieldPosition="0">
        <references count="3">
          <reference field="38" count="1">
            <x v="276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71">
      <pivotArea dataOnly="0" labelOnly="1" fieldPosition="0">
        <references count="3">
          <reference field="38" count="1">
            <x v="290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70">
      <pivotArea dataOnly="0" labelOnly="1" fieldPosition="0">
        <references count="3">
          <reference field="38" count="1">
            <x v="292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69">
      <pivotArea dataOnly="0" labelOnly="1" fieldPosition="0">
        <references count="3">
          <reference field="38" count="1">
            <x v="293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68">
      <pivotArea dataOnly="0" labelOnly="1" fieldPosition="0">
        <references count="3">
          <reference field="38" count="1">
            <x v="295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67">
      <pivotArea dataOnly="0" labelOnly="1" fieldPosition="0">
        <references count="3">
          <reference field="38" count="1">
            <x v="298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66">
      <pivotArea dataOnly="0" labelOnly="1" fieldPosition="0">
        <references count="3">
          <reference field="38" count="1">
            <x v="307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65">
      <pivotArea dataOnly="0" labelOnly="1" fieldPosition="0">
        <references count="3">
          <reference field="38" count="1">
            <x v="308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64">
      <pivotArea dataOnly="0" labelOnly="1" fieldPosition="0">
        <references count="3">
          <reference field="38" count="1">
            <x v="316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63">
      <pivotArea dataOnly="0" labelOnly="1" fieldPosition="0">
        <references count="3">
          <reference field="38" count="1">
            <x v="321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62">
      <pivotArea dataOnly="0" labelOnly="1" fieldPosition="0">
        <references count="3">
          <reference field="38" count="1">
            <x v="322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61">
      <pivotArea dataOnly="0" labelOnly="1" fieldPosition="0">
        <references count="3">
          <reference field="38" count="1">
            <x v="323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60">
      <pivotArea dataOnly="0" labelOnly="1" fieldPosition="0">
        <references count="3">
          <reference field="38" count="1">
            <x v="324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59">
      <pivotArea dataOnly="0" labelOnly="1" fieldPosition="0">
        <references count="3">
          <reference field="38" count="1">
            <x v="329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58">
      <pivotArea dataOnly="0" labelOnly="1" fieldPosition="0">
        <references count="3">
          <reference field="38" count="1">
            <x v="333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57">
      <pivotArea dataOnly="0" labelOnly="1" fieldPosition="0">
        <references count="3">
          <reference field="38" count="1">
            <x v="337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56">
      <pivotArea dataOnly="0" labelOnly="1" fieldPosition="0">
        <references count="3">
          <reference field="38" count="1">
            <x v="338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55">
      <pivotArea dataOnly="0" labelOnly="1" fieldPosition="0">
        <references count="3">
          <reference field="38" count="1">
            <x v="343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54">
      <pivotArea dataOnly="0" labelOnly="1" fieldPosition="0">
        <references count="3">
          <reference field="38" count="1">
            <x v="351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53">
      <pivotArea dataOnly="0" labelOnly="1" fieldPosition="0">
        <references count="3">
          <reference field="38" count="1">
            <x v="352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52">
      <pivotArea dataOnly="0" labelOnly="1" fieldPosition="0">
        <references count="3">
          <reference field="38" count="1">
            <x v="353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51">
      <pivotArea dataOnly="0" labelOnly="1" fieldPosition="0">
        <references count="3">
          <reference field="38" count="1">
            <x v="354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50">
      <pivotArea dataOnly="0" labelOnly="1" fieldPosition="0">
        <references count="3">
          <reference field="38" count="1">
            <x v="359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49">
      <pivotArea dataOnly="0" labelOnly="1" fieldPosition="0">
        <references count="3">
          <reference field="38" count="1">
            <x v="8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148">
      <pivotArea dataOnly="0" labelOnly="1" fieldPosition="0">
        <references count="3">
          <reference field="38" count="1">
            <x v="9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147">
      <pivotArea dataOnly="0" labelOnly="1" fieldPosition="0">
        <references count="3">
          <reference field="38" count="1">
            <x v="16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146">
      <pivotArea dataOnly="0" labelOnly="1" fieldPosition="0">
        <references count="3">
          <reference field="38" count="1">
            <x v="18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145">
      <pivotArea dataOnly="0" labelOnly="1" fieldPosition="0">
        <references count="3">
          <reference field="38" count="1">
            <x v="24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144">
      <pivotArea dataOnly="0" labelOnly="1" fieldPosition="0">
        <references count="3">
          <reference field="38" count="1">
            <x v="33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43">
      <pivotArea dataOnly="0" labelOnly="1" fieldPosition="0">
        <references count="3">
          <reference field="38" count="1">
            <x v="40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42">
      <pivotArea dataOnly="0" labelOnly="1" fieldPosition="0">
        <references count="3">
          <reference field="38" count="1">
            <x v="4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41">
      <pivotArea dataOnly="0" labelOnly="1" fieldPosition="0">
        <references count="3">
          <reference field="38" count="1">
            <x v="47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40">
      <pivotArea dataOnly="0" labelOnly="1" fieldPosition="0">
        <references count="3">
          <reference field="38" count="1">
            <x v="48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39">
      <pivotArea dataOnly="0" labelOnly="1" fieldPosition="0">
        <references count="3">
          <reference field="38" count="1">
            <x v="49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38">
      <pivotArea dataOnly="0" labelOnly="1" fieldPosition="0">
        <references count="3">
          <reference field="38" count="1">
            <x v="50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37">
      <pivotArea dataOnly="0" labelOnly="1" fieldPosition="0">
        <references count="3">
          <reference field="38" count="1">
            <x v="5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36">
      <pivotArea dataOnly="0" labelOnly="1" fieldPosition="0">
        <references count="3">
          <reference field="38" count="1">
            <x v="55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35">
      <pivotArea dataOnly="0" labelOnly="1" fieldPosition="0">
        <references count="3">
          <reference field="38" count="1">
            <x v="58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34">
      <pivotArea dataOnly="0" labelOnly="1" fieldPosition="0">
        <references count="3">
          <reference field="38" count="1">
            <x v="63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33">
      <pivotArea dataOnly="0" labelOnly="1" fieldPosition="0">
        <references count="3">
          <reference field="38" count="1">
            <x v="64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32">
      <pivotArea dataOnly="0" labelOnly="1" fieldPosition="0">
        <references count="3">
          <reference field="38" count="1">
            <x v="66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31">
      <pivotArea dataOnly="0" labelOnly="1" fieldPosition="0">
        <references count="3">
          <reference field="38" count="1">
            <x v="69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30">
      <pivotArea dataOnly="0" labelOnly="1" fieldPosition="0">
        <references count="3">
          <reference field="38" count="1">
            <x v="72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29">
      <pivotArea dataOnly="0" labelOnly="1" fieldPosition="0">
        <references count="3">
          <reference field="38" count="1">
            <x v="76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28">
      <pivotArea dataOnly="0" labelOnly="1" fieldPosition="0">
        <references count="3">
          <reference field="38" count="1">
            <x v="77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27">
      <pivotArea dataOnly="0" labelOnly="1" fieldPosition="0">
        <references count="3">
          <reference field="38" count="1">
            <x v="78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26">
      <pivotArea dataOnly="0" labelOnly="1" fieldPosition="0">
        <references count="3">
          <reference field="38" count="1">
            <x v="80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25">
      <pivotArea dataOnly="0" labelOnly="1" fieldPosition="0">
        <references count="3">
          <reference field="38" count="1">
            <x v="81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24">
      <pivotArea dataOnly="0" labelOnly="1" fieldPosition="0">
        <references count="3">
          <reference field="38" count="1">
            <x v="82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1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31"/>
          </reference>
          <reference field="39" count="1" selected="0">
            <x v="8"/>
          </reference>
          <reference field="40" count="1" selected="0">
            <x v="1"/>
          </reference>
        </references>
      </pivotArea>
    </format>
    <format dxfId="11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46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1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55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1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61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1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62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1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64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0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67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0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68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0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76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0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90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0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92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0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93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0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95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0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98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0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07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0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08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9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16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9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21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9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22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9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23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9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24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9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29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9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33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9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37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9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38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9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43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8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51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8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52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8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53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8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54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8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59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8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8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8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9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8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16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8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18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8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4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7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3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7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40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7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4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7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47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7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48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7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49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7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50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7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5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7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55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7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58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6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63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6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64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6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66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6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69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6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72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6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76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6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77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6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78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6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80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6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81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5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82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5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31"/>
          </reference>
          <reference field="39" count="1" selected="0">
            <x v="8"/>
          </reference>
          <reference field="40" count="1" selected="0">
            <x v="1"/>
          </reference>
        </references>
      </pivotArea>
    </format>
    <format dxfId="5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46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5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55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5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61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5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62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5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64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5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67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5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68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5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76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4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90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4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92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4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93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4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95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4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98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4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07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4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08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4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16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4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21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4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22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3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23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3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24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3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29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3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33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3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37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3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38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3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43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3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51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3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52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3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53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2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54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2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59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2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8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2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9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2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16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2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18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2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24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2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33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2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40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2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4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47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48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49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50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51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55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58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63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1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64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10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66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9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69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8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72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7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76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6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77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5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78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4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80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3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81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  <format dxfId="2">
      <pivotArea collapsedLevelsAreSubtotals="1" fieldPosition="0">
        <references count="5">
          <reference field="4294967294" count="1" selected="0">
            <x v="1"/>
          </reference>
          <reference field="12" count="0"/>
          <reference field="38" count="1" selected="0">
            <x v="82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50BC1-3224-4DF9-A79D-89C29A67A695}" name="TemporalPivot" cacheId="4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71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7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35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3"/>
        <item x="54"/>
        <item x="55"/>
        <item x="56"/>
        <item x="50"/>
        <item x="51"/>
        <item x="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40"/>
    <field x="39"/>
    <field x="38"/>
  </rowFields>
  <rowItems count="68">
    <i>
      <x v="1"/>
    </i>
    <i r="1">
      <x v="8"/>
    </i>
    <i r="2">
      <x v="231"/>
    </i>
    <i r="1">
      <x v="9"/>
    </i>
    <i r="2">
      <x v="246"/>
    </i>
    <i r="2">
      <x v="255"/>
    </i>
    <i r="2">
      <x v="261"/>
    </i>
    <i r="2">
      <x v="262"/>
    </i>
    <i r="2">
      <x v="264"/>
    </i>
    <i r="2">
      <x v="267"/>
    </i>
    <i r="2">
      <x v="268"/>
    </i>
    <i r="1">
      <x v="10"/>
    </i>
    <i r="2">
      <x v="276"/>
    </i>
    <i r="2">
      <x v="290"/>
    </i>
    <i r="2">
      <x v="292"/>
    </i>
    <i r="2">
      <x v="293"/>
    </i>
    <i r="2">
      <x v="295"/>
    </i>
    <i r="2">
      <x v="298"/>
    </i>
    <i r="1">
      <x v="11"/>
    </i>
    <i r="2">
      <x v="307"/>
    </i>
    <i r="2">
      <x v="308"/>
    </i>
    <i r="2">
      <x v="316"/>
    </i>
    <i r="2">
      <x v="321"/>
    </i>
    <i r="2">
      <x v="322"/>
    </i>
    <i r="2">
      <x v="323"/>
    </i>
    <i r="2">
      <x v="324"/>
    </i>
    <i r="2">
      <x v="329"/>
    </i>
    <i r="2">
      <x v="333"/>
    </i>
    <i r="1">
      <x v="12"/>
    </i>
    <i r="2">
      <x v="337"/>
    </i>
    <i r="2">
      <x v="338"/>
    </i>
    <i r="2">
      <x v="343"/>
    </i>
    <i r="2">
      <x v="351"/>
    </i>
    <i r="2">
      <x v="352"/>
    </i>
    <i r="2">
      <x v="353"/>
    </i>
    <i r="2">
      <x v="354"/>
    </i>
    <i r="2">
      <x v="359"/>
    </i>
    <i>
      <x v="2"/>
    </i>
    <i r="1">
      <x v="1"/>
    </i>
    <i r="2">
      <x v="8"/>
    </i>
    <i r="2">
      <x v="9"/>
    </i>
    <i r="2">
      <x v="16"/>
    </i>
    <i r="2">
      <x v="18"/>
    </i>
    <i r="2">
      <x v="24"/>
    </i>
    <i r="1">
      <x v="2"/>
    </i>
    <i r="2">
      <x v="33"/>
    </i>
    <i r="2">
      <x v="40"/>
    </i>
    <i r="2">
      <x v="41"/>
    </i>
    <i r="2">
      <x v="47"/>
    </i>
    <i r="2">
      <x v="48"/>
    </i>
    <i r="2">
      <x v="49"/>
    </i>
    <i r="2">
      <x v="50"/>
    </i>
    <i r="2">
      <x v="51"/>
    </i>
    <i r="2">
      <x v="55"/>
    </i>
    <i r="2">
      <x v="58"/>
    </i>
    <i r="1">
      <x v="3"/>
    </i>
    <i r="2">
      <x v="63"/>
    </i>
    <i r="2">
      <x v="64"/>
    </i>
    <i r="2">
      <x v="66"/>
    </i>
    <i r="2">
      <x v="69"/>
    </i>
    <i r="2">
      <x v="72"/>
    </i>
    <i r="2">
      <x v="76"/>
    </i>
    <i r="2">
      <x v="77"/>
    </i>
    <i r="2">
      <x v="78"/>
    </i>
    <i r="2">
      <x v="80"/>
    </i>
    <i r="2">
      <x v="81"/>
    </i>
    <i r="2">
      <x v="8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 Amount " fld="10" baseField="0" baseItem="0" numFmtId="166"/>
    <dataField name="Count of Transaction Amount " fld="10" subtotal="count" baseField="0" baseItem="0" numFmtId="1"/>
  </dataFields>
  <formats count="8">
    <format dxfId="123">
      <pivotArea dataOnly="0" labelOnly="1" fieldPosition="0">
        <references count="3">
          <reference field="38" count="1">
            <x v="231"/>
          </reference>
          <reference field="39" count="1" selected="0">
            <x v="8"/>
          </reference>
          <reference field="40" count="1" selected="0">
            <x v="1"/>
          </reference>
        </references>
      </pivotArea>
    </format>
    <format dxfId="122">
      <pivotArea dataOnly="0" labelOnly="1" fieldPosition="0">
        <references count="3">
          <reference field="38" count="7">
            <x v="246"/>
            <x v="255"/>
            <x v="261"/>
            <x v="262"/>
            <x v="264"/>
            <x v="267"/>
            <x v="268"/>
          </reference>
          <reference field="39" count="1" selected="0">
            <x v="9"/>
          </reference>
          <reference field="40" count="1" selected="0">
            <x v="1"/>
          </reference>
        </references>
      </pivotArea>
    </format>
    <format dxfId="121">
      <pivotArea dataOnly="0" labelOnly="1" fieldPosition="0">
        <references count="3">
          <reference field="38" count="6">
            <x v="276"/>
            <x v="290"/>
            <x v="292"/>
            <x v="293"/>
            <x v="295"/>
            <x v="298"/>
          </reference>
          <reference field="39" count="1" selected="0">
            <x v="10"/>
          </reference>
          <reference field="40" count="1" selected="0">
            <x v="1"/>
          </reference>
        </references>
      </pivotArea>
    </format>
    <format dxfId="120">
      <pivotArea dataOnly="0" labelOnly="1" fieldPosition="0">
        <references count="3">
          <reference field="38" count="9">
            <x v="307"/>
            <x v="308"/>
            <x v="316"/>
            <x v="321"/>
            <x v="322"/>
            <x v="323"/>
            <x v="324"/>
            <x v="329"/>
            <x v="333"/>
          </reference>
          <reference field="39" count="1" selected="0">
            <x v="11"/>
          </reference>
          <reference field="40" count="1" selected="0">
            <x v="1"/>
          </reference>
        </references>
      </pivotArea>
    </format>
    <format dxfId="119">
      <pivotArea dataOnly="0" labelOnly="1" fieldPosition="0">
        <references count="3">
          <reference field="38" count="8">
            <x v="337"/>
            <x v="338"/>
            <x v="343"/>
            <x v="351"/>
            <x v="352"/>
            <x v="353"/>
            <x v="354"/>
            <x v="359"/>
          </reference>
          <reference field="39" count="1" selected="0">
            <x v="12"/>
          </reference>
          <reference field="40" count="1" selected="0">
            <x v="1"/>
          </reference>
        </references>
      </pivotArea>
    </format>
    <format dxfId="118">
      <pivotArea dataOnly="0" labelOnly="1" fieldPosition="0">
        <references count="3">
          <reference field="38" count="5">
            <x v="8"/>
            <x v="9"/>
            <x v="16"/>
            <x v="18"/>
            <x v="24"/>
          </reference>
          <reference field="39" count="1" selected="0">
            <x v="1"/>
          </reference>
          <reference field="40" count="1" selected="0">
            <x v="2"/>
          </reference>
        </references>
      </pivotArea>
    </format>
    <format dxfId="117">
      <pivotArea dataOnly="0" labelOnly="1" fieldPosition="0">
        <references count="3">
          <reference field="38" count="10">
            <x v="33"/>
            <x v="40"/>
            <x v="41"/>
            <x v="47"/>
            <x v="48"/>
            <x v="49"/>
            <x v="50"/>
            <x v="51"/>
            <x v="55"/>
            <x v="58"/>
          </reference>
          <reference field="39" count="1" selected="0">
            <x v="2"/>
          </reference>
          <reference field="40" count="1" selected="0">
            <x v="2"/>
          </reference>
        </references>
      </pivotArea>
    </format>
    <format dxfId="116">
      <pivotArea dataOnly="0" labelOnly="1" fieldPosition="0">
        <references count="3">
          <reference field="38" count="11">
            <x v="63"/>
            <x v="64"/>
            <x v="66"/>
            <x v="69"/>
            <x v="72"/>
            <x v="76"/>
            <x v="77"/>
            <x v="78"/>
            <x v="80"/>
            <x v="81"/>
            <x v="82"/>
          </reference>
          <reference field="39" count="1" selected="0">
            <x v="3"/>
          </reference>
          <reference field="4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8B428-4FA9-4C3F-A6E6-0F53E5677B5A}" name="ScenarioPivot" cacheId="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5" firstHeaderRow="0" firstDataRow="1" firstDataCol="1"/>
  <pivotFields count="38">
    <pivotField showAll="0"/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165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7">
        <item x="15"/>
        <item x="20"/>
        <item x="17"/>
        <item x="9"/>
        <item x="14"/>
        <item x="10"/>
        <item x="3"/>
        <item x="7"/>
        <item x="5"/>
        <item x="23"/>
        <item x="11"/>
        <item x="22"/>
        <item x="0"/>
        <item x="6"/>
        <item x="16"/>
        <item x="18"/>
        <item x="12"/>
        <item x="1"/>
        <item x="4"/>
        <item x="13"/>
        <item x="24"/>
        <item x="25"/>
        <item x="19"/>
        <item x="2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3"/>
    <field x="12"/>
    <field x="37"/>
  </rowFields>
  <rowItems count="32">
    <i>
      <x/>
    </i>
    <i r="1">
      <x/>
    </i>
    <i r="2">
      <x v="20"/>
    </i>
    <i r="2">
      <x v="12"/>
    </i>
    <i r="2">
      <x v="14"/>
    </i>
    <i r="2">
      <x v="25"/>
    </i>
    <i>
      <x v="1"/>
    </i>
    <i r="1">
      <x/>
    </i>
    <i r="2">
      <x v="6"/>
    </i>
    <i r="2">
      <x v="8"/>
    </i>
    <i r="2">
      <x v="5"/>
    </i>
    <i r="2">
      <x v="25"/>
    </i>
    <i r="2">
      <x v="2"/>
    </i>
    <i r="2">
      <x v="4"/>
    </i>
    <i r="2">
      <x v="17"/>
    </i>
    <i r="2">
      <x v="7"/>
    </i>
    <i r="2">
      <x v="18"/>
    </i>
    <i r="2">
      <x v="19"/>
    </i>
    <i r="2">
      <x v="9"/>
    </i>
    <i r="2">
      <x v="24"/>
    </i>
    <i r="2">
      <x v="16"/>
    </i>
    <i r="2">
      <x v="1"/>
    </i>
    <i r="2">
      <x/>
    </i>
    <i r="2">
      <x v="23"/>
    </i>
    <i r="2">
      <x v="13"/>
    </i>
    <i r="2">
      <x v="15"/>
    </i>
    <i r="2">
      <x v="3"/>
    </i>
    <i r="2">
      <x v="22"/>
    </i>
    <i r="2">
      <x v="10"/>
    </i>
    <i r="2">
      <x v="11"/>
    </i>
    <i r="2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 Amount" fld="10" baseField="0" baseItem="0" numFmtId="166"/>
    <dataField name="Count of Transaction Amount" fld="10" subtotal="count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F568-6D88-4C55-89DD-F4A63CE97F8C}">
  <dimension ref="A1:AL69"/>
  <sheetViews>
    <sheetView tabSelected="1" topLeftCell="F1" zoomScale="85" zoomScaleNormal="85" workbookViewId="0">
      <selection activeCell="L5" sqref="L5"/>
    </sheetView>
  </sheetViews>
  <sheetFormatPr defaultRowHeight="14.5" x14ac:dyDescent="0.35"/>
  <cols>
    <col min="1" max="1" width="13" style="3" bestFit="1" customWidth="1"/>
    <col min="2" max="2" width="20.1796875" style="3" bestFit="1" customWidth="1"/>
    <col min="3" max="3" width="14.36328125" style="3" bestFit="1" customWidth="1"/>
    <col min="4" max="4" width="36.453125" style="3" bestFit="1" customWidth="1"/>
    <col min="5" max="5" width="9.36328125" style="3" bestFit="1" customWidth="1"/>
    <col min="6" max="6" width="43.08984375" style="3" bestFit="1" customWidth="1"/>
    <col min="7" max="7" width="24.08984375" style="3" bestFit="1" customWidth="1"/>
    <col min="8" max="8" width="15.453125" style="3" bestFit="1" customWidth="1"/>
    <col min="9" max="9" width="31.6328125" style="3" bestFit="1" customWidth="1"/>
    <col min="10" max="10" width="8.26953125" style="3" bestFit="1" customWidth="1"/>
    <col min="11" max="11" width="18.08984375" style="3" bestFit="1" customWidth="1"/>
    <col min="12" max="12" width="28.36328125" style="3" bestFit="1" customWidth="1"/>
    <col min="13" max="13" width="5.08984375" style="3" bestFit="1" customWidth="1"/>
    <col min="14" max="14" width="18.81640625" style="3" bestFit="1" customWidth="1"/>
    <col min="15" max="15" width="28.36328125" style="3" bestFit="1" customWidth="1"/>
    <col min="16" max="16" width="19.6328125" style="3" bestFit="1" customWidth="1"/>
    <col min="17" max="17" width="28.36328125" style="3" bestFit="1" customWidth="1"/>
    <col min="18" max="18" width="21.90625" style="3" bestFit="1" customWidth="1"/>
    <col min="19" max="20" width="17.36328125" style="3" bestFit="1" customWidth="1"/>
    <col min="21" max="21" width="14.54296875" style="3" bestFit="1" customWidth="1"/>
    <col min="22" max="22" width="36.08984375" style="3" bestFit="1" customWidth="1"/>
    <col min="23" max="23" width="43.08984375" style="3" bestFit="1" customWidth="1"/>
    <col min="24" max="24" width="14.81640625" style="3" bestFit="1" customWidth="1"/>
    <col min="25" max="25" width="19" style="3" bestFit="1" customWidth="1"/>
    <col min="26" max="26" width="18.7265625" style="3" bestFit="1" customWidth="1"/>
    <col min="27" max="27" width="21.26953125" style="3" bestFit="1" customWidth="1"/>
    <col min="28" max="28" width="45.36328125" style="3" bestFit="1" customWidth="1"/>
    <col min="29" max="29" width="16.6328125" style="3" bestFit="1" customWidth="1"/>
    <col min="30" max="30" width="35.453125" style="3" bestFit="1" customWidth="1"/>
    <col min="31" max="31" width="10.81640625" style="3" bestFit="1" customWidth="1"/>
    <col min="32" max="32" width="14.54296875" style="3" bestFit="1" customWidth="1"/>
    <col min="33" max="33" width="16.6328125" style="3" bestFit="1" customWidth="1"/>
    <col min="34" max="34" width="46.26953125" style="3" bestFit="1" customWidth="1"/>
    <col min="35" max="35" width="14.54296875" style="3" bestFit="1" customWidth="1"/>
    <col min="36" max="36" width="16.6328125" style="3" bestFit="1" customWidth="1"/>
    <col min="37" max="37" width="46.26953125" style="3" bestFit="1" customWidth="1"/>
    <col min="38" max="38" width="28.36328125" style="3" bestFit="1" customWidth="1"/>
    <col min="39" max="16384" width="8.7265625" style="3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</row>
    <row r="2" spans="1:38" x14ac:dyDescent="0.35">
      <c r="A2" s="4">
        <v>1877576904</v>
      </c>
      <c r="B2" s="4" t="s">
        <v>38</v>
      </c>
      <c r="C2" s="4">
        <v>2175800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5">
        <v>5600</v>
      </c>
      <c r="L2" s="6">
        <v>45887</v>
      </c>
      <c r="M2" s="4" t="s">
        <v>46</v>
      </c>
      <c r="N2" s="4">
        <v>683515</v>
      </c>
      <c r="O2" s="4" t="s">
        <v>47</v>
      </c>
      <c r="P2" s="4"/>
      <c r="Q2" s="4" t="s">
        <v>47</v>
      </c>
      <c r="R2" s="4"/>
      <c r="S2" s="4" t="s">
        <v>48</v>
      </c>
      <c r="T2" s="4" t="s">
        <v>49</v>
      </c>
      <c r="U2" s="4" t="s">
        <v>50</v>
      </c>
      <c r="V2" s="4"/>
      <c r="W2" s="4" t="s">
        <v>41</v>
      </c>
      <c r="X2" s="4" t="s">
        <v>51</v>
      </c>
      <c r="Y2" s="4" t="s">
        <v>52</v>
      </c>
      <c r="Z2" s="4" t="s">
        <v>53</v>
      </c>
      <c r="AA2" s="4"/>
      <c r="AB2" s="4" t="s">
        <v>54</v>
      </c>
      <c r="AC2" s="4" t="s">
        <v>55</v>
      </c>
      <c r="AD2" s="4"/>
      <c r="AE2" s="4">
        <v>1877576904</v>
      </c>
      <c r="AF2" s="4" t="s">
        <v>56</v>
      </c>
      <c r="AG2" s="4" t="s">
        <v>57</v>
      </c>
      <c r="AH2" s="4" t="s">
        <v>58</v>
      </c>
      <c r="AI2" s="4" t="s">
        <v>56</v>
      </c>
      <c r="AJ2" s="4" t="s">
        <v>57</v>
      </c>
      <c r="AK2" s="7" t="s">
        <v>58</v>
      </c>
      <c r="AL2" s="7" t="str">
        <f>IF($M2="DR", IF($O2="","",$O2), IF($X2="","",$X2))</f>
        <v>klingai.com</v>
      </c>
    </row>
    <row r="3" spans="1:38" x14ac:dyDescent="0.35">
      <c r="A3" s="8">
        <v>1877580388</v>
      </c>
      <c r="B3" s="8" t="s">
        <v>59</v>
      </c>
      <c r="C3" s="8"/>
      <c r="D3" s="8"/>
      <c r="E3" s="8"/>
      <c r="F3" s="8" t="s">
        <v>60</v>
      </c>
      <c r="G3" s="8" t="s">
        <v>61</v>
      </c>
      <c r="H3" s="8" t="s">
        <v>43</v>
      </c>
      <c r="I3" s="8" t="s">
        <v>44</v>
      </c>
      <c r="J3" s="8" t="s">
        <v>45</v>
      </c>
      <c r="K3" s="9">
        <v>1018.65</v>
      </c>
      <c r="L3" s="10">
        <v>45887</v>
      </c>
      <c r="M3" s="8" t="s">
        <v>46</v>
      </c>
      <c r="N3" s="8" t="s">
        <v>62</v>
      </c>
      <c r="O3" s="8" t="s">
        <v>63</v>
      </c>
      <c r="P3" s="8"/>
      <c r="Q3" s="8" t="s">
        <v>63</v>
      </c>
      <c r="R3" s="8"/>
      <c r="S3" s="8" t="s">
        <v>64</v>
      </c>
      <c r="T3" s="8" t="s">
        <v>55</v>
      </c>
      <c r="U3" s="8" t="s">
        <v>50</v>
      </c>
      <c r="V3" s="8"/>
      <c r="W3" s="8" t="s">
        <v>60</v>
      </c>
      <c r="X3" s="8" t="s">
        <v>51</v>
      </c>
      <c r="Y3" s="8" t="s">
        <v>52</v>
      </c>
      <c r="Z3" s="8" t="s">
        <v>53</v>
      </c>
      <c r="AA3" s="8"/>
      <c r="AB3" s="8" t="s">
        <v>54</v>
      </c>
      <c r="AC3" s="8" t="s">
        <v>55</v>
      </c>
      <c r="AD3" s="8"/>
      <c r="AE3" s="8">
        <v>1877580388</v>
      </c>
      <c r="AF3" s="8" t="s">
        <v>56</v>
      </c>
      <c r="AG3" s="8" t="s">
        <v>57</v>
      </c>
      <c r="AH3" s="8" t="s">
        <v>58</v>
      </c>
      <c r="AI3" s="8" t="s">
        <v>56</v>
      </c>
      <c r="AJ3" s="8" t="s">
        <v>57</v>
      </c>
      <c r="AK3" s="11" t="s">
        <v>58</v>
      </c>
      <c r="AL3" s="11" t="str">
        <f>IF($M3="DR", IF($O3="","",$O3), IF($X3="","",$X3))</f>
        <v>PYMT* APRIO LLP</v>
      </c>
    </row>
    <row r="4" spans="1:38" x14ac:dyDescent="0.35">
      <c r="A4" s="4">
        <v>1902689473</v>
      </c>
      <c r="B4" s="4" t="s">
        <v>59</v>
      </c>
      <c r="C4" s="4"/>
      <c r="D4" s="4"/>
      <c r="E4" s="4"/>
      <c r="F4" s="4" t="s">
        <v>65</v>
      </c>
      <c r="G4" s="4" t="s">
        <v>66</v>
      </c>
      <c r="H4" s="4" t="s">
        <v>43</v>
      </c>
      <c r="I4" s="4" t="s">
        <v>44</v>
      </c>
      <c r="J4" s="4" t="s">
        <v>45</v>
      </c>
      <c r="K4" s="5">
        <v>29</v>
      </c>
      <c r="L4" s="6">
        <v>45902</v>
      </c>
      <c r="M4" s="4" t="s">
        <v>46</v>
      </c>
      <c r="N4" s="4" t="s">
        <v>67</v>
      </c>
      <c r="O4" s="4" t="s">
        <v>68</v>
      </c>
      <c r="P4" s="4"/>
      <c r="Q4" s="4" t="s">
        <v>68</v>
      </c>
      <c r="R4" s="4"/>
      <c r="S4" s="4" t="s">
        <v>64</v>
      </c>
      <c r="T4" s="4" t="s">
        <v>55</v>
      </c>
      <c r="U4" s="4" t="s">
        <v>50</v>
      </c>
      <c r="V4" s="4"/>
      <c r="W4" s="4" t="s">
        <v>65</v>
      </c>
      <c r="X4" s="4" t="s">
        <v>51</v>
      </c>
      <c r="Y4" s="4" t="s">
        <v>52</v>
      </c>
      <c r="Z4" s="4" t="s">
        <v>53</v>
      </c>
      <c r="AA4" s="4"/>
      <c r="AB4" s="4" t="s">
        <v>54</v>
      </c>
      <c r="AC4" s="4" t="s">
        <v>55</v>
      </c>
      <c r="AD4" s="4"/>
      <c r="AE4" s="4">
        <v>1902689473</v>
      </c>
      <c r="AF4" s="4" t="s">
        <v>56</v>
      </c>
      <c r="AG4" s="4" t="s">
        <v>57</v>
      </c>
      <c r="AH4" s="4" t="s">
        <v>58</v>
      </c>
      <c r="AI4" s="4" t="s">
        <v>56</v>
      </c>
      <c r="AJ4" s="4" t="s">
        <v>57</v>
      </c>
      <c r="AK4" s="7" t="s">
        <v>58</v>
      </c>
      <c r="AL4" s="7" t="str">
        <f>IF($M4="DR", IF($O4="","",$O4), IF($X4="","",$X4))</f>
        <v>WEBFLOW.COM</v>
      </c>
    </row>
    <row r="5" spans="1:38" x14ac:dyDescent="0.35">
      <c r="A5" s="8">
        <v>1915597846</v>
      </c>
      <c r="B5" s="8" t="s">
        <v>59</v>
      </c>
      <c r="C5" s="8"/>
      <c r="D5" s="8"/>
      <c r="E5" s="8"/>
      <c r="F5" s="8" t="s">
        <v>69</v>
      </c>
      <c r="G5" s="8" t="s">
        <v>70</v>
      </c>
      <c r="H5" s="8" t="s">
        <v>71</v>
      </c>
      <c r="I5" s="8" t="s">
        <v>72</v>
      </c>
      <c r="J5" s="8" t="s">
        <v>45</v>
      </c>
      <c r="K5" s="9">
        <v>3420</v>
      </c>
      <c r="L5" s="10">
        <v>45911</v>
      </c>
      <c r="M5" s="8" t="s">
        <v>46</v>
      </c>
      <c r="N5" s="8" t="s">
        <v>73</v>
      </c>
      <c r="O5" s="8" t="s">
        <v>74</v>
      </c>
      <c r="P5" s="8"/>
      <c r="Q5" s="8" t="s">
        <v>74</v>
      </c>
      <c r="R5" s="8"/>
      <c r="S5" s="8" t="s">
        <v>64</v>
      </c>
      <c r="T5" s="8" t="s">
        <v>55</v>
      </c>
      <c r="U5" s="8" t="s">
        <v>50</v>
      </c>
      <c r="V5" s="8"/>
      <c r="W5" s="8" t="s">
        <v>69</v>
      </c>
      <c r="X5" s="8" t="s">
        <v>51</v>
      </c>
      <c r="Y5" s="8" t="s">
        <v>52</v>
      </c>
      <c r="Z5" s="8" t="s">
        <v>53</v>
      </c>
      <c r="AA5" s="8"/>
      <c r="AB5" s="8" t="s">
        <v>54</v>
      </c>
      <c r="AC5" s="8" t="s">
        <v>55</v>
      </c>
      <c r="AD5" s="8"/>
      <c r="AE5" s="8">
        <v>1915597846</v>
      </c>
      <c r="AF5" s="8" t="s">
        <v>56</v>
      </c>
      <c r="AG5" s="8" t="s">
        <v>57</v>
      </c>
      <c r="AH5" s="8" t="s">
        <v>58</v>
      </c>
      <c r="AI5" s="8" t="s">
        <v>56</v>
      </c>
      <c r="AJ5" s="8" t="s">
        <v>57</v>
      </c>
      <c r="AK5" s="11" t="s">
        <v>58</v>
      </c>
      <c r="AL5" s="11" t="str">
        <f>IF($M5="DR", IF($O5="","",$O5), IF($X5="","",$X5))</f>
        <v>CARTA (ESHARES)</v>
      </c>
    </row>
    <row r="6" spans="1:38" x14ac:dyDescent="0.35">
      <c r="A6" s="4">
        <v>1925170284</v>
      </c>
      <c r="B6" s="4" t="s">
        <v>59</v>
      </c>
      <c r="C6" s="4"/>
      <c r="D6" s="4"/>
      <c r="E6" s="4"/>
      <c r="F6" s="4" t="s">
        <v>75</v>
      </c>
      <c r="G6" s="4" t="s">
        <v>76</v>
      </c>
      <c r="H6" s="4" t="s">
        <v>43</v>
      </c>
      <c r="I6" s="4" t="s">
        <v>44</v>
      </c>
      <c r="J6" s="4" t="s">
        <v>45</v>
      </c>
      <c r="K6" s="5">
        <v>149</v>
      </c>
      <c r="L6" s="6">
        <v>45917</v>
      </c>
      <c r="M6" s="4" t="s">
        <v>46</v>
      </c>
      <c r="N6" s="4" t="s">
        <v>77</v>
      </c>
      <c r="O6" s="4" t="s">
        <v>78</v>
      </c>
      <c r="P6" s="4"/>
      <c r="Q6" s="4" t="s">
        <v>78</v>
      </c>
      <c r="R6" s="4"/>
      <c r="S6" s="4" t="s">
        <v>64</v>
      </c>
      <c r="T6" s="4" t="s">
        <v>55</v>
      </c>
      <c r="U6" s="4" t="s">
        <v>50</v>
      </c>
      <c r="V6" s="4"/>
      <c r="W6" s="4" t="s">
        <v>75</v>
      </c>
      <c r="X6" s="4" t="s">
        <v>51</v>
      </c>
      <c r="Y6" s="4" t="s">
        <v>52</v>
      </c>
      <c r="Z6" s="4" t="s">
        <v>53</v>
      </c>
      <c r="AA6" s="4"/>
      <c r="AB6" s="4" t="s">
        <v>54</v>
      </c>
      <c r="AC6" s="4" t="s">
        <v>55</v>
      </c>
      <c r="AD6" s="4"/>
      <c r="AE6" s="4">
        <v>1925170284</v>
      </c>
      <c r="AF6" s="4" t="s">
        <v>56</v>
      </c>
      <c r="AG6" s="4" t="s">
        <v>57</v>
      </c>
      <c r="AH6" s="4" t="s">
        <v>58</v>
      </c>
      <c r="AI6" s="4" t="s">
        <v>56</v>
      </c>
      <c r="AJ6" s="4" t="s">
        <v>57</v>
      </c>
      <c r="AK6" s="7" t="s">
        <v>58</v>
      </c>
      <c r="AL6" s="7" t="str">
        <f>IF($M6="DR", IF($O6="","",$O6), IF($X6="","",$X6))</f>
        <v>RB2B PRO</v>
      </c>
    </row>
    <row r="7" spans="1:38" x14ac:dyDescent="0.35">
      <c r="A7" s="8">
        <v>1926412605</v>
      </c>
      <c r="B7" s="8" t="s">
        <v>59</v>
      </c>
      <c r="C7" s="8"/>
      <c r="D7" s="8"/>
      <c r="E7" s="8"/>
      <c r="F7" s="8" t="s">
        <v>69</v>
      </c>
      <c r="G7" s="8" t="s">
        <v>79</v>
      </c>
      <c r="H7" s="8" t="s">
        <v>43</v>
      </c>
      <c r="I7" s="8" t="s">
        <v>44</v>
      </c>
      <c r="J7" s="8" t="s">
        <v>45</v>
      </c>
      <c r="K7" s="9">
        <v>300</v>
      </c>
      <c r="L7" s="10">
        <v>45918</v>
      </c>
      <c r="M7" s="8" t="s">
        <v>46</v>
      </c>
      <c r="N7" s="8" t="s">
        <v>80</v>
      </c>
      <c r="O7" s="8" t="s">
        <v>81</v>
      </c>
      <c r="P7" s="8"/>
      <c r="Q7" s="8" t="s">
        <v>81</v>
      </c>
      <c r="R7" s="8"/>
      <c r="S7" s="8" t="s">
        <v>64</v>
      </c>
      <c r="T7" s="8" t="s">
        <v>55</v>
      </c>
      <c r="U7" s="8" t="s">
        <v>50</v>
      </c>
      <c r="V7" s="8"/>
      <c r="W7" s="8" t="s">
        <v>69</v>
      </c>
      <c r="X7" s="8" t="s">
        <v>51</v>
      </c>
      <c r="Y7" s="8" t="s">
        <v>52</v>
      </c>
      <c r="Z7" s="8" t="s">
        <v>53</v>
      </c>
      <c r="AA7" s="8"/>
      <c r="AB7" s="8" t="s">
        <v>54</v>
      </c>
      <c r="AC7" s="8" t="s">
        <v>55</v>
      </c>
      <c r="AD7" s="8"/>
      <c r="AE7" s="8">
        <v>1926412605</v>
      </c>
      <c r="AF7" s="8" t="s">
        <v>56</v>
      </c>
      <c r="AG7" s="8" t="s">
        <v>57</v>
      </c>
      <c r="AH7" s="8" t="s">
        <v>58</v>
      </c>
      <c r="AI7" s="8" t="s">
        <v>56</v>
      </c>
      <c r="AJ7" s="8" t="s">
        <v>57</v>
      </c>
      <c r="AK7" s="11" t="s">
        <v>58</v>
      </c>
      <c r="AL7" s="11" t="str">
        <f>IF($M7="DR", IF($O7="","",$O7), IF($X7="","",$X7))</f>
        <v>DROPBOX DOCSEND</v>
      </c>
    </row>
    <row r="8" spans="1:38" x14ac:dyDescent="0.35">
      <c r="A8" s="4">
        <v>1929653768</v>
      </c>
      <c r="B8" s="4" t="s">
        <v>59</v>
      </c>
      <c r="C8" s="4"/>
      <c r="D8" s="4"/>
      <c r="E8" s="4"/>
      <c r="F8" s="4" t="s">
        <v>75</v>
      </c>
      <c r="G8" s="4" t="s">
        <v>82</v>
      </c>
      <c r="H8" s="4" t="s">
        <v>43</v>
      </c>
      <c r="I8" s="4" t="s">
        <v>44</v>
      </c>
      <c r="J8" s="4" t="s">
        <v>45</v>
      </c>
      <c r="K8" s="5">
        <v>28</v>
      </c>
      <c r="L8" s="6">
        <v>45920</v>
      </c>
      <c r="M8" s="4" t="s">
        <v>46</v>
      </c>
      <c r="N8" s="4" t="s">
        <v>83</v>
      </c>
      <c r="O8" s="4" t="s">
        <v>84</v>
      </c>
      <c r="P8" s="4"/>
      <c r="Q8" s="4" t="s">
        <v>84</v>
      </c>
      <c r="R8" s="4"/>
      <c r="S8" s="4" t="s">
        <v>64</v>
      </c>
      <c r="T8" s="4" t="s">
        <v>55</v>
      </c>
      <c r="U8" s="4" t="s">
        <v>50</v>
      </c>
      <c r="V8" s="4"/>
      <c r="W8" s="4" t="s">
        <v>75</v>
      </c>
      <c r="X8" s="4" t="s">
        <v>51</v>
      </c>
      <c r="Y8" s="4" t="s">
        <v>52</v>
      </c>
      <c r="Z8" s="4" t="s">
        <v>53</v>
      </c>
      <c r="AA8" s="4"/>
      <c r="AB8" s="4" t="s">
        <v>54</v>
      </c>
      <c r="AC8" s="4" t="s">
        <v>55</v>
      </c>
      <c r="AD8" s="4"/>
      <c r="AE8" s="4">
        <v>1929653768</v>
      </c>
      <c r="AF8" s="4" t="s">
        <v>56</v>
      </c>
      <c r="AG8" s="4" t="s">
        <v>57</v>
      </c>
      <c r="AH8" s="4" t="s">
        <v>58</v>
      </c>
      <c r="AI8" s="4" t="s">
        <v>56</v>
      </c>
      <c r="AJ8" s="4" t="s">
        <v>57</v>
      </c>
      <c r="AK8" s="7" t="s">
        <v>58</v>
      </c>
      <c r="AL8" s="7" t="str">
        <f>IF($M8="DR", IF($O8="","",$O8), IF($X8="","",$X8))</f>
        <v>LEADIQ SUB* LEADIQ SUB</v>
      </c>
    </row>
    <row r="9" spans="1:38" x14ac:dyDescent="0.35">
      <c r="A9" s="8">
        <v>1934670783</v>
      </c>
      <c r="B9" s="8" t="s">
        <v>59</v>
      </c>
      <c r="C9" s="8"/>
      <c r="D9" s="8"/>
      <c r="E9" s="8"/>
      <c r="F9" s="8" t="s">
        <v>75</v>
      </c>
      <c r="G9" s="8" t="s">
        <v>85</v>
      </c>
      <c r="H9" s="8" t="s">
        <v>43</v>
      </c>
      <c r="I9" s="8" t="s">
        <v>44</v>
      </c>
      <c r="J9" s="8" t="s">
        <v>45</v>
      </c>
      <c r="K9" s="9">
        <v>66</v>
      </c>
      <c r="L9" s="10">
        <v>45923</v>
      </c>
      <c r="M9" s="8" t="s">
        <v>46</v>
      </c>
      <c r="N9" s="8" t="s">
        <v>83</v>
      </c>
      <c r="O9" s="8" t="s">
        <v>84</v>
      </c>
      <c r="P9" s="8"/>
      <c r="Q9" s="8" t="s">
        <v>84</v>
      </c>
      <c r="R9" s="8"/>
      <c r="S9" s="8" t="s">
        <v>64</v>
      </c>
      <c r="T9" s="8" t="s">
        <v>55</v>
      </c>
      <c r="U9" s="8" t="s">
        <v>50</v>
      </c>
      <c r="V9" s="8"/>
      <c r="W9" s="8" t="s">
        <v>75</v>
      </c>
      <c r="X9" s="8" t="s">
        <v>51</v>
      </c>
      <c r="Y9" s="8" t="s">
        <v>52</v>
      </c>
      <c r="Z9" s="8" t="s">
        <v>53</v>
      </c>
      <c r="AA9" s="8"/>
      <c r="AB9" s="8" t="s">
        <v>54</v>
      </c>
      <c r="AC9" s="8" t="s">
        <v>55</v>
      </c>
      <c r="AD9" s="8"/>
      <c r="AE9" s="8">
        <v>1934670783</v>
      </c>
      <c r="AF9" s="8" t="s">
        <v>56</v>
      </c>
      <c r="AG9" s="8" t="s">
        <v>57</v>
      </c>
      <c r="AH9" s="8" t="s">
        <v>58</v>
      </c>
      <c r="AI9" s="8" t="s">
        <v>56</v>
      </c>
      <c r="AJ9" s="8" t="s">
        <v>57</v>
      </c>
      <c r="AK9" s="11" t="s">
        <v>58</v>
      </c>
      <c r="AL9" s="11" t="str">
        <f>IF($M9="DR", IF($O9="","",$O9), IF($X9="","",$X9))</f>
        <v>LEADIQ SUB* LEADIQ SUB</v>
      </c>
    </row>
    <row r="10" spans="1:38" x14ac:dyDescent="0.35">
      <c r="A10" s="4">
        <v>1936227053</v>
      </c>
      <c r="B10" s="4" t="s">
        <v>59</v>
      </c>
      <c r="C10" s="4"/>
      <c r="D10" s="4"/>
      <c r="E10" s="4"/>
      <c r="F10" s="4" t="s">
        <v>75</v>
      </c>
      <c r="G10" s="4" t="s">
        <v>86</v>
      </c>
      <c r="H10" s="4" t="s">
        <v>43</v>
      </c>
      <c r="I10" s="4" t="s">
        <v>44</v>
      </c>
      <c r="J10" s="4" t="s">
        <v>45</v>
      </c>
      <c r="K10" s="5">
        <v>149</v>
      </c>
      <c r="L10" s="6">
        <v>45924</v>
      </c>
      <c r="M10" s="4" t="s">
        <v>46</v>
      </c>
      <c r="N10" s="4" t="s">
        <v>87</v>
      </c>
      <c r="O10" s="4" t="s">
        <v>88</v>
      </c>
      <c r="P10" s="4"/>
      <c r="Q10" s="4" t="s">
        <v>88</v>
      </c>
      <c r="R10" s="4"/>
      <c r="S10" s="4" t="s">
        <v>64</v>
      </c>
      <c r="T10" s="4" t="s">
        <v>55</v>
      </c>
      <c r="U10" s="4" t="s">
        <v>50</v>
      </c>
      <c r="V10" s="4"/>
      <c r="W10" s="4" t="s">
        <v>75</v>
      </c>
      <c r="X10" s="4" t="s">
        <v>51</v>
      </c>
      <c r="Y10" s="4" t="s">
        <v>52</v>
      </c>
      <c r="Z10" s="4" t="s">
        <v>53</v>
      </c>
      <c r="AA10" s="4"/>
      <c r="AB10" s="4" t="s">
        <v>54</v>
      </c>
      <c r="AC10" s="4" t="s">
        <v>55</v>
      </c>
      <c r="AD10" s="4"/>
      <c r="AE10" s="4">
        <v>1936227053</v>
      </c>
      <c r="AF10" s="4" t="s">
        <v>56</v>
      </c>
      <c r="AG10" s="4" t="s">
        <v>57</v>
      </c>
      <c r="AH10" s="4" t="s">
        <v>58</v>
      </c>
      <c r="AI10" s="4" t="s">
        <v>56</v>
      </c>
      <c r="AJ10" s="4" t="s">
        <v>57</v>
      </c>
      <c r="AK10" s="7" t="s">
        <v>58</v>
      </c>
      <c r="AL10" s="7" t="str">
        <f>IF($M10="DR", IF($O10="","",$O10), IF($X10="","",$X10))</f>
        <v>CLAY LABS INC</v>
      </c>
    </row>
    <row r="11" spans="1:38" x14ac:dyDescent="0.35">
      <c r="A11" s="8">
        <v>1949860012</v>
      </c>
      <c r="B11" s="8" t="s">
        <v>59</v>
      </c>
      <c r="C11" s="8"/>
      <c r="D11" s="8"/>
      <c r="E11" s="8"/>
      <c r="F11" s="8" t="s">
        <v>65</v>
      </c>
      <c r="G11" s="8" t="s">
        <v>89</v>
      </c>
      <c r="H11" s="8" t="s">
        <v>43</v>
      </c>
      <c r="I11" s="8" t="s">
        <v>44</v>
      </c>
      <c r="J11" s="8" t="s">
        <v>45</v>
      </c>
      <c r="K11" s="9">
        <v>29</v>
      </c>
      <c r="L11" s="10">
        <v>45932</v>
      </c>
      <c r="M11" s="8" t="s">
        <v>46</v>
      </c>
      <c r="N11" s="8" t="s">
        <v>67</v>
      </c>
      <c r="O11" s="8" t="s">
        <v>68</v>
      </c>
      <c r="P11" s="8"/>
      <c r="Q11" s="8" t="s">
        <v>68</v>
      </c>
      <c r="R11" s="8"/>
      <c r="S11" s="8" t="s">
        <v>64</v>
      </c>
      <c r="T11" s="8" t="s">
        <v>55</v>
      </c>
      <c r="U11" s="8" t="s">
        <v>50</v>
      </c>
      <c r="V11" s="8"/>
      <c r="W11" s="8" t="s">
        <v>65</v>
      </c>
      <c r="X11" s="8" t="s">
        <v>51</v>
      </c>
      <c r="Y11" s="8" t="s">
        <v>52</v>
      </c>
      <c r="Z11" s="8" t="s">
        <v>53</v>
      </c>
      <c r="AA11" s="8"/>
      <c r="AB11" s="8" t="s">
        <v>54</v>
      </c>
      <c r="AC11" s="8" t="s">
        <v>55</v>
      </c>
      <c r="AD11" s="8"/>
      <c r="AE11" s="8">
        <v>1949860012</v>
      </c>
      <c r="AF11" s="8" t="s">
        <v>56</v>
      </c>
      <c r="AG11" s="8" t="s">
        <v>57</v>
      </c>
      <c r="AH11" s="8" t="s">
        <v>58</v>
      </c>
      <c r="AI11" s="8" t="s">
        <v>56</v>
      </c>
      <c r="AJ11" s="8" t="s">
        <v>57</v>
      </c>
      <c r="AK11" s="11" t="s">
        <v>58</v>
      </c>
      <c r="AL11" s="11" t="str">
        <f>IF($M11="DR", IF($O11="","",$O11), IF($X11="","",$X11))</f>
        <v>WEBFLOW.COM</v>
      </c>
    </row>
    <row r="12" spans="1:38" x14ac:dyDescent="0.35">
      <c r="A12" s="4">
        <v>1972926945</v>
      </c>
      <c r="B12" s="4" t="s">
        <v>59</v>
      </c>
      <c r="C12" s="4"/>
      <c r="D12" s="4"/>
      <c r="E12" s="4"/>
      <c r="F12" s="4" t="s">
        <v>65</v>
      </c>
      <c r="G12" s="4" t="s">
        <v>90</v>
      </c>
      <c r="H12" s="4" t="s">
        <v>43</v>
      </c>
      <c r="I12" s="4" t="s">
        <v>44</v>
      </c>
      <c r="J12" s="4" t="s">
        <v>45</v>
      </c>
      <c r="K12" s="5">
        <v>24</v>
      </c>
      <c r="L12" s="6">
        <v>45946</v>
      </c>
      <c r="M12" s="4" t="s">
        <v>46</v>
      </c>
      <c r="N12" s="4" t="s">
        <v>67</v>
      </c>
      <c r="O12" s="4" t="s">
        <v>68</v>
      </c>
      <c r="P12" s="4"/>
      <c r="Q12" s="4" t="s">
        <v>68</v>
      </c>
      <c r="R12" s="4"/>
      <c r="S12" s="4" t="s">
        <v>64</v>
      </c>
      <c r="T12" s="4" t="s">
        <v>55</v>
      </c>
      <c r="U12" s="4" t="s">
        <v>50</v>
      </c>
      <c r="V12" s="4"/>
      <c r="W12" s="4" t="s">
        <v>65</v>
      </c>
      <c r="X12" s="4" t="s">
        <v>51</v>
      </c>
      <c r="Y12" s="4" t="s">
        <v>52</v>
      </c>
      <c r="Z12" s="4" t="s">
        <v>53</v>
      </c>
      <c r="AA12" s="4"/>
      <c r="AB12" s="4" t="s">
        <v>54</v>
      </c>
      <c r="AC12" s="4" t="s">
        <v>55</v>
      </c>
      <c r="AD12" s="4"/>
      <c r="AE12" s="4">
        <v>1972926945</v>
      </c>
      <c r="AF12" s="4" t="s">
        <v>56</v>
      </c>
      <c r="AG12" s="4" t="s">
        <v>57</v>
      </c>
      <c r="AH12" s="4" t="s">
        <v>58</v>
      </c>
      <c r="AI12" s="4" t="s">
        <v>56</v>
      </c>
      <c r="AJ12" s="4" t="s">
        <v>57</v>
      </c>
      <c r="AK12" s="7" t="s">
        <v>58</v>
      </c>
      <c r="AL12" s="7" t="str">
        <f>IF($M12="DR", IF($O12="","",$O12), IF($X12="","",$X12))</f>
        <v>WEBFLOW.COM</v>
      </c>
    </row>
    <row r="13" spans="1:38" x14ac:dyDescent="0.35">
      <c r="A13" s="8">
        <v>1976077512</v>
      </c>
      <c r="B13" s="8" t="s">
        <v>59</v>
      </c>
      <c r="C13" s="8"/>
      <c r="D13" s="8"/>
      <c r="E13" s="8"/>
      <c r="F13" s="8" t="s">
        <v>69</v>
      </c>
      <c r="G13" s="8" t="s">
        <v>91</v>
      </c>
      <c r="H13" s="8" t="s">
        <v>43</v>
      </c>
      <c r="I13" s="8" t="s">
        <v>44</v>
      </c>
      <c r="J13" s="8" t="s">
        <v>45</v>
      </c>
      <c r="K13" s="9">
        <v>300</v>
      </c>
      <c r="L13" s="10">
        <v>45948</v>
      </c>
      <c r="M13" s="8" t="s">
        <v>46</v>
      </c>
      <c r="N13" s="8" t="s">
        <v>80</v>
      </c>
      <c r="O13" s="8" t="s">
        <v>81</v>
      </c>
      <c r="P13" s="8"/>
      <c r="Q13" s="8" t="s">
        <v>81</v>
      </c>
      <c r="R13" s="8"/>
      <c r="S13" s="8" t="s">
        <v>64</v>
      </c>
      <c r="T13" s="8" t="s">
        <v>55</v>
      </c>
      <c r="U13" s="8" t="s">
        <v>50</v>
      </c>
      <c r="V13" s="8"/>
      <c r="W13" s="8" t="s">
        <v>69</v>
      </c>
      <c r="X13" s="8" t="s">
        <v>51</v>
      </c>
      <c r="Y13" s="8" t="s">
        <v>52</v>
      </c>
      <c r="Z13" s="8" t="s">
        <v>53</v>
      </c>
      <c r="AA13" s="8"/>
      <c r="AB13" s="8" t="s">
        <v>54</v>
      </c>
      <c r="AC13" s="8" t="s">
        <v>55</v>
      </c>
      <c r="AD13" s="8"/>
      <c r="AE13" s="8">
        <v>1976077512</v>
      </c>
      <c r="AF13" s="8" t="s">
        <v>56</v>
      </c>
      <c r="AG13" s="8" t="s">
        <v>57</v>
      </c>
      <c r="AH13" s="8" t="s">
        <v>58</v>
      </c>
      <c r="AI13" s="8" t="s">
        <v>56</v>
      </c>
      <c r="AJ13" s="8" t="s">
        <v>57</v>
      </c>
      <c r="AK13" s="11" t="s">
        <v>58</v>
      </c>
      <c r="AL13" s="11" t="str">
        <f>IF($M13="DR", IF($O13="","",$O13), IF($X13="","",$X13))</f>
        <v>DROPBOX DOCSEND</v>
      </c>
    </row>
    <row r="14" spans="1:38" x14ac:dyDescent="0.35">
      <c r="A14" s="4">
        <v>1976091570</v>
      </c>
      <c r="B14" s="4" t="s">
        <v>59</v>
      </c>
      <c r="C14" s="4"/>
      <c r="D14" s="4"/>
      <c r="E14" s="4"/>
      <c r="F14" s="4" t="s">
        <v>75</v>
      </c>
      <c r="G14" s="4" t="s">
        <v>92</v>
      </c>
      <c r="H14" s="4" t="s">
        <v>43</v>
      </c>
      <c r="I14" s="4" t="s">
        <v>44</v>
      </c>
      <c r="J14" s="4" t="s">
        <v>45</v>
      </c>
      <c r="K14" s="5">
        <v>149</v>
      </c>
      <c r="L14" s="6">
        <v>45948</v>
      </c>
      <c r="M14" s="4" t="s">
        <v>46</v>
      </c>
      <c r="N14" s="4" t="s">
        <v>77</v>
      </c>
      <c r="O14" s="4" t="s">
        <v>78</v>
      </c>
      <c r="P14" s="4"/>
      <c r="Q14" s="4" t="s">
        <v>78</v>
      </c>
      <c r="R14" s="4"/>
      <c r="S14" s="4" t="s">
        <v>64</v>
      </c>
      <c r="T14" s="4" t="s">
        <v>55</v>
      </c>
      <c r="U14" s="4" t="s">
        <v>50</v>
      </c>
      <c r="V14" s="4"/>
      <c r="W14" s="4" t="s">
        <v>75</v>
      </c>
      <c r="X14" s="4" t="s">
        <v>51</v>
      </c>
      <c r="Y14" s="4" t="s">
        <v>52</v>
      </c>
      <c r="Z14" s="4" t="s">
        <v>53</v>
      </c>
      <c r="AA14" s="4"/>
      <c r="AB14" s="4" t="s">
        <v>54</v>
      </c>
      <c r="AC14" s="4" t="s">
        <v>55</v>
      </c>
      <c r="AD14" s="4"/>
      <c r="AE14" s="4">
        <v>1976091570</v>
      </c>
      <c r="AF14" s="4" t="s">
        <v>56</v>
      </c>
      <c r="AG14" s="4" t="s">
        <v>57</v>
      </c>
      <c r="AH14" s="4" t="s">
        <v>58</v>
      </c>
      <c r="AI14" s="4" t="s">
        <v>56</v>
      </c>
      <c r="AJ14" s="4" t="s">
        <v>57</v>
      </c>
      <c r="AK14" s="7" t="s">
        <v>58</v>
      </c>
      <c r="AL14" s="7" t="str">
        <f>IF($M14="DR", IF($O14="","",$O14), IF($X14="","",$X14))</f>
        <v>RB2B PRO</v>
      </c>
    </row>
    <row r="15" spans="1:38" ht="29" x14ac:dyDescent="0.35">
      <c r="A15" s="4">
        <v>2138613456</v>
      </c>
      <c r="B15" s="4" t="s">
        <v>59</v>
      </c>
      <c r="C15" s="4"/>
      <c r="D15" s="4"/>
      <c r="E15" s="4"/>
      <c r="F15" s="4" t="s">
        <v>75</v>
      </c>
      <c r="G15" s="4" t="s">
        <v>130</v>
      </c>
      <c r="H15" s="4" t="s">
        <v>43</v>
      </c>
      <c r="I15" s="4" t="s">
        <v>44</v>
      </c>
      <c r="J15" s="4" t="s">
        <v>45</v>
      </c>
      <c r="K15" s="5">
        <v>94</v>
      </c>
      <c r="L15" s="6">
        <v>45949</v>
      </c>
      <c r="M15" s="4" t="s">
        <v>46</v>
      </c>
      <c r="N15" s="4" t="s">
        <v>83</v>
      </c>
      <c r="O15" s="4" t="s">
        <v>84</v>
      </c>
      <c r="P15" s="4"/>
      <c r="Q15" s="4" t="s">
        <v>84</v>
      </c>
      <c r="R15" s="4"/>
      <c r="S15" s="4" t="s">
        <v>64</v>
      </c>
      <c r="T15" s="4" t="s">
        <v>55</v>
      </c>
      <c r="U15" s="4" t="s">
        <v>50</v>
      </c>
      <c r="V15" s="4"/>
      <c r="W15" s="4" t="s">
        <v>75</v>
      </c>
      <c r="X15" s="4" t="s">
        <v>51</v>
      </c>
      <c r="Y15" s="4" t="s">
        <v>52</v>
      </c>
      <c r="Z15" s="4" t="s">
        <v>53</v>
      </c>
      <c r="AA15" s="4"/>
      <c r="AB15" s="4" t="s">
        <v>54</v>
      </c>
      <c r="AC15" s="4" t="s">
        <v>55</v>
      </c>
      <c r="AD15" s="4"/>
      <c r="AE15" s="4">
        <v>2138613456</v>
      </c>
      <c r="AF15" s="4" t="s">
        <v>56</v>
      </c>
      <c r="AG15" s="4" t="s">
        <v>57</v>
      </c>
      <c r="AH15" s="4" t="s">
        <v>58</v>
      </c>
      <c r="AI15" s="4"/>
      <c r="AJ15" s="4"/>
      <c r="AK15" s="7"/>
      <c r="AL15" s="7" t="str">
        <f>IF($M15="DR", IF($O15="","",$O15), IF($X15="","",$X15))</f>
        <v>LEADIQ SUB* LEADIQ SUB</v>
      </c>
    </row>
    <row r="16" spans="1:38" ht="29" x14ac:dyDescent="0.35">
      <c r="A16" s="8">
        <v>1980957491</v>
      </c>
      <c r="B16" s="8" t="s">
        <v>59</v>
      </c>
      <c r="C16" s="8"/>
      <c r="D16" s="8"/>
      <c r="E16" s="8"/>
      <c r="F16" s="8" t="s">
        <v>69</v>
      </c>
      <c r="G16" s="8" t="s">
        <v>93</v>
      </c>
      <c r="H16" s="8" t="s">
        <v>43</v>
      </c>
      <c r="I16" s="8" t="s">
        <v>44</v>
      </c>
      <c r="J16" s="8" t="s">
        <v>45</v>
      </c>
      <c r="K16" s="9">
        <v>141.22999999999999</v>
      </c>
      <c r="L16" s="10">
        <v>45951</v>
      </c>
      <c r="M16" s="8" t="s">
        <v>46</v>
      </c>
      <c r="N16" s="8">
        <v>395711276353</v>
      </c>
      <c r="O16" s="8" t="s">
        <v>94</v>
      </c>
      <c r="P16" s="8"/>
      <c r="Q16" s="8" t="s">
        <v>94</v>
      </c>
      <c r="R16" s="8"/>
      <c r="S16" s="8" t="s">
        <v>64</v>
      </c>
      <c r="T16" s="8" t="s">
        <v>55</v>
      </c>
      <c r="U16" s="8" t="s">
        <v>50</v>
      </c>
      <c r="V16" s="8"/>
      <c r="W16" s="8" t="s">
        <v>69</v>
      </c>
      <c r="X16" s="8" t="s">
        <v>51</v>
      </c>
      <c r="Y16" s="8" t="s">
        <v>52</v>
      </c>
      <c r="Z16" s="8" t="s">
        <v>53</v>
      </c>
      <c r="AA16" s="8"/>
      <c r="AB16" s="8" t="s">
        <v>54</v>
      </c>
      <c r="AC16" s="8" t="s">
        <v>55</v>
      </c>
      <c r="AD16" s="8"/>
      <c r="AE16" s="8">
        <v>1980957491</v>
      </c>
      <c r="AF16" s="8" t="s">
        <v>56</v>
      </c>
      <c r="AG16" s="8" t="s">
        <v>57</v>
      </c>
      <c r="AH16" s="8" t="s">
        <v>58</v>
      </c>
      <c r="AI16" s="8" t="s">
        <v>56</v>
      </c>
      <c r="AJ16" s="8" t="s">
        <v>57</v>
      </c>
      <c r="AK16" s="11" t="s">
        <v>58</v>
      </c>
      <c r="AL16" s="11" t="str">
        <f>IF($M16="DR", IF($O16="","",$O16), IF($X16="","",$X16))</f>
        <v>YWW*WeWork 44MontgomeryS</v>
      </c>
    </row>
    <row r="17" spans="1:38" ht="29" x14ac:dyDescent="0.35">
      <c r="A17" s="4">
        <v>1984845427</v>
      </c>
      <c r="B17" s="4" t="s">
        <v>59</v>
      </c>
      <c r="C17" s="4"/>
      <c r="D17" s="4"/>
      <c r="E17" s="4"/>
      <c r="F17" s="4" t="s">
        <v>75</v>
      </c>
      <c r="G17" s="4" t="s">
        <v>95</v>
      </c>
      <c r="H17" s="4" t="s">
        <v>43</v>
      </c>
      <c r="I17" s="4" t="s">
        <v>44</v>
      </c>
      <c r="J17" s="4" t="s">
        <v>45</v>
      </c>
      <c r="K17" s="5">
        <v>149</v>
      </c>
      <c r="L17" s="6">
        <v>45954</v>
      </c>
      <c r="M17" s="4" t="s">
        <v>46</v>
      </c>
      <c r="N17" s="4" t="s">
        <v>87</v>
      </c>
      <c r="O17" s="4" t="s">
        <v>88</v>
      </c>
      <c r="P17" s="4"/>
      <c r="Q17" s="4" t="s">
        <v>88</v>
      </c>
      <c r="R17" s="4"/>
      <c r="S17" s="4" t="s">
        <v>64</v>
      </c>
      <c r="T17" s="4" t="s">
        <v>55</v>
      </c>
      <c r="U17" s="4" t="s">
        <v>50</v>
      </c>
      <c r="V17" s="4"/>
      <c r="W17" s="4" t="s">
        <v>75</v>
      </c>
      <c r="X17" s="4" t="s">
        <v>51</v>
      </c>
      <c r="Y17" s="4" t="s">
        <v>52</v>
      </c>
      <c r="Z17" s="4" t="s">
        <v>53</v>
      </c>
      <c r="AA17" s="4"/>
      <c r="AB17" s="4" t="s">
        <v>54</v>
      </c>
      <c r="AC17" s="4" t="s">
        <v>55</v>
      </c>
      <c r="AD17" s="4"/>
      <c r="AE17" s="4">
        <v>1984845427</v>
      </c>
      <c r="AF17" s="4" t="s">
        <v>56</v>
      </c>
      <c r="AG17" s="4" t="s">
        <v>57</v>
      </c>
      <c r="AH17" s="4" t="s">
        <v>58</v>
      </c>
      <c r="AI17" s="4" t="s">
        <v>56</v>
      </c>
      <c r="AJ17" s="4" t="s">
        <v>57</v>
      </c>
      <c r="AK17" s="7" t="s">
        <v>58</v>
      </c>
      <c r="AL17" s="7" t="str">
        <f>IF($M17="DR", IF($O17="","",$O17), IF($X17="","",$X17))</f>
        <v>CLAY LABS INC</v>
      </c>
    </row>
    <row r="18" spans="1:38" ht="29" x14ac:dyDescent="0.35">
      <c r="A18" s="8">
        <v>2000549558</v>
      </c>
      <c r="B18" s="8" t="s">
        <v>59</v>
      </c>
      <c r="C18" s="8"/>
      <c r="D18" s="8"/>
      <c r="E18" s="8"/>
      <c r="F18" s="8" t="s">
        <v>65</v>
      </c>
      <c r="G18" s="8" t="s">
        <v>96</v>
      </c>
      <c r="H18" s="8" t="s">
        <v>43</v>
      </c>
      <c r="I18" s="8" t="s">
        <v>44</v>
      </c>
      <c r="J18" s="8" t="s">
        <v>45</v>
      </c>
      <c r="K18" s="9">
        <v>29</v>
      </c>
      <c r="L18" s="10">
        <v>45963</v>
      </c>
      <c r="M18" s="8" t="s">
        <v>46</v>
      </c>
      <c r="N18" s="8" t="s">
        <v>67</v>
      </c>
      <c r="O18" s="8" t="s">
        <v>68</v>
      </c>
      <c r="P18" s="8"/>
      <c r="Q18" s="8" t="s">
        <v>68</v>
      </c>
      <c r="R18" s="8"/>
      <c r="S18" s="8" t="s">
        <v>64</v>
      </c>
      <c r="T18" s="8" t="s">
        <v>55</v>
      </c>
      <c r="U18" s="8" t="s">
        <v>50</v>
      </c>
      <c r="V18" s="8"/>
      <c r="W18" s="8" t="s">
        <v>65</v>
      </c>
      <c r="X18" s="8" t="s">
        <v>51</v>
      </c>
      <c r="Y18" s="8" t="s">
        <v>52</v>
      </c>
      <c r="Z18" s="8" t="s">
        <v>53</v>
      </c>
      <c r="AA18" s="8"/>
      <c r="AB18" s="8" t="s">
        <v>54</v>
      </c>
      <c r="AC18" s="8" t="s">
        <v>55</v>
      </c>
      <c r="AD18" s="8"/>
      <c r="AE18" s="8">
        <v>2000549558</v>
      </c>
      <c r="AF18" s="8" t="s">
        <v>56</v>
      </c>
      <c r="AG18" s="8" t="s">
        <v>57</v>
      </c>
      <c r="AH18" s="8" t="s">
        <v>58</v>
      </c>
      <c r="AI18" s="8" t="s">
        <v>56</v>
      </c>
      <c r="AJ18" s="8" t="s">
        <v>57</v>
      </c>
      <c r="AK18" s="11" t="s">
        <v>58</v>
      </c>
      <c r="AL18" s="11" t="str">
        <f>IF($M18="DR", IF($O18="","",$O18), IF($X18="","",$X18))</f>
        <v>WEBFLOW.COM</v>
      </c>
    </row>
    <row r="19" spans="1:38" ht="29" x14ac:dyDescent="0.35">
      <c r="A19" s="4">
        <v>2002239063</v>
      </c>
      <c r="B19" s="4" t="s">
        <v>59</v>
      </c>
      <c r="C19" s="4"/>
      <c r="D19" s="4"/>
      <c r="E19" s="4"/>
      <c r="F19" s="4" t="s">
        <v>69</v>
      </c>
      <c r="G19" s="4" t="s">
        <v>97</v>
      </c>
      <c r="H19" s="4" t="s">
        <v>43</v>
      </c>
      <c r="I19" s="4" t="s">
        <v>44</v>
      </c>
      <c r="J19" s="4" t="s">
        <v>45</v>
      </c>
      <c r="K19" s="5">
        <v>339</v>
      </c>
      <c r="L19" s="6">
        <v>45964</v>
      </c>
      <c r="M19" s="4" t="s">
        <v>46</v>
      </c>
      <c r="N19" s="4">
        <v>395711276353</v>
      </c>
      <c r="O19" s="4" t="s">
        <v>94</v>
      </c>
      <c r="P19" s="4"/>
      <c r="Q19" s="4" t="s">
        <v>94</v>
      </c>
      <c r="R19" s="4"/>
      <c r="S19" s="4" t="s">
        <v>64</v>
      </c>
      <c r="T19" s="4" t="s">
        <v>55</v>
      </c>
      <c r="U19" s="4" t="s">
        <v>50</v>
      </c>
      <c r="V19" s="4"/>
      <c r="W19" s="4" t="s">
        <v>69</v>
      </c>
      <c r="X19" s="4" t="s">
        <v>51</v>
      </c>
      <c r="Y19" s="4" t="s">
        <v>52</v>
      </c>
      <c r="Z19" s="4" t="s">
        <v>53</v>
      </c>
      <c r="AA19" s="4"/>
      <c r="AB19" s="4" t="s">
        <v>54</v>
      </c>
      <c r="AC19" s="4" t="s">
        <v>55</v>
      </c>
      <c r="AD19" s="4"/>
      <c r="AE19" s="4">
        <v>2002239063</v>
      </c>
      <c r="AF19" s="4" t="s">
        <v>56</v>
      </c>
      <c r="AG19" s="4" t="s">
        <v>57</v>
      </c>
      <c r="AH19" s="4" t="s">
        <v>58</v>
      </c>
      <c r="AI19" s="4" t="s">
        <v>56</v>
      </c>
      <c r="AJ19" s="4" t="s">
        <v>57</v>
      </c>
      <c r="AK19" s="7" t="s">
        <v>58</v>
      </c>
      <c r="AL19" s="7" t="str">
        <f>IF($M19="DR", IF($O19="","",$O19), IF($X19="","",$X19))</f>
        <v>YWW*WeWork 44MontgomeryS</v>
      </c>
    </row>
    <row r="20" spans="1:38" ht="29" x14ac:dyDescent="0.35">
      <c r="A20" s="8">
        <v>2022831920</v>
      </c>
      <c r="B20" s="8" t="s">
        <v>59</v>
      </c>
      <c r="C20" s="8"/>
      <c r="D20" s="8"/>
      <c r="E20" s="8"/>
      <c r="F20" s="8" t="s">
        <v>75</v>
      </c>
      <c r="G20" s="8" t="s">
        <v>98</v>
      </c>
      <c r="H20" s="8" t="s">
        <v>71</v>
      </c>
      <c r="I20" s="8" t="s">
        <v>72</v>
      </c>
      <c r="J20" s="8" t="s">
        <v>45</v>
      </c>
      <c r="K20" s="9">
        <v>200</v>
      </c>
      <c r="L20" s="10">
        <v>45972</v>
      </c>
      <c r="M20" s="8" t="s">
        <v>46</v>
      </c>
      <c r="N20" s="8" t="s">
        <v>99</v>
      </c>
      <c r="O20" s="8" t="s">
        <v>100</v>
      </c>
      <c r="P20" s="8"/>
      <c r="Q20" s="8" t="s">
        <v>100</v>
      </c>
      <c r="R20" s="8"/>
      <c r="S20" s="8" t="s">
        <v>64</v>
      </c>
      <c r="T20" s="8" t="s">
        <v>55</v>
      </c>
      <c r="U20" s="8" t="s">
        <v>50</v>
      </c>
      <c r="V20" s="8"/>
      <c r="W20" s="8" t="s">
        <v>75</v>
      </c>
      <c r="X20" s="8" t="s">
        <v>51</v>
      </c>
      <c r="Y20" s="8" t="s">
        <v>52</v>
      </c>
      <c r="Z20" s="8" t="s">
        <v>53</v>
      </c>
      <c r="AA20" s="8"/>
      <c r="AB20" s="8" t="s">
        <v>54</v>
      </c>
      <c r="AC20" s="8" t="s">
        <v>55</v>
      </c>
      <c r="AD20" s="8"/>
      <c r="AE20" s="8">
        <v>2022831920</v>
      </c>
      <c r="AF20" s="8" t="s">
        <v>56</v>
      </c>
      <c r="AG20" s="8" t="s">
        <v>57</v>
      </c>
      <c r="AH20" s="8" t="s">
        <v>58</v>
      </c>
      <c r="AI20" s="8" t="s">
        <v>56</v>
      </c>
      <c r="AJ20" s="8" t="s">
        <v>57</v>
      </c>
      <c r="AK20" s="11" t="s">
        <v>58</v>
      </c>
      <c r="AL20" s="11" t="str">
        <f>IF($M20="DR", IF($O20="","",$O20), IF($X20="","",$X20))</f>
        <v>AUCTION IT WIZARD</v>
      </c>
    </row>
    <row r="21" spans="1:38" ht="29" x14ac:dyDescent="0.35">
      <c r="A21" s="4">
        <v>2023396316</v>
      </c>
      <c r="B21" s="4" t="s">
        <v>59</v>
      </c>
      <c r="C21" s="4"/>
      <c r="D21" s="4"/>
      <c r="E21" s="4"/>
      <c r="F21" s="4" t="s">
        <v>65</v>
      </c>
      <c r="G21" s="4" t="s">
        <v>101</v>
      </c>
      <c r="H21" s="4" t="s">
        <v>43</v>
      </c>
      <c r="I21" s="4" t="s">
        <v>44</v>
      </c>
      <c r="J21" s="4" t="s">
        <v>45</v>
      </c>
      <c r="K21" s="5">
        <v>24</v>
      </c>
      <c r="L21" s="6">
        <v>45977</v>
      </c>
      <c r="M21" s="4" t="s">
        <v>46</v>
      </c>
      <c r="N21" s="4" t="s">
        <v>67</v>
      </c>
      <c r="O21" s="4" t="s">
        <v>68</v>
      </c>
      <c r="P21" s="4"/>
      <c r="Q21" s="4" t="s">
        <v>68</v>
      </c>
      <c r="R21" s="4"/>
      <c r="S21" s="4" t="s">
        <v>64</v>
      </c>
      <c r="T21" s="4" t="s">
        <v>55</v>
      </c>
      <c r="U21" s="4" t="s">
        <v>50</v>
      </c>
      <c r="V21" s="4"/>
      <c r="W21" s="4" t="s">
        <v>65</v>
      </c>
      <c r="X21" s="4" t="s">
        <v>51</v>
      </c>
      <c r="Y21" s="4" t="s">
        <v>52</v>
      </c>
      <c r="Z21" s="4" t="s">
        <v>53</v>
      </c>
      <c r="AA21" s="4"/>
      <c r="AB21" s="4" t="s">
        <v>54</v>
      </c>
      <c r="AC21" s="4" t="s">
        <v>55</v>
      </c>
      <c r="AD21" s="4"/>
      <c r="AE21" s="4">
        <v>2023396316</v>
      </c>
      <c r="AF21" s="4" t="s">
        <v>56</v>
      </c>
      <c r="AG21" s="4" t="s">
        <v>57</v>
      </c>
      <c r="AH21" s="4" t="s">
        <v>58</v>
      </c>
      <c r="AI21" s="4" t="s">
        <v>56</v>
      </c>
      <c r="AJ21" s="4" t="s">
        <v>57</v>
      </c>
      <c r="AK21" s="7" t="s">
        <v>58</v>
      </c>
      <c r="AL21" s="7" t="str">
        <f>IF($M21="DR", IF($O21="","",$O21), IF($X21="","",$X21))</f>
        <v>WEBFLOW.COM</v>
      </c>
    </row>
    <row r="22" spans="1:38" ht="29" x14ac:dyDescent="0.35">
      <c r="A22" s="8">
        <v>2025054663</v>
      </c>
      <c r="B22" s="8" t="s">
        <v>59</v>
      </c>
      <c r="C22" s="8"/>
      <c r="D22" s="8"/>
      <c r="E22" s="8"/>
      <c r="F22" s="8" t="s">
        <v>75</v>
      </c>
      <c r="G22" s="8" t="s">
        <v>102</v>
      </c>
      <c r="H22" s="8" t="s">
        <v>43</v>
      </c>
      <c r="I22" s="8" t="s">
        <v>44</v>
      </c>
      <c r="J22" s="8" t="s">
        <v>45</v>
      </c>
      <c r="K22" s="9">
        <v>177.9</v>
      </c>
      <c r="L22" s="10">
        <v>45978</v>
      </c>
      <c r="M22" s="8" t="s">
        <v>46</v>
      </c>
      <c r="N22" s="8" t="s">
        <v>77</v>
      </c>
      <c r="O22" s="8" t="s">
        <v>78</v>
      </c>
      <c r="P22" s="8"/>
      <c r="Q22" s="8" t="s">
        <v>78</v>
      </c>
      <c r="R22" s="8"/>
      <c r="S22" s="8" t="s">
        <v>64</v>
      </c>
      <c r="T22" s="8" t="s">
        <v>55</v>
      </c>
      <c r="U22" s="8" t="s">
        <v>50</v>
      </c>
      <c r="V22" s="8"/>
      <c r="W22" s="8" t="s">
        <v>75</v>
      </c>
      <c r="X22" s="8" t="s">
        <v>51</v>
      </c>
      <c r="Y22" s="8" t="s">
        <v>52</v>
      </c>
      <c r="Z22" s="8" t="s">
        <v>53</v>
      </c>
      <c r="AA22" s="8"/>
      <c r="AB22" s="8" t="s">
        <v>54</v>
      </c>
      <c r="AC22" s="8" t="s">
        <v>55</v>
      </c>
      <c r="AD22" s="8"/>
      <c r="AE22" s="8">
        <v>2025054663</v>
      </c>
      <c r="AF22" s="8" t="s">
        <v>56</v>
      </c>
      <c r="AG22" s="8" t="s">
        <v>57</v>
      </c>
      <c r="AH22" s="8" t="s">
        <v>58</v>
      </c>
      <c r="AI22" s="8" t="s">
        <v>56</v>
      </c>
      <c r="AJ22" s="8" t="s">
        <v>57</v>
      </c>
      <c r="AK22" s="11" t="s">
        <v>58</v>
      </c>
      <c r="AL22" s="11" t="str">
        <f>IF($M22="DR", IF($O22="","",$O22), IF($X22="","",$X22))</f>
        <v>RB2B PRO</v>
      </c>
    </row>
    <row r="23" spans="1:38" ht="29" x14ac:dyDescent="0.35">
      <c r="A23" s="4">
        <v>2026830842</v>
      </c>
      <c r="B23" s="4" t="s">
        <v>59</v>
      </c>
      <c r="C23" s="4"/>
      <c r="D23" s="4"/>
      <c r="E23" s="4"/>
      <c r="F23" s="4" t="s">
        <v>69</v>
      </c>
      <c r="G23" s="4" t="s">
        <v>103</v>
      </c>
      <c r="H23" s="4" t="s">
        <v>43</v>
      </c>
      <c r="I23" s="4" t="s">
        <v>44</v>
      </c>
      <c r="J23" s="4" t="s">
        <v>45</v>
      </c>
      <c r="K23" s="5">
        <v>300</v>
      </c>
      <c r="L23" s="6">
        <v>45979</v>
      </c>
      <c r="M23" s="4" t="s">
        <v>46</v>
      </c>
      <c r="N23" s="4" t="s">
        <v>80</v>
      </c>
      <c r="O23" s="4" t="s">
        <v>81</v>
      </c>
      <c r="P23" s="4"/>
      <c r="Q23" s="4" t="s">
        <v>81</v>
      </c>
      <c r="R23" s="4"/>
      <c r="S23" s="4" t="s">
        <v>64</v>
      </c>
      <c r="T23" s="4" t="s">
        <v>55</v>
      </c>
      <c r="U23" s="4" t="s">
        <v>50</v>
      </c>
      <c r="V23" s="4"/>
      <c r="W23" s="4" t="s">
        <v>69</v>
      </c>
      <c r="X23" s="4" t="s">
        <v>51</v>
      </c>
      <c r="Y23" s="4" t="s">
        <v>52</v>
      </c>
      <c r="Z23" s="4" t="s">
        <v>53</v>
      </c>
      <c r="AA23" s="4"/>
      <c r="AB23" s="4" t="s">
        <v>54</v>
      </c>
      <c r="AC23" s="4" t="s">
        <v>55</v>
      </c>
      <c r="AD23" s="4"/>
      <c r="AE23" s="4">
        <v>2026830842</v>
      </c>
      <c r="AF23" s="4" t="s">
        <v>56</v>
      </c>
      <c r="AG23" s="4" t="s">
        <v>57</v>
      </c>
      <c r="AH23" s="4" t="s">
        <v>58</v>
      </c>
      <c r="AI23" s="4" t="s">
        <v>56</v>
      </c>
      <c r="AJ23" s="4" t="s">
        <v>57</v>
      </c>
      <c r="AK23" s="7" t="s">
        <v>58</v>
      </c>
      <c r="AL23" s="7" t="str">
        <f>IF($M23="DR", IF($O23="","",$O23), IF($X23="","",$X23))</f>
        <v>DROPBOX DOCSEND</v>
      </c>
    </row>
    <row r="24" spans="1:38" ht="29" x14ac:dyDescent="0.35">
      <c r="A24" s="8">
        <v>2028190494</v>
      </c>
      <c r="B24" s="8" t="s">
        <v>59</v>
      </c>
      <c r="C24" s="8"/>
      <c r="D24" s="8"/>
      <c r="E24" s="8"/>
      <c r="F24" s="8" t="s">
        <v>75</v>
      </c>
      <c r="G24" s="8" t="s">
        <v>104</v>
      </c>
      <c r="H24" s="8" t="s">
        <v>43</v>
      </c>
      <c r="I24" s="8" t="s">
        <v>44</v>
      </c>
      <c r="J24" s="8" t="s">
        <v>45</v>
      </c>
      <c r="K24" s="9">
        <v>94</v>
      </c>
      <c r="L24" s="10">
        <v>45980</v>
      </c>
      <c r="M24" s="8" t="s">
        <v>46</v>
      </c>
      <c r="N24" s="8" t="s">
        <v>83</v>
      </c>
      <c r="O24" s="8" t="s">
        <v>84</v>
      </c>
      <c r="P24" s="8"/>
      <c r="Q24" s="8" t="s">
        <v>84</v>
      </c>
      <c r="R24" s="8"/>
      <c r="S24" s="8" t="s">
        <v>64</v>
      </c>
      <c r="T24" s="8" t="s">
        <v>55</v>
      </c>
      <c r="U24" s="8" t="s">
        <v>50</v>
      </c>
      <c r="V24" s="8"/>
      <c r="W24" s="8" t="s">
        <v>75</v>
      </c>
      <c r="X24" s="8" t="s">
        <v>51</v>
      </c>
      <c r="Y24" s="8" t="s">
        <v>52</v>
      </c>
      <c r="Z24" s="8" t="s">
        <v>53</v>
      </c>
      <c r="AA24" s="8"/>
      <c r="AB24" s="8" t="s">
        <v>54</v>
      </c>
      <c r="AC24" s="8" t="s">
        <v>55</v>
      </c>
      <c r="AD24" s="8"/>
      <c r="AE24" s="8">
        <v>2028190494</v>
      </c>
      <c r="AF24" s="8" t="s">
        <v>56</v>
      </c>
      <c r="AG24" s="8" t="s">
        <v>57</v>
      </c>
      <c r="AH24" s="8" t="s">
        <v>58</v>
      </c>
      <c r="AI24" s="8" t="s">
        <v>56</v>
      </c>
      <c r="AJ24" s="8" t="s">
        <v>57</v>
      </c>
      <c r="AK24" s="11" t="s">
        <v>58</v>
      </c>
      <c r="AL24" s="11" t="str">
        <f>IF($M24="DR", IF($O24="","",$O24), IF($X24="","",$X24))</f>
        <v>LEADIQ SUB* LEADIQ SUB</v>
      </c>
    </row>
    <row r="25" spans="1:38" ht="29" x14ac:dyDescent="0.35">
      <c r="A25" s="4">
        <v>2035684443</v>
      </c>
      <c r="B25" s="4" t="s">
        <v>59</v>
      </c>
      <c r="C25" s="4"/>
      <c r="D25" s="4"/>
      <c r="E25" s="4"/>
      <c r="F25" s="4" t="s">
        <v>75</v>
      </c>
      <c r="G25" s="4" t="s">
        <v>105</v>
      </c>
      <c r="H25" s="4" t="s">
        <v>43</v>
      </c>
      <c r="I25" s="4" t="s">
        <v>44</v>
      </c>
      <c r="J25" s="4" t="s">
        <v>45</v>
      </c>
      <c r="K25" s="5">
        <v>149</v>
      </c>
      <c r="L25" s="6">
        <v>45985</v>
      </c>
      <c r="M25" s="4" t="s">
        <v>46</v>
      </c>
      <c r="N25" s="4" t="s">
        <v>87</v>
      </c>
      <c r="O25" s="4" t="s">
        <v>88</v>
      </c>
      <c r="P25" s="4"/>
      <c r="Q25" s="4" t="s">
        <v>88</v>
      </c>
      <c r="R25" s="4"/>
      <c r="S25" s="4" t="s">
        <v>64</v>
      </c>
      <c r="T25" s="4" t="s">
        <v>55</v>
      </c>
      <c r="U25" s="4" t="s">
        <v>50</v>
      </c>
      <c r="V25" s="4"/>
      <c r="W25" s="4" t="s">
        <v>75</v>
      </c>
      <c r="X25" s="4" t="s">
        <v>51</v>
      </c>
      <c r="Y25" s="4" t="s">
        <v>52</v>
      </c>
      <c r="Z25" s="4" t="s">
        <v>53</v>
      </c>
      <c r="AA25" s="4"/>
      <c r="AB25" s="4" t="s">
        <v>54</v>
      </c>
      <c r="AC25" s="4" t="s">
        <v>55</v>
      </c>
      <c r="AD25" s="4"/>
      <c r="AE25" s="4">
        <v>2035684443</v>
      </c>
      <c r="AF25" s="4" t="s">
        <v>56</v>
      </c>
      <c r="AG25" s="4" t="s">
        <v>57</v>
      </c>
      <c r="AH25" s="4" t="s">
        <v>58</v>
      </c>
      <c r="AI25" s="4" t="s">
        <v>56</v>
      </c>
      <c r="AJ25" s="4" t="s">
        <v>57</v>
      </c>
      <c r="AK25" s="7" t="s">
        <v>58</v>
      </c>
      <c r="AL25" s="7" t="str">
        <f>IF($M25="DR", IF($O25="","",$O25), IF($X25="","",$X25))</f>
        <v>CLAY LABS INC</v>
      </c>
    </row>
    <row r="26" spans="1:38" ht="29" x14ac:dyDescent="0.35">
      <c r="A26" s="8">
        <v>2041396592</v>
      </c>
      <c r="B26" s="8" t="s">
        <v>59</v>
      </c>
      <c r="C26" s="8"/>
      <c r="D26" s="8"/>
      <c r="E26" s="8"/>
      <c r="F26" s="8" t="s">
        <v>69</v>
      </c>
      <c r="G26" s="8" t="s">
        <v>106</v>
      </c>
      <c r="H26" s="8" t="s">
        <v>43</v>
      </c>
      <c r="I26" s="8" t="s">
        <v>44</v>
      </c>
      <c r="J26" s="8" t="s">
        <v>45</v>
      </c>
      <c r="K26" s="9">
        <v>1616.24</v>
      </c>
      <c r="L26" s="10">
        <v>45989</v>
      </c>
      <c r="M26" s="8" t="s">
        <v>46</v>
      </c>
      <c r="N26" s="8">
        <v>50300000009944</v>
      </c>
      <c r="O26" s="8" t="s">
        <v>107</v>
      </c>
      <c r="P26" s="8"/>
      <c r="Q26" s="8" t="s">
        <v>107</v>
      </c>
      <c r="R26" s="8"/>
      <c r="S26" s="8" t="s">
        <v>64</v>
      </c>
      <c r="T26" s="8" t="s">
        <v>55</v>
      </c>
      <c r="U26" s="8" t="s">
        <v>50</v>
      </c>
      <c r="V26" s="8"/>
      <c r="W26" s="8" t="s">
        <v>69</v>
      </c>
      <c r="X26" s="8" t="s">
        <v>51</v>
      </c>
      <c r="Y26" s="8" t="s">
        <v>52</v>
      </c>
      <c r="Z26" s="8" t="s">
        <v>53</v>
      </c>
      <c r="AA26" s="8"/>
      <c r="AB26" s="8" t="s">
        <v>54</v>
      </c>
      <c r="AC26" s="8" t="s">
        <v>55</v>
      </c>
      <c r="AD26" s="8"/>
      <c r="AE26" s="8">
        <v>2041396592</v>
      </c>
      <c r="AF26" s="8" t="s">
        <v>56</v>
      </c>
      <c r="AG26" s="8" t="s">
        <v>57</v>
      </c>
      <c r="AH26" s="8" t="s">
        <v>58</v>
      </c>
      <c r="AI26" s="8" t="s">
        <v>56</v>
      </c>
      <c r="AJ26" s="8" t="s">
        <v>57</v>
      </c>
      <c r="AK26" s="11" t="s">
        <v>58</v>
      </c>
      <c r="AL26" s="11" t="str">
        <f>IF($M26="DR", IF($O26="","",$O26), IF($X26="","",$X26))</f>
        <v>BESTBUYCOM807112975695</v>
      </c>
    </row>
    <row r="27" spans="1:38" ht="29" x14ac:dyDescent="0.35">
      <c r="A27" s="4">
        <v>2050081074</v>
      </c>
      <c r="B27" s="4" t="s">
        <v>59</v>
      </c>
      <c r="C27" s="4"/>
      <c r="D27" s="4"/>
      <c r="E27" s="4"/>
      <c r="F27" s="4" t="s">
        <v>65</v>
      </c>
      <c r="G27" s="4" t="s">
        <v>108</v>
      </c>
      <c r="H27" s="4" t="s">
        <v>43</v>
      </c>
      <c r="I27" s="4" t="s">
        <v>44</v>
      </c>
      <c r="J27" s="4" t="s">
        <v>45</v>
      </c>
      <c r="K27" s="5">
        <v>29</v>
      </c>
      <c r="L27" s="6">
        <v>45993</v>
      </c>
      <c r="M27" s="4" t="s">
        <v>46</v>
      </c>
      <c r="N27" s="4" t="s">
        <v>67</v>
      </c>
      <c r="O27" s="4" t="s">
        <v>68</v>
      </c>
      <c r="P27" s="4"/>
      <c r="Q27" s="4" t="s">
        <v>68</v>
      </c>
      <c r="R27" s="4"/>
      <c r="S27" s="4" t="s">
        <v>64</v>
      </c>
      <c r="T27" s="4" t="s">
        <v>55</v>
      </c>
      <c r="U27" s="4" t="s">
        <v>50</v>
      </c>
      <c r="V27" s="4"/>
      <c r="W27" s="4" t="s">
        <v>65</v>
      </c>
      <c r="X27" s="4" t="s">
        <v>51</v>
      </c>
      <c r="Y27" s="4" t="s">
        <v>52</v>
      </c>
      <c r="Z27" s="4" t="s">
        <v>53</v>
      </c>
      <c r="AA27" s="4"/>
      <c r="AB27" s="4" t="s">
        <v>54</v>
      </c>
      <c r="AC27" s="4" t="s">
        <v>55</v>
      </c>
      <c r="AD27" s="4"/>
      <c r="AE27" s="4">
        <v>2050081074</v>
      </c>
      <c r="AF27" s="4" t="s">
        <v>56</v>
      </c>
      <c r="AG27" s="4" t="s">
        <v>57</v>
      </c>
      <c r="AH27" s="4" t="s">
        <v>58</v>
      </c>
      <c r="AI27" s="4"/>
      <c r="AJ27" s="4"/>
      <c r="AK27" s="7"/>
      <c r="AL27" s="7" t="str">
        <f>IF($M27="DR", IF($O27="","",$O27), IF($X27="","",$X27))</f>
        <v>WEBFLOW.COM</v>
      </c>
    </row>
    <row r="28" spans="1:38" ht="29" x14ac:dyDescent="0.35">
      <c r="A28" s="8">
        <v>2051340952</v>
      </c>
      <c r="B28" s="8" t="s">
        <v>38</v>
      </c>
      <c r="C28" s="8">
        <v>2257336</v>
      </c>
      <c r="D28" s="8" t="s">
        <v>39</v>
      </c>
      <c r="E28" s="8" t="s">
        <v>40</v>
      </c>
      <c r="F28" s="8" t="s">
        <v>69</v>
      </c>
      <c r="G28" s="8" t="s">
        <v>109</v>
      </c>
      <c r="H28" s="8" t="s">
        <v>43</v>
      </c>
      <c r="I28" s="8" t="s">
        <v>44</v>
      </c>
      <c r="J28" s="8" t="s">
        <v>45</v>
      </c>
      <c r="K28" s="9">
        <v>3939</v>
      </c>
      <c r="L28" s="10">
        <v>45994</v>
      </c>
      <c r="M28" s="8" t="s">
        <v>46</v>
      </c>
      <c r="N28" s="8">
        <v>395711276353</v>
      </c>
      <c r="O28" s="8" t="s">
        <v>94</v>
      </c>
      <c r="P28" s="8"/>
      <c r="Q28" s="8" t="s">
        <v>94</v>
      </c>
      <c r="R28" s="8"/>
      <c r="S28" s="8" t="s">
        <v>64</v>
      </c>
      <c r="T28" s="8" t="s">
        <v>55</v>
      </c>
      <c r="U28" s="8" t="s">
        <v>50</v>
      </c>
      <c r="V28" s="8"/>
      <c r="W28" s="8" t="s">
        <v>69</v>
      </c>
      <c r="X28" s="8" t="s">
        <v>51</v>
      </c>
      <c r="Y28" s="8" t="s">
        <v>52</v>
      </c>
      <c r="Z28" s="8" t="s">
        <v>53</v>
      </c>
      <c r="AA28" s="8"/>
      <c r="AB28" s="8" t="s">
        <v>54</v>
      </c>
      <c r="AC28" s="8" t="s">
        <v>55</v>
      </c>
      <c r="AD28" s="8"/>
      <c r="AE28" s="8">
        <v>2051340952</v>
      </c>
      <c r="AF28" s="8" t="s">
        <v>56</v>
      </c>
      <c r="AG28" s="8" t="s">
        <v>57</v>
      </c>
      <c r="AH28" s="8" t="s">
        <v>58</v>
      </c>
      <c r="AI28" s="8"/>
      <c r="AJ28" s="8"/>
      <c r="AK28" s="11"/>
      <c r="AL28" s="11" t="str">
        <f>IF($M28="DR", IF($O28="","",$O28), IF($X28="","",$X28))</f>
        <v>YWW*WeWork 44MontgomeryS</v>
      </c>
    </row>
    <row r="29" spans="1:38" ht="29" x14ac:dyDescent="0.35">
      <c r="A29" s="4">
        <v>2051349898</v>
      </c>
      <c r="B29" s="4" t="s">
        <v>59</v>
      </c>
      <c r="C29" s="4"/>
      <c r="D29" s="4"/>
      <c r="E29" s="4"/>
      <c r="F29" s="4" t="s">
        <v>110</v>
      </c>
      <c r="G29" s="4" t="s">
        <v>111</v>
      </c>
      <c r="H29" s="4" t="s">
        <v>43</v>
      </c>
      <c r="I29" s="4" t="s">
        <v>44</v>
      </c>
      <c r="J29" s="4" t="s">
        <v>45</v>
      </c>
      <c r="K29" s="5">
        <v>50</v>
      </c>
      <c r="L29" s="6">
        <v>45994</v>
      </c>
      <c r="M29" s="4" t="s">
        <v>46</v>
      </c>
      <c r="N29" s="4" t="s">
        <v>112</v>
      </c>
      <c r="O29" s="4" t="s">
        <v>113</v>
      </c>
      <c r="P29" s="4"/>
      <c r="Q29" s="4" t="s">
        <v>113</v>
      </c>
      <c r="R29" s="4"/>
      <c r="S29" s="4" t="s">
        <v>64</v>
      </c>
      <c r="T29" s="4" t="s">
        <v>55</v>
      </c>
      <c r="U29" s="4" t="s">
        <v>50</v>
      </c>
      <c r="V29" s="4"/>
      <c r="W29" s="4" t="s">
        <v>110</v>
      </c>
      <c r="X29" s="4" t="s">
        <v>51</v>
      </c>
      <c r="Y29" s="4" t="s">
        <v>52</v>
      </c>
      <c r="Z29" s="4" t="s">
        <v>53</v>
      </c>
      <c r="AA29" s="4"/>
      <c r="AB29" s="4" t="s">
        <v>54</v>
      </c>
      <c r="AC29" s="4" t="s">
        <v>55</v>
      </c>
      <c r="AD29" s="4"/>
      <c r="AE29" s="4">
        <v>2051349898</v>
      </c>
      <c r="AF29" s="4" t="s">
        <v>56</v>
      </c>
      <c r="AG29" s="4" t="s">
        <v>57</v>
      </c>
      <c r="AH29" s="4" t="s">
        <v>58</v>
      </c>
      <c r="AI29" s="4"/>
      <c r="AJ29" s="4"/>
      <c r="AK29" s="7"/>
      <c r="AL29" s="7" t="str">
        <f>IF($M29="DR", IF($O29="","",$O29), IF($X29="","",$X29))</f>
        <v>FAL FEATURES LABELS</v>
      </c>
    </row>
    <row r="30" spans="1:38" ht="29" x14ac:dyDescent="0.35">
      <c r="A30" s="8">
        <v>2059092226</v>
      </c>
      <c r="B30" s="8" t="s">
        <v>59</v>
      </c>
      <c r="C30" s="8"/>
      <c r="D30" s="8"/>
      <c r="E30" s="8"/>
      <c r="F30" s="8" t="s">
        <v>65</v>
      </c>
      <c r="G30" s="8" t="s">
        <v>114</v>
      </c>
      <c r="H30" s="8" t="s">
        <v>43</v>
      </c>
      <c r="I30" s="8" t="s">
        <v>44</v>
      </c>
      <c r="J30" s="8" t="s">
        <v>45</v>
      </c>
      <c r="K30" s="9">
        <v>29</v>
      </c>
      <c r="L30" s="10">
        <v>45999</v>
      </c>
      <c r="M30" s="8" t="s">
        <v>46</v>
      </c>
      <c r="N30" s="8" t="s">
        <v>67</v>
      </c>
      <c r="O30" s="8" t="s">
        <v>68</v>
      </c>
      <c r="P30" s="8"/>
      <c r="Q30" s="8" t="s">
        <v>68</v>
      </c>
      <c r="R30" s="8"/>
      <c r="S30" s="8" t="s">
        <v>64</v>
      </c>
      <c r="T30" s="8" t="s">
        <v>55</v>
      </c>
      <c r="U30" s="8" t="s">
        <v>50</v>
      </c>
      <c r="V30" s="8"/>
      <c r="W30" s="8" t="s">
        <v>65</v>
      </c>
      <c r="X30" s="8" t="s">
        <v>51</v>
      </c>
      <c r="Y30" s="8" t="s">
        <v>52</v>
      </c>
      <c r="Z30" s="8" t="s">
        <v>53</v>
      </c>
      <c r="AA30" s="8"/>
      <c r="AB30" s="8" t="s">
        <v>54</v>
      </c>
      <c r="AC30" s="8" t="s">
        <v>55</v>
      </c>
      <c r="AD30" s="8"/>
      <c r="AE30" s="8">
        <v>2059092226</v>
      </c>
      <c r="AF30" s="8" t="s">
        <v>56</v>
      </c>
      <c r="AG30" s="8" t="s">
        <v>57</v>
      </c>
      <c r="AH30" s="8" t="s">
        <v>58</v>
      </c>
      <c r="AI30" s="8"/>
      <c r="AJ30" s="8"/>
      <c r="AK30" s="11"/>
      <c r="AL30" s="11" t="str">
        <f>IF($M30="DR", IF($O30="","",$O30), IF($X30="","",$X30))</f>
        <v>WEBFLOW.COM</v>
      </c>
    </row>
    <row r="31" spans="1:38" ht="29" x14ac:dyDescent="0.35">
      <c r="A31" s="4">
        <v>2071646841</v>
      </c>
      <c r="B31" s="4" t="s">
        <v>59</v>
      </c>
      <c r="C31" s="4"/>
      <c r="D31" s="4"/>
      <c r="E31" s="4"/>
      <c r="F31" s="4" t="s">
        <v>65</v>
      </c>
      <c r="G31" s="4" t="s">
        <v>115</v>
      </c>
      <c r="H31" s="4" t="s">
        <v>43</v>
      </c>
      <c r="I31" s="4" t="s">
        <v>44</v>
      </c>
      <c r="J31" s="4" t="s">
        <v>45</v>
      </c>
      <c r="K31" s="5">
        <v>24</v>
      </c>
      <c r="L31" s="6">
        <v>46007</v>
      </c>
      <c r="M31" s="4" t="s">
        <v>46</v>
      </c>
      <c r="N31" s="4" t="s">
        <v>67</v>
      </c>
      <c r="O31" s="4" t="s">
        <v>68</v>
      </c>
      <c r="P31" s="4"/>
      <c r="Q31" s="4" t="s">
        <v>68</v>
      </c>
      <c r="R31" s="4"/>
      <c r="S31" s="4" t="s">
        <v>64</v>
      </c>
      <c r="T31" s="4" t="s">
        <v>55</v>
      </c>
      <c r="U31" s="4" t="s">
        <v>50</v>
      </c>
      <c r="V31" s="4"/>
      <c r="W31" s="4" t="s">
        <v>65</v>
      </c>
      <c r="X31" s="4" t="s">
        <v>51</v>
      </c>
      <c r="Y31" s="4" t="s">
        <v>52</v>
      </c>
      <c r="Z31" s="4" t="s">
        <v>53</v>
      </c>
      <c r="AA31" s="4"/>
      <c r="AB31" s="4" t="s">
        <v>54</v>
      </c>
      <c r="AC31" s="4" t="s">
        <v>55</v>
      </c>
      <c r="AD31" s="4"/>
      <c r="AE31" s="4">
        <v>2071646841</v>
      </c>
      <c r="AF31" s="4" t="s">
        <v>56</v>
      </c>
      <c r="AG31" s="4" t="s">
        <v>57</v>
      </c>
      <c r="AH31" s="4" t="s">
        <v>58</v>
      </c>
      <c r="AI31" s="4"/>
      <c r="AJ31" s="4"/>
      <c r="AK31" s="7"/>
      <c r="AL31" s="7" t="str">
        <f>IF($M31="DR", IF($O31="","",$O31), IF($X31="","",$X31))</f>
        <v>WEBFLOW.COM</v>
      </c>
    </row>
    <row r="32" spans="1:38" ht="29" x14ac:dyDescent="0.35">
      <c r="A32" s="8">
        <v>2072853946</v>
      </c>
      <c r="B32" s="8" t="s">
        <v>59</v>
      </c>
      <c r="C32" s="8"/>
      <c r="D32" s="8"/>
      <c r="E32" s="8"/>
      <c r="F32" s="8" t="s">
        <v>75</v>
      </c>
      <c r="G32" s="8" t="s">
        <v>116</v>
      </c>
      <c r="H32" s="8" t="s">
        <v>43</v>
      </c>
      <c r="I32" s="8" t="s">
        <v>44</v>
      </c>
      <c r="J32" s="8" t="s">
        <v>45</v>
      </c>
      <c r="K32" s="9">
        <v>149</v>
      </c>
      <c r="L32" s="10">
        <v>46008</v>
      </c>
      <c r="M32" s="8" t="s">
        <v>46</v>
      </c>
      <c r="N32" s="8" t="s">
        <v>77</v>
      </c>
      <c r="O32" s="8" t="s">
        <v>78</v>
      </c>
      <c r="P32" s="8"/>
      <c r="Q32" s="8" t="s">
        <v>78</v>
      </c>
      <c r="R32" s="8"/>
      <c r="S32" s="8" t="s">
        <v>64</v>
      </c>
      <c r="T32" s="8" t="s">
        <v>55</v>
      </c>
      <c r="U32" s="8" t="s">
        <v>50</v>
      </c>
      <c r="V32" s="8"/>
      <c r="W32" s="8" t="s">
        <v>75</v>
      </c>
      <c r="X32" s="8" t="s">
        <v>51</v>
      </c>
      <c r="Y32" s="8" t="s">
        <v>52</v>
      </c>
      <c r="Z32" s="8" t="s">
        <v>53</v>
      </c>
      <c r="AA32" s="8"/>
      <c r="AB32" s="8" t="s">
        <v>54</v>
      </c>
      <c r="AC32" s="8" t="s">
        <v>55</v>
      </c>
      <c r="AD32" s="8"/>
      <c r="AE32" s="8">
        <v>2072853946</v>
      </c>
      <c r="AF32" s="8" t="s">
        <v>56</v>
      </c>
      <c r="AG32" s="8" t="s">
        <v>57</v>
      </c>
      <c r="AH32" s="8" t="s">
        <v>58</v>
      </c>
      <c r="AI32" s="8"/>
      <c r="AJ32" s="8"/>
      <c r="AK32" s="11"/>
      <c r="AL32" s="11" t="str">
        <f>IF($M32="DR", IF($O32="","",$O32), IF($X32="","",$X32))</f>
        <v>RB2B PRO</v>
      </c>
    </row>
    <row r="33" spans="1:38" ht="29" x14ac:dyDescent="0.35">
      <c r="A33" s="4">
        <v>2074141628</v>
      </c>
      <c r="B33" s="4" t="s">
        <v>59</v>
      </c>
      <c r="C33" s="4"/>
      <c r="D33" s="4"/>
      <c r="E33" s="4"/>
      <c r="F33" s="4" t="s">
        <v>69</v>
      </c>
      <c r="G33" s="4" t="s">
        <v>117</v>
      </c>
      <c r="H33" s="4" t="s">
        <v>43</v>
      </c>
      <c r="I33" s="4" t="s">
        <v>44</v>
      </c>
      <c r="J33" s="4" t="s">
        <v>45</v>
      </c>
      <c r="K33" s="5">
        <v>300</v>
      </c>
      <c r="L33" s="6">
        <v>46009</v>
      </c>
      <c r="M33" s="4" t="s">
        <v>46</v>
      </c>
      <c r="N33" s="4" t="s">
        <v>80</v>
      </c>
      <c r="O33" s="4" t="s">
        <v>81</v>
      </c>
      <c r="P33" s="4"/>
      <c r="Q33" s="4" t="s">
        <v>81</v>
      </c>
      <c r="R33" s="4"/>
      <c r="S33" s="4" t="s">
        <v>64</v>
      </c>
      <c r="T33" s="4" t="s">
        <v>55</v>
      </c>
      <c r="U33" s="4" t="s">
        <v>50</v>
      </c>
      <c r="V33" s="4"/>
      <c r="W33" s="4" t="s">
        <v>69</v>
      </c>
      <c r="X33" s="4" t="s">
        <v>51</v>
      </c>
      <c r="Y33" s="4" t="s">
        <v>52</v>
      </c>
      <c r="Z33" s="4" t="s">
        <v>53</v>
      </c>
      <c r="AA33" s="4"/>
      <c r="AB33" s="4" t="s">
        <v>54</v>
      </c>
      <c r="AC33" s="4" t="s">
        <v>55</v>
      </c>
      <c r="AD33" s="4"/>
      <c r="AE33" s="4">
        <v>2074141628</v>
      </c>
      <c r="AF33" s="4" t="s">
        <v>56</v>
      </c>
      <c r="AG33" s="4" t="s">
        <v>57</v>
      </c>
      <c r="AH33" s="4" t="s">
        <v>58</v>
      </c>
      <c r="AI33" s="4"/>
      <c r="AJ33" s="4"/>
      <c r="AK33" s="7"/>
      <c r="AL33" s="7" t="str">
        <f>IF($M33="DR", IF($O33="","",$O33), IF($X33="","",$X33))</f>
        <v>DROPBOX DOCSEND</v>
      </c>
    </row>
    <row r="34" spans="1:38" ht="29" x14ac:dyDescent="0.35">
      <c r="A34" s="8">
        <v>2075482077</v>
      </c>
      <c r="B34" s="8" t="s">
        <v>59</v>
      </c>
      <c r="C34" s="8"/>
      <c r="D34" s="8"/>
      <c r="E34" s="8"/>
      <c r="F34" s="8" t="s">
        <v>75</v>
      </c>
      <c r="G34" s="8" t="s">
        <v>118</v>
      </c>
      <c r="H34" s="8" t="s">
        <v>43</v>
      </c>
      <c r="I34" s="8" t="s">
        <v>44</v>
      </c>
      <c r="J34" s="8" t="s">
        <v>45</v>
      </c>
      <c r="K34" s="9">
        <v>94</v>
      </c>
      <c r="L34" s="10">
        <v>46010</v>
      </c>
      <c r="M34" s="8" t="s">
        <v>46</v>
      </c>
      <c r="N34" s="8" t="s">
        <v>83</v>
      </c>
      <c r="O34" s="8" t="s">
        <v>84</v>
      </c>
      <c r="P34" s="8"/>
      <c r="Q34" s="8" t="s">
        <v>84</v>
      </c>
      <c r="R34" s="8"/>
      <c r="S34" s="8" t="s">
        <v>64</v>
      </c>
      <c r="T34" s="8" t="s">
        <v>55</v>
      </c>
      <c r="U34" s="8" t="s">
        <v>50</v>
      </c>
      <c r="V34" s="8"/>
      <c r="W34" s="8" t="s">
        <v>75</v>
      </c>
      <c r="X34" s="8" t="s">
        <v>51</v>
      </c>
      <c r="Y34" s="8" t="s">
        <v>52</v>
      </c>
      <c r="Z34" s="8" t="s">
        <v>53</v>
      </c>
      <c r="AA34" s="8"/>
      <c r="AB34" s="8" t="s">
        <v>54</v>
      </c>
      <c r="AC34" s="8" t="s">
        <v>55</v>
      </c>
      <c r="AD34" s="8"/>
      <c r="AE34" s="8">
        <v>2075482077</v>
      </c>
      <c r="AF34" s="8" t="s">
        <v>56</v>
      </c>
      <c r="AG34" s="8" t="s">
        <v>57</v>
      </c>
      <c r="AH34" s="8" t="s">
        <v>58</v>
      </c>
      <c r="AI34" s="8"/>
      <c r="AJ34" s="8"/>
      <c r="AK34" s="11"/>
      <c r="AL34" s="11" t="str">
        <f>IF($M34="DR", IF($O34="","",$O34), IF($X34="","",$X34))</f>
        <v>LEADIQ SUB* LEADIQ SUB</v>
      </c>
    </row>
    <row r="35" spans="1:38" ht="29" x14ac:dyDescent="0.35">
      <c r="A35" s="4">
        <v>2084014795</v>
      </c>
      <c r="B35" s="4" t="s">
        <v>59</v>
      </c>
      <c r="C35" s="4"/>
      <c r="D35" s="4"/>
      <c r="E35" s="4"/>
      <c r="F35" s="4" t="s">
        <v>75</v>
      </c>
      <c r="G35" s="4" t="s">
        <v>119</v>
      </c>
      <c r="H35" s="4" t="s">
        <v>43</v>
      </c>
      <c r="I35" s="4" t="s">
        <v>44</v>
      </c>
      <c r="J35" s="4" t="s">
        <v>45</v>
      </c>
      <c r="K35" s="5">
        <v>149</v>
      </c>
      <c r="L35" s="6">
        <v>46015</v>
      </c>
      <c r="M35" s="4" t="s">
        <v>46</v>
      </c>
      <c r="N35" s="4" t="s">
        <v>87</v>
      </c>
      <c r="O35" s="4" t="s">
        <v>88</v>
      </c>
      <c r="P35" s="4"/>
      <c r="Q35" s="4" t="s">
        <v>88</v>
      </c>
      <c r="R35" s="4"/>
      <c r="S35" s="4" t="s">
        <v>64</v>
      </c>
      <c r="T35" s="4" t="s">
        <v>55</v>
      </c>
      <c r="U35" s="4" t="s">
        <v>50</v>
      </c>
      <c r="V35" s="4"/>
      <c r="W35" s="4" t="s">
        <v>75</v>
      </c>
      <c r="X35" s="4" t="s">
        <v>51</v>
      </c>
      <c r="Y35" s="4" t="s">
        <v>52</v>
      </c>
      <c r="Z35" s="4" t="s">
        <v>53</v>
      </c>
      <c r="AA35" s="4"/>
      <c r="AB35" s="4" t="s">
        <v>54</v>
      </c>
      <c r="AC35" s="4" t="s">
        <v>55</v>
      </c>
      <c r="AD35" s="4"/>
      <c r="AE35" s="4">
        <v>2084014795</v>
      </c>
      <c r="AF35" s="4" t="s">
        <v>56</v>
      </c>
      <c r="AG35" s="4" t="s">
        <v>57</v>
      </c>
      <c r="AH35" s="4" t="s">
        <v>58</v>
      </c>
      <c r="AI35" s="4"/>
      <c r="AJ35" s="4"/>
      <c r="AK35" s="7"/>
      <c r="AL35" s="7" t="str">
        <f>IF($M35="DR", IF($O35="","",$O35), IF($X35="","",$X35))</f>
        <v>CLAY LABS INC</v>
      </c>
    </row>
    <row r="36" spans="1:38" ht="29" x14ac:dyDescent="0.35">
      <c r="A36" s="8">
        <v>2108718849</v>
      </c>
      <c r="B36" s="8" t="s">
        <v>59</v>
      </c>
      <c r="C36" s="8"/>
      <c r="D36" s="8"/>
      <c r="E36" s="8"/>
      <c r="F36" s="8" t="s">
        <v>69</v>
      </c>
      <c r="G36" s="8" t="s">
        <v>120</v>
      </c>
      <c r="H36" s="8" t="s">
        <v>43</v>
      </c>
      <c r="I36" s="8" t="s">
        <v>44</v>
      </c>
      <c r="J36" s="8" t="s">
        <v>45</v>
      </c>
      <c r="K36" s="9">
        <v>500</v>
      </c>
      <c r="L36" s="10">
        <v>46030</v>
      </c>
      <c r="M36" s="8" t="s">
        <v>46</v>
      </c>
      <c r="N36" s="8" t="s">
        <v>121</v>
      </c>
      <c r="O36" s="8" t="s">
        <v>122</v>
      </c>
      <c r="P36" s="8"/>
      <c r="Q36" s="8" t="s">
        <v>122</v>
      </c>
      <c r="R36" s="8"/>
      <c r="S36" s="8" t="s">
        <v>64</v>
      </c>
      <c r="T36" s="8" t="s">
        <v>55</v>
      </c>
      <c r="U36" s="8" t="s">
        <v>50</v>
      </c>
      <c r="V36" s="8"/>
      <c r="W36" s="8" t="s">
        <v>69</v>
      </c>
      <c r="X36" s="8" t="s">
        <v>51</v>
      </c>
      <c r="Y36" s="8" t="s">
        <v>52</v>
      </c>
      <c r="Z36" s="8" t="s">
        <v>53</v>
      </c>
      <c r="AA36" s="8"/>
      <c r="AB36" s="8" t="s">
        <v>54</v>
      </c>
      <c r="AC36" s="8" t="s">
        <v>55</v>
      </c>
      <c r="AD36" s="8"/>
      <c r="AE36" s="8">
        <v>2108718849</v>
      </c>
      <c r="AF36" s="8" t="s">
        <v>56</v>
      </c>
      <c r="AG36" s="8" t="s">
        <v>57</v>
      </c>
      <c r="AH36" s="8" t="s">
        <v>58</v>
      </c>
      <c r="AI36" s="8"/>
      <c r="AJ36" s="8"/>
      <c r="AK36" s="11"/>
      <c r="AL36" s="11" t="str">
        <f>IF($M36="DR", IF($O36="","",$O36), IF($X36="","",$X36))</f>
        <v>PARAFORM.COM</v>
      </c>
    </row>
    <row r="37" spans="1:38" ht="29" x14ac:dyDescent="0.35">
      <c r="A37" s="4">
        <v>2108736531</v>
      </c>
      <c r="B37" s="4" t="s">
        <v>59</v>
      </c>
      <c r="C37" s="4"/>
      <c r="D37" s="4"/>
      <c r="E37" s="4"/>
      <c r="F37" s="4" t="s">
        <v>69</v>
      </c>
      <c r="G37" s="4" t="s">
        <v>123</v>
      </c>
      <c r="H37" s="4" t="s">
        <v>43</v>
      </c>
      <c r="I37" s="4" t="s">
        <v>44</v>
      </c>
      <c r="J37" s="4" t="s">
        <v>45</v>
      </c>
      <c r="K37" s="5">
        <v>339</v>
      </c>
      <c r="L37" s="6">
        <v>46030</v>
      </c>
      <c r="M37" s="4" t="s">
        <v>46</v>
      </c>
      <c r="N37" s="4">
        <v>395711276353</v>
      </c>
      <c r="O37" s="4" t="s">
        <v>94</v>
      </c>
      <c r="P37" s="4"/>
      <c r="Q37" s="4" t="s">
        <v>94</v>
      </c>
      <c r="R37" s="4"/>
      <c r="S37" s="4" t="s">
        <v>64</v>
      </c>
      <c r="T37" s="4" t="s">
        <v>55</v>
      </c>
      <c r="U37" s="4" t="s">
        <v>50</v>
      </c>
      <c r="V37" s="4"/>
      <c r="W37" s="4" t="s">
        <v>69</v>
      </c>
      <c r="X37" s="4" t="s">
        <v>51</v>
      </c>
      <c r="Y37" s="4" t="s">
        <v>52</v>
      </c>
      <c r="Z37" s="4" t="s">
        <v>53</v>
      </c>
      <c r="AA37" s="4"/>
      <c r="AB37" s="4" t="s">
        <v>54</v>
      </c>
      <c r="AC37" s="4" t="s">
        <v>55</v>
      </c>
      <c r="AD37" s="4"/>
      <c r="AE37" s="4">
        <v>2108736531</v>
      </c>
      <c r="AF37" s="4" t="s">
        <v>56</v>
      </c>
      <c r="AG37" s="4" t="s">
        <v>57</v>
      </c>
      <c r="AH37" s="4" t="s">
        <v>58</v>
      </c>
      <c r="AI37" s="4"/>
      <c r="AJ37" s="4"/>
      <c r="AK37" s="7"/>
      <c r="AL37" s="7" t="str">
        <f>IF($M37="DR", IF($O37="","",$O37), IF($X37="","",$X37))</f>
        <v>YWW*WeWork 44MontgomeryS</v>
      </c>
    </row>
    <row r="38" spans="1:38" ht="29" x14ac:dyDescent="0.35">
      <c r="A38" s="8">
        <v>2110068835</v>
      </c>
      <c r="B38" s="8" t="s">
        <v>59</v>
      </c>
      <c r="C38" s="8"/>
      <c r="D38" s="8"/>
      <c r="E38" s="8"/>
      <c r="F38" s="8" t="s">
        <v>65</v>
      </c>
      <c r="G38" s="8" t="s">
        <v>124</v>
      </c>
      <c r="H38" s="8" t="s">
        <v>43</v>
      </c>
      <c r="I38" s="8" t="s">
        <v>44</v>
      </c>
      <c r="J38" s="8" t="s">
        <v>45</v>
      </c>
      <c r="K38" s="9">
        <v>29</v>
      </c>
      <c r="L38" s="10">
        <v>46031</v>
      </c>
      <c r="M38" s="8" t="s">
        <v>46</v>
      </c>
      <c r="N38" s="8" t="s">
        <v>67</v>
      </c>
      <c r="O38" s="8" t="s">
        <v>68</v>
      </c>
      <c r="P38" s="8"/>
      <c r="Q38" s="8" t="s">
        <v>68</v>
      </c>
      <c r="R38" s="8"/>
      <c r="S38" s="8" t="s">
        <v>64</v>
      </c>
      <c r="T38" s="8" t="s">
        <v>55</v>
      </c>
      <c r="U38" s="8" t="s">
        <v>50</v>
      </c>
      <c r="V38" s="8"/>
      <c r="W38" s="8" t="s">
        <v>65</v>
      </c>
      <c r="X38" s="8" t="s">
        <v>51</v>
      </c>
      <c r="Y38" s="8" t="s">
        <v>52</v>
      </c>
      <c r="Z38" s="8" t="s">
        <v>53</v>
      </c>
      <c r="AA38" s="8"/>
      <c r="AB38" s="8" t="s">
        <v>54</v>
      </c>
      <c r="AC38" s="8" t="s">
        <v>55</v>
      </c>
      <c r="AD38" s="8"/>
      <c r="AE38" s="8">
        <v>2110068835</v>
      </c>
      <c r="AF38" s="8" t="s">
        <v>56</v>
      </c>
      <c r="AG38" s="8" t="s">
        <v>57</v>
      </c>
      <c r="AH38" s="8" t="s">
        <v>58</v>
      </c>
      <c r="AI38" s="8"/>
      <c r="AJ38" s="8"/>
      <c r="AK38" s="11"/>
      <c r="AL38" s="11" t="str">
        <f>IF($M38="DR", IF($O38="","",$O38), IF($X38="","",$X38))</f>
        <v>WEBFLOW.COM</v>
      </c>
    </row>
    <row r="39" spans="1:38" ht="29" x14ac:dyDescent="0.35">
      <c r="A39" s="4">
        <v>2120169353</v>
      </c>
      <c r="B39" s="4" t="s">
        <v>59</v>
      </c>
      <c r="C39" s="4"/>
      <c r="D39" s="4"/>
      <c r="E39" s="4"/>
      <c r="F39" s="4" t="s">
        <v>65</v>
      </c>
      <c r="G39" s="4" t="s">
        <v>125</v>
      </c>
      <c r="H39" s="4" t="s">
        <v>43</v>
      </c>
      <c r="I39" s="4" t="s">
        <v>44</v>
      </c>
      <c r="J39" s="4" t="s">
        <v>45</v>
      </c>
      <c r="K39" s="5">
        <v>24</v>
      </c>
      <c r="L39" s="6">
        <v>46038</v>
      </c>
      <c r="M39" s="4" t="s">
        <v>46</v>
      </c>
      <c r="N39" s="4" t="s">
        <v>67</v>
      </c>
      <c r="O39" s="4" t="s">
        <v>68</v>
      </c>
      <c r="P39" s="4"/>
      <c r="Q39" s="4" t="s">
        <v>68</v>
      </c>
      <c r="R39" s="4"/>
      <c r="S39" s="4" t="s">
        <v>64</v>
      </c>
      <c r="T39" s="4" t="s">
        <v>55</v>
      </c>
      <c r="U39" s="4" t="s">
        <v>50</v>
      </c>
      <c r="V39" s="4"/>
      <c r="W39" s="4" t="s">
        <v>65</v>
      </c>
      <c r="X39" s="4" t="s">
        <v>51</v>
      </c>
      <c r="Y39" s="4" t="s">
        <v>52</v>
      </c>
      <c r="Z39" s="4" t="s">
        <v>53</v>
      </c>
      <c r="AA39" s="4"/>
      <c r="AB39" s="4" t="s">
        <v>54</v>
      </c>
      <c r="AC39" s="4" t="s">
        <v>55</v>
      </c>
      <c r="AD39" s="4"/>
      <c r="AE39" s="4">
        <v>2120169353</v>
      </c>
      <c r="AF39" s="4" t="s">
        <v>56</v>
      </c>
      <c r="AG39" s="4" t="s">
        <v>57</v>
      </c>
      <c r="AH39" s="4" t="s">
        <v>58</v>
      </c>
      <c r="AI39" s="4"/>
      <c r="AJ39" s="4"/>
      <c r="AK39" s="7"/>
      <c r="AL39" s="7" t="str">
        <f>IF($M39="DR", IF($O39="","",$O39), IF($X39="","",$X39))</f>
        <v>WEBFLOW.COM</v>
      </c>
    </row>
    <row r="40" spans="1:38" ht="29" x14ac:dyDescent="0.35">
      <c r="A40" s="8">
        <v>2123298888</v>
      </c>
      <c r="B40" s="8" t="s">
        <v>59</v>
      </c>
      <c r="C40" s="8"/>
      <c r="D40" s="8"/>
      <c r="E40" s="8"/>
      <c r="F40" s="8" t="s">
        <v>69</v>
      </c>
      <c r="G40" s="8" t="s">
        <v>126</v>
      </c>
      <c r="H40" s="8" t="s">
        <v>43</v>
      </c>
      <c r="I40" s="8" t="s">
        <v>44</v>
      </c>
      <c r="J40" s="8" t="s">
        <v>45</v>
      </c>
      <c r="K40" s="9">
        <v>300</v>
      </c>
      <c r="L40" s="10">
        <v>46040</v>
      </c>
      <c r="M40" s="8" t="s">
        <v>46</v>
      </c>
      <c r="N40" s="8" t="s">
        <v>80</v>
      </c>
      <c r="O40" s="8" t="s">
        <v>81</v>
      </c>
      <c r="P40" s="8"/>
      <c r="Q40" s="8" t="s">
        <v>81</v>
      </c>
      <c r="R40" s="8"/>
      <c r="S40" s="8" t="s">
        <v>64</v>
      </c>
      <c r="T40" s="8" t="s">
        <v>55</v>
      </c>
      <c r="U40" s="8" t="s">
        <v>50</v>
      </c>
      <c r="V40" s="8"/>
      <c r="W40" s="8" t="s">
        <v>69</v>
      </c>
      <c r="X40" s="8" t="s">
        <v>51</v>
      </c>
      <c r="Y40" s="8" t="s">
        <v>52</v>
      </c>
      <c r="Z40" s="8" t="s">
        <v>53</v>
      </c>
      <c r="AA40" s="8"/>
      <c r="AB40" s="8" t="s">
        <v>54</v>
      </c>
      <c r="AC40" s="8" t="s">
        <v>55</v>
      </c>
      <c r="AD40" s="8"/>
      <c r="AE40" s="8">
        <v>2123298888</v>
      </c>
      <c r="AF40" s="8" t="s">
        <v>56</v>
      </c>
      <c r="AG40" s="8" t="s">
        <v>57</v>
      </c>
      <c r="AH40" s="8" t="s">
        <v>58</v>
      </c>
      <c r="AI40" s="8"/>
      <c r="AJ40" s="8"/>
      <c r="AK40" s="11"/>
      <c r="AL40" s="11" t="str">
        <f>IF($M40="DR", IF($O40="","",$O40), IF($X40="","",$X40))</f>
        <v>DROPBOX DOCSEND</v>
      </c>
    </row>
    <row r="41" spans="1:38" ht="29" x14ac:dyDescent="0.35">
      <c r="A41" s="4">
        <v>2123299120</v>
      </c>
      <c r="B41" s="4" t="s">
        <v>59</v>
      </c>
      <c r="C41" s="4"/>
      <c r="D41" s="4"/>
      <c r="E41" s="4"/>
      <c r="F41" s="4" t="s">
        <v>75</v>
      </c>
      <c r="G41" s="4" t="s">
        <v>127</v>
      </c>
      <c r="H41" s="4" t="s">
        <v>43</v>
      </c>
      <c r="I41" s="4" t="s">
        <v>44</v>
      </c>
      <c r="J41" s="4" t="s">
        <v>45</v>
      </c>
      <c r="K41" s="5">
        <v>234</v>
      </c>
      <c r="L41" s="6">
        <v>46040</v>
      </c>
      <c r="M41" s="4" t="s">
        <v>46</v>
      </c>
      <c r="N41" s="4" t="s">
        <v>77</v>
      </c>
      <c r="O41" s="4" t="s">
        <v>128</v>
      </c>
      <c r="P41" s="4"/>
      <c r="Q41" s="4" t="s">
        <v>128</v>
      </c>
      <c r="R41" s="4"/>
      <c r="S41" s="4" t="s">
        <v>64</v>
      </c>
      <c r="T41" s="4" t="s">
        <v>55</v>
      </c>
      <c r="U41" s="4" t="s">
        <v>50</v>
      </c>
      <c r="V41" s="4"/>
      <c r="W41" s="4" t="s">
        <v>75</v>
      </c>
      <c r="X41" s="4" t="s">
        <v>51</v>
      </c>
      <c r="Y41" s="4" t="s">
        <v>52</v>
      </c>
      <c r="Z41" s="4" t="s">
        <v>53</v>
      </c>
      <c r="AA41" s="4"/>
      <c r="AB41" s="4" t="s">
        <v>54</v>
      </c>
      <c r="AC41" s="4" t="s">
        <v>55</v>
      </c>
      <c r="AD41" s="4"/>
      <c r="AE41" s="4">
        <v>2123299120</v>
      </c>
      <c r="AF41" s="4" t="s">
        <v>56</v>
      </c>
      <c r="AG41" s="4" t="s">
        <v>57</v>
      </c>
      <c r="AH41" s="4" t="s">
        <v>58</v>
      </c>
      <c r="AI41" s="4"/>
      <c r="AJ41" s="4"/>
      <c r="AK41" s="7"/>
      <c r="AL41" s="7" t="str">
        <f>IF($M41="DR", IF($O41="","",$O41), IF($X41="","",$X41))</f>
        <v>RB2B.COM</v>
      </c>
    </row>
    <row r="42" spans="1:38" ht="29" x14ac:dyDescent="0.35">
      <c r="A42" s="8">
        <v>2132552706</v>
      </c>
      <c r="B42" s="8" t="s">
        <v>59</v>
      </c>
      <c r="C42" s="8"/>
      <c r="D42" s="8"/>
      <c r="E42" s="8"/>
      <c r="F42" s="8" t="s">
        <v>75</v>
      </c>
      <c r="G42" s="8" t="s">
        <v>129</v>
      </c>
      <c r="H42" s="8" t="s">
        <v>43</v>
      </c>
      <c r="I42" s="8" t="s">
        <v>44</v>
      </c>
      <c r="J42" s="8" t="s">
        <v>45</v>
      </c>
      <c r="K42" s="9">
        <v>149</v>
      </c>
      <c r="L42" s="10">
        <v>46046</v>
      </c>
      <c r="M42" s="8" t="s">
        <v>46</v>
      </c>
      <c r="N42" s="8" t="s">
        <v>87</v>
      </c>
      <c r="O42" s="8" t="s">
        <v>88</v>
      </c>
      <c r="P42" s="8"/>
      <c r="Q42" s="8" t="s">
        <v>88</v>
      </c>
      <c r="R42" s="8"/>
      <c r="S42" s="8" t="s">
        <v>64</v>
      </c>
      <c r="T42" s="8" t="s">
        <v>55</v>
      </c>
      <c r="U42" s="8" t="s">
        <v>50</v>
      </c>
      <c r="V42" s="8"/>
      <c r="W42" s="8" t="s">
        <v>75</v>
      </c>
      <c r="X42" s="8" t="s">
        <v>51</v>
      </c>
      <c r="Y42" s="8" t="s">
        <v>52</v>
      </c>
      <c r="Z42" s="8" t="s">
        <v>53</v>
      </c>
      <c r="AA42" s="8"/>
      <c r="AB42" s="8" t="s">
        <v>54</v>
      </c>
      <c r="AC42" s="8" t="s">
        <v>55</v>
      </c>
      <c r="AD42" s="8"/>
      <c r="AE42" s="8">
        <v>2132552706</v>
      </c>
      <c r="AF42" s="8" t="s">
        <v>56</v>
      </c>
      <c r="AG42" s="8" t="s">
        <v>57</v>
      </c>
      <c r="AH42" s="8" t="s">
        <v>58</v>
      </c>
      <c r="AI42" s="8"/>
      <c r="AJ42" s="8"/>
      <c r="AK42" s="11"/>
      <c r="AL42" s="11" t="str">
        <f>IF($M42="DR", IF($O42="","",$O42), IF($X42="","",$X42))</f>
        <v>CLAY LABS INC</v>
      </c>
    </row>
    <row r="43" spans="1:38" x14ac:dyDescent="0.35">
      <c r="A43" s="8">
        <v>2147425743</v>
      </c>
      <c r="B43" s="8" t="s">
        <v>59</v>
      </c>
      <c r="C43" s="8"/>
      <c r="D43" s="8"/>
      <c r="E43" s="8"/>
      <c r="F43" s="8" t="s">
        <v>69</v>
      </c>
      <c r="G43" s="8" t="s">
        <v>131</v>
      </c>
      <c r="H43" s="8" t="s">
        <v>43</v>
      </c>
      <c r="I43" s="8" t="s">
        <v>44</v>
      </c>
      <c r="J43" s="8" t="s">
        <v>45</v>
      </c>
      <c r="K43" s="9">
        <v>339</v>
      </c>
      <c r="L43" s="10">
        <v>46055</v>
      </c>
      <c r="M43" s="8" t="s">
        <v>46</v>
      </c>
      <c r="N43" s="8">
        <v>395711276353</v>
      </c>
      <c r="O43" s="8" t="s">
        <v>94</v>
      </c>
      <c r="P43" s="8"/>
      <c r="Q43" s="8" t="s">
        <v>94</v>
      </c>
      <c r="R43" s="8"/>
      <c r="S43" s="8" t="s">
        <v>64</v>
      </c>
      <c r="T43" s="8" t="s">
        <v>55</v>
      </c>
      <c r="U43" s="8" t="s">
        <v>50</v>
      </c>
      <c r="V43" s="8"/>
      <c r="W43" s="8" t="s">
        <v>69</v>
      </c>
      <c r="X43" s="8" t="s">
        <v>51</v>
      </c>
      <c r="Y43" s="8" t="s">
        <v>52</v>
      </c>
      <c r="Z43" s="8" t="s">
        <v>53</v>
      </c>
      <c r="AA43" s="8"/>
      <c r="AB43" s="8" t="s">
        <v>54</v>
      </c>
      <c r="AC43" s="8" t="s">
        <v>55</v>
      </c>
      <c r="AD43" s="8"/>
      <c r="AE43" s="8">
        <v>2147425743</v>
      </c>
      <c r="AF43" s="8" t="s">
        <v>56</v>
      </c>
      <c r="AG43" s="8" t="s">
        <v>57</v>
      </c>
      <c r="AH43" s="8" t="s">
        <v>58</v>
      </c>
      <c r="AI43" s="8"/>
      <c r="AJ43" s="8"/>
      <c r="AK43" s="11"/>
      <c r="AL43" s="11" t="str">
        <f>IF($M43="DR", IF($O43="","",$O43), IF($X43="","",$X43))</f>
        <v>YWW*WeWork 44MontgomeryS</v>
      </c>
    </row>
    <row r="44" spans="1:38" x14ac:dyDescent="0.35">
      <c r="A44" s="4">
        <v>2157802894</v>
      </c>
      <c r="B44" s="4" t="s">
        <v>59</v>
      </c>
      <c r="C44" s="4"/>
      <c r="D44" s="4"/>
      <c r="E44" s="4"/>
      <c r="F44" s="4" t="s">
        <v>65</v>
      </c>
      <c r="G44" s="4" t="s">
        <v>132</v>
      </c>
      <c r="H44" s="4" t="s">
        <v>43</v>
      </c>
      <c r="I44" s="4" t="s">
        <v>44</v>
      </c>
      <c r="J44" s="4" t="s">
        <v>45</v>
      </c>
      <c r="K44" s="5">
        <v>29</v>
      </c>
      <c r="L44" s="6">
        <v>46062</v>
      </c>
      <c r="M44" s="4" t="s">
        <v>46</v>
      </c>
      <c r="N44" s="4" t="s">
        <v>67</v>
      </c>
      <c r="O44" s="4" t="s">
        <v>68</v>
      </c>
      <c r="P44" s="4"/>
      <c r="Q44" s="4" t="s">
        <v>68</v>
      </c>
      <c r="R44" s="4"/>
      <c r="S44" s="4" t="s">
        <v>64</v>
      </c>
      <c r="T44" s="4" t="s">
        <v>55</v>
      </c>
      <c r="U44" s="4" t="s">
        <v>50</v>
      </c>
      <c r="V44" s="4"/>
      <c r="W44" s="4" t="s">
        <v>65</v>
      </c>
      <c r="X44" s="4" t="s">
        <v>51</v>
      </c>
      <c r="Y44" s="4" t="s">
        <v>52</v>
      </c>
      <c r="Z44" s="4" t="s">
        <v>53</v>
      </c>
      <c r="AA44" s="4"/>
      <c r="AB44" s="4" t="s">
        <v>54</v>
      </c>
      <c r="AC44" s="4" t="s">
        <v>55</v>
      </c>
      <c r="AD44" s="4"/>
      <c r="AE44" s="4">
        <v>2157802894</v>
      </c>
      <c r="AF44" s="4" t="s">
        <v>56</v>
      </c>
      <c r="AG44" s="4" t="s">
        <v>57</v>
      </c>
      <c r="AH44" s="4" t="s">
        <v>58</v>
      </c>
      <c r="AI44" s="4"/>
      <c r="AJ44" s="4"/>
      <c r="AK44" s="7"/>
      <c r="AL44" s="7" t="str">
        <f>IF($M44="DR", IF($O44="","",$O44), IF($X44="","",$X44))</f>
        <v>WEBFLOW.COM</v>
      </c>
    </row>
    <row r="45" spans="1:38" x14ac:dyDescent="0.35">
      <c r="A45" s="8">
        <v>2159551978</v>
      </c>
      <c r="B45" s="8" t="s">
        <v>59</v>
      </c>
      <c r="C45" s="8"/>
      <c r="D45" s="8"/>
      <c r="E45" s="8"/>
      <c r="F45" s="8" t="s">
        <v>133</v>
      </c>
      <c r="G45" s="8" t="s">
        <v>134</v>
      </c>
      <c r="H45" s="8" t="s">
        <v>43</v>
      </c>
      <c r="I45" s="8" t="s">
        <v>44</v>
      </c>
      <c r="J45" s="8" t="s">
        <v>45</v>
      </c>
      <c r="K45" s="9">
        <v>1026.9100000000001</v>
      </c>
      <c r="L45" s="10">
        <v>46063</v>
      </c>
      <c r="M45" s="8" t="s">
        <v>46</v>
      </c>
      <c r="N45" s="8">
        <v>899000002896338</v>
      </c>
      <c r="O45" s="8" t="s">
        <v>135</v>
      </c>
      <c r="P45" s="8"/>
      <c r="Q45" s="8" t="s">
        <v>135</v>
      </c>
      <c r="R45" s="8"/>
      <c r="S45" s="8" t="s">
        <v>64</v>
      </c>
      <c r="T45" s="8" t="s">
        <v>55</v>
      </c>
      <c r="U45" s="8" t="s">
        <v>50</v>
      </c>
      <c r="V45" s="8"/>
      <c r="W45" s="8" t="s">
        <v>133</v>
      </c>
      <c r="X45" s="8" t="s">
        <v>51</v>
      </c>
      <c r="Y45" s="8" t="s">
        <v>52</v>
      </c>
      <c r="Z45" s="8" t="s">
        <v>53</v>
      </c>
      <c r="AA45" s="8"/>
      <c r="AB45" s="8" t="s">
        <v>54</v>
      </c>
      <c r="AC45" s="8" t="s">
        <v>55</v>
      </c>
      <c r="AD45" s="8"/>
      <c r="AE45" s="8">
        <v>2159551978</v>
      </c>
      <c r="AF45" s="8" t="s">
        <v>56</v>
      </c>
      <c r="AG45" s="8" t="s">
        <v>57</v>
      </c>
      <c r="AH45" s="8" t="s">
        <v>58</v>
      </c>
      <c r="AI45" s="8"/>
      <c r="AJ45" s="8"/>
      <c r="AK45" s="11"/>
      <c r="AL45" s="11" t="str">
        <f>IF($M45="DR", IF($O45="","",$O45), IF($X45="","",$X45))</f>
        <v>BEKIARES ELIEZER LLP</v>
      </c>
    </row>
    <row r="46" spans="1:38" x14ac:dyDescent="0.35">
      <c r="A46" s="4">
        <v>2159566667</v>
      </c>
      <c r="B46" s="4" t="s">
        <v>59</v>
      </c>
      <c r="C46" s="4"/>
      <c r="D46" s="4"/>
      <c r="E46" s="4"/>
      <c r="F46" s="4" t="s">
        <v>65</v>
      </c>
      <c r="G46" s="4" t="s">
        <v>136</v>
      </c>
      <c r="H46" s="4" t="s">
        <v>43</v>
      </c>
      <c r="I46" s="4" t="s">
        <v>44</v>
      </c>
      <c r="J46" s="4" t="s">
        <v>45</v>
      </c>
      <c r="K46" s="5">
        <v>8.8800000000000008</v>
      </c>
      <c r="L46" s="6">
        <v>46063</v>
      </c>
      <c r="M46" s="4" t="s">
        <v>46</v>
      </c>
      <c r="N46" s="4" t="s">
        <v>67</v>
      </c>
      <c r="O46" s="4" t="s">
        <v>68</v>
      </c>
      <c r="P46" s="4"/>
      <c r="Q46" s="4" t="s">
        <v>68</v>
      </c>
      <c r="R46" s="4"/>
      <c r="S46" s="4" t="s">
        <v>64</v>
      </c>
      <c r="T46" s="4" t="s">
        <v>55</v>
      </c>
      <c r="U46" s="4" t="s">
        <v>50</v>
      </c>
      <c r="V46" s="4"/>
      <c r="W46" s="4" t="s">
        <v>65</v>
      </c>
      <c r="X46" s="4" t="s">
        <v>51</v>
      </c>
      <c r="Y46" s="4" t="s">
        <v>52</v>
      </c>
      <c r="Z46" s="4" t="s">
        <v>53</v>
      </c>
      <c r="AA46" s="4"/>
      <c r="AB46" s="4" t="s">
        <v>54</v>
      </c>
      <c r="AC46" s="4" t="s">
        <v>55</v>
      </c>
      <c r="AD46" s="4"/>
      <c r="AE46" s="4">
        <v>2159566667</v>
      </c>
      <c r="AF46" s="4" t="s">
        <v>56</v>
      </c>
      <c r="AG46" s="4" t="s">
        <v>57</v>
      </c>
      <c r="AH46" s="4" t="s">
        <v>58</v>
      </c>
      <c r="AI46" s="4"/>
      <c r="AJ46" s="4"/>
      <c r="AK46" s="7"/>
      <c r="AL46" s="7" t="str">
        <f>IF($M46="DR", IF($O46="","",$O46), IF($X46="","",$X46))</f>
        <v>WEBFLOW.COM</v>
      </c>
    </row>
    <row r="47" spans="1:38" x14ac:dyDescent="0.35">
      <c r="A47" s="8">
        <v>2167949002</v>
      </c>
      <c r="B47" s="8" t="s">
        <v>59</v>
      </c>
      <c r="C47" s="8"/>
      <c r="D47" s="8"/>
      <c r="E47" s="8"/>
      <c r="F47" s="8" t="s">
        <v>65</v>
      </c>
      <c r="G47" s="8" t="s">
        <v>137</v>
      </c>
      <c r="H47" s="8" t="s">
        <v>43</v>
      </c>
      <c r="I47" s="8" t="s">
        <v>44</v>
      </c>
      <c r="J47" s="8" t="s">
        <v>45</v>
      </c>
      <c r="K47" s="9">
        <v>69</v>
      </c>
      <c r="L47" s="10">
        <v>46069</v>
      </c>
      <c r="M47" s="8" t="s">
        <v>46</v>
      </c>
      <c r="N47" s="8" t="s">
        <v>67</v>
      </c>
      <c r="O47" s="8" t="s">
        <v>68</v>
      </c>
      <c r="P47" s="8"/>
      <c r="Q47" s="8" t="s">
        <v>68</v>
      </c>
      <c r="R47" s="8"/>
      <c r="S47" s="8" t="s">
        <v>64</v>
      </c>
      <c r="T47" s="8" t="s">
        <v>55</v>
      </c>
      <c r="U47" s="8" t="s">
        <v>50</v>
      </c>
      <c r="V47" s="8"/>
      <c r="W47" s="8" t="s">
        <v>65</v>
      </c>
      <c r="X47" s="8" t="s">
        <v>51</v>
      </c>
      <c r="Y47" s="8" t="s">
        <v>52</v>
      </c>
      <c r="Z47" s="8" t="s">
        <v>53</v>
      </c>
      <c r="AA47" s="8"/>
      <c r="AB47" s="8" t="s">
        <v>54</v>
      </c>
      <c r="AC47" s="8" t="s">
        <v>55</v>
      </c>
      <c r="AD47" s="8"/>
      <c r="AE47" s="8">
        <v>2167949002</v>
      </c>
      <c r="AF47" s="8" t="s">
        <v>56</v>
      </c>
      <c r="AG47" s="8" t="s">
        <v>57</v>
      </c>
      <c r="AH47" s="8" t="s">
        <v>58</v>
      </c>
      <c r="AI47" s="8"/>
      <c r="AJ47" s="8"/>
      <c r="AK47" s="11"/>
      <c r="AL47" s="11" t="str">
        <f>IF($M47="DR", IF($O47="","",$O47), IF($X47="","",$X47))</f>
        <v>WEBFLOW.COM</v>
      </c>
    </row>
    <row r="48" spans="1:38" x14ac:dyDescent="0.35">
      <c r="A48" s="4">
        <v>2169656645</v>
      </c>
      <c r="B48" s="4" t="s">
        <v>59</v>
      </c>
      <c r="C48" s="4"/>
      <c r="D48" s="4"/>
      <c r="E48" s="4"/>
      <c r="F48" s="4" t="s">
        <v>75</v>
      </c>
      <c r="G48" s="4" t="s">
        <v>138</v>
      </c>
      <c r="H48" s="4" t="s">
        <v>43</v>
      </c>
      <c r="I48" s="4" t="s">
        <v>44</v>
      </c>
      <c r="J48" s="4" t="s">
        <v>45</v>
      </c>
      <c r="K48" s="5">
        <v>174</v>
      </c>
      <c r="L48" s="6">
        <v>46070</v>
      </c>
      <c r="M48" s="4" t="s">
        <v>46</v>
      </c>
      <c r="N48" s="4" t="s">
        <v>77</v>
      </c>
      <c r="O48" s="4" t="s">
        <v>128</v>
      </c>
      <c r="P48" s="4"/>
      <c r="Q48" s="4" t="s">
        <v>128</v>
      </c>
      <c r="R48" s="4"/>
      <c r="S48" s="4" t="s">
        <v>64</v>
      </c>
      <c r="T48" s="4" t="s">
        <v>55</v>
      </c>
      <c r="U48" s="4" t="s">
        <v>50</v>
      </c>
      <c r="V48" s="4"/>
      <c r="W48" s="4" t="s">
        <v>75</v>
      </c>
      <c r="X48" s="4" t="s">
        <v>51</v>
      </c>
      <c r="Y48" s="4" t="s">
        <v>52</v>
      </c>
      <c r="Z48" s="4" t="s">
        <v>53</v>
      </c>
      <c r="AA48" s="4"/>
      <c r="AB48" s="4" t="s">
        <v>54</v>
      </c>
      <c r="AC48" s="4" t="s">
        <v>55</v>
      </c>
      <c r="AD48" s="4"/>
      <c r="AE48" s="4">
        <v>2169656645</v>
      </c>
      <c r="AF48" s="4" t="s">
        <v>56</v>
      </c>
      <c r="AG48" s="4" t="s">
        <v>57</v>
      </c>
      <c r="AH48" s="4" t="s">
        <v>58</v>
      </c>
      <c r="AI48" s="4"/>
      <c r="AJ48" s="4"/>
      <c r="AK48" s="7"/>
      <c r="AL48" s="7" t="str">
        <f>IF($M48="DR", IF($O48="","",$O48), IF($X48="","",$X48))</f>
        <v>RB2B.COM</v>
      </c>
    </row>
    <row r="49" spans="1:38" x14ac:dyDescent="0.35">
      <c r="A49" s="8">
        <v>2171002480</v>
      </c>
      <c r="B49" s="8" t="s">
        <v>59</v>
      </c>
      <c r="C49" s="8"/>
      <c r="D49" s="8"/>
      <c r="E49" s="8"/>
      <c r="F49" s="8" t="s">
        <v>69</v>
      </c>
      <c r="G49" s="8" t="s">
        <v>139</v>
      </c>
      <c r="H49" s="8" t="s">
        <v>43</v>
      </c>
      <c r="I49" s="8" t="s">
        <v>44</v>
      </c>
      <c r="J49" s="8" t="s">
        <v>45</v>
      </c>
      <c r="K49" s="9">
        <v>300</v>
      </c>
      <c r="L49" s="10">
        <v>46071</v>
      </c>
      <c r="M49" s="8" t="s">
        <v>46</v>
      </c>
      <c r="N49" s="8" t="s">
        <v>80</v>
      </c>
      <c r="O49" s="8" t="s">
        <v>81</v>
      </c>
      <c r="P49" s="8"/>
      <c r="Q49" s="8" t="s">
        <v>81</v>
      </c>
      <c r="R49" s="8"/>
      <c r="S49" s="8" t="s">
        <v>64</v>
      </c>
      <c r="T49" s="8" t="s">
        <v>55</v>
      </c>
      <c r="U49" s="8" t="s">
        <v>50</v>
      </c>
      <c r="V49" s="8"/>
      <c r="W49" s="8" t="s">
        <v>69</v>
      </c>
      <c r="X49" s="8" t="s">
        <v>51</v>
      </c>
      <c r="Y49" s="8" t="s">
        <v>52</v>
      </c>
      <c r="Z49" s="8" t="s">
        <v>53</v>
      </c>
      <c r="AA49" s="8"/>
      <c r="AB49" s="8" t="s">
        <v>54</v>
      </c>
      <c r="AC49" s="8" t="s">
        <v>55</v>
      </c>
      <c r="AD49" s="8"/>
      <c r="AE49" s="8">
        <v>2171002480</v>
      </c>
      <c r="AF49" s="8" t="s">
        <v>56</v>
      </c>
      <c r="AG49" s="8" t="s">
        <v>57</v>
      </c>
      <c r="AH49" s="8" t="s">
        <v>58</v>
      </c>
      <c r="AI49" s="8"/>
      <c r="AJ49" s="8"/>
      <c r="AK49" s="11"/>
      <c r="AL49" s="11" t="str">
        <f>IF($M49="DR", IF($O49="","",$O49), IF($X49="","",$X49))</f>
        <v>DROPBOX DOCSEND</v>
      </c>
    </row>
    <row r="50" spans="1:38" x14ac:dyDescent="0.35">
      <c r="A50" s="4">
        <v>2172137604</v>
      </c>
      <c r="B50" s="4" t="s">
        <v>59</v>
      </c>
      <c r="C50" s="4"/>
      <c r="D50" s="4"/>
      <c r="E50" s="4"/>
      <c r="F50" s="4" t="s">
        <v>65</v>
      </c>
      <c r="G50" s="4" t="s">
        <v>140</v>
      </c>
      <c r="H50" s="4" t="s">
        <v>43</v>
      </c>
      <c r="I50" s="4" t="s">
        <v>44</v>
      </c>
      <c r="J50" s="4" t="s">
        <v>45</v>
      </c>
      <c r="K50" s="5">
        <v>420</v>
      </c>
      <c r="L50" s="6">
        <v>46072</v>
      </c>
      <c r="M50" s="4" t="s">
        <v>46</v>
      </c>
      <c r="N50" s="4">
        <v>767221404886</v>
      </c>
      <c r="O50" s="4" t="s">
        <v>141</v>
      </c>
      <c r="P50" s="4"/>
      <c r="Q50" s="4" t="s">
        <v>141</v>
      </c>
      <c r="R50" s="4"/>
      <c r="S50" s="4" t="s">
        <v>64</v>
      </c>
      <c r="T50" s="4" t="s">
        <v>55</v>
      </c>
      <c r="U50" s="4" t="s">
        <v>50</v>
      </c>
      <c r="V50" s="4"/>
      <c r="W50" s="4" t="s">
        <v>65</v>
      </c>
      <c r="X50" s="4" t="s">
        <v>51</v>
      </c>
      <c r="Y50" s="4" t="s">
        <v>52</v>
      </c>
      <c r="Z50" s="4" t="s">
        <v>53</v>
      </c>
      <c r="AA50" s="4"/>
      <c r="AB50" s="4" t="s">
        <v>54</v>
      </c>
      <c r="AC50" s="4" t="s">
        <v>55</v>
      </c>
      <c r="AD50" s="4"/>
      <c r="AE50" s="4">
        <v>2172137604</v>
      </c>
      <c r="AF50" s="4" t="s">
        <v>56</v>
      </c>
      <c r="AG50" s="4" t="s">
        <v>57</v>
      </c>
      <c r="AH50" s="4" t="s">
        <v>58</v>
      </c>
      <c r="AI50" s="4"/>
      <c r="AJ50" s="4"/>
      <c r="AK50" s="7"/>
      <c r="AL50" s="7" t="str">
        <f>IF($M50="DR", IF($O50="","",$O50), IF($X50="","",$X50))</f>
        <v>99DESIGNS LLC</v>
      </c>
    </row>
    <row r="51" spans="1:38" x14ac:dyDescent="0.35">
      <c r="A51" s="8">
        <v>2173366808</v>
      </c>
      <c r="B51" s="8" t="s">
        <v>38</v>
      </c>
      <c r="C51" s="8">
        <v>2295015</v>
      </c>
      <c r="D51" s="8" t="s">
        <v>39</v>
      </c>
      <c r="E51" s="8" t="s">
        <v>40</v>
      </c>
      <c r="F51" s="8" t="s">
        <v>142</v>
      </c>
      <c r="G51" s="8" t="s">
        <v>143</v>
      </c>
      <c r="H51" s="8" t="s">
        <v>43</v>
      </c>
      <c r="I51" s="8" t="s">
        <v>44</v>
      </c>
      <c r="J51" s="8" t="s">
        <v>45</v>
      </c>
      <c r="K51" s="9">
        <v>4239.99</v>
      </c>
      <c r="L51" s="10">
        <v>46073</v>
      </c>
      <c r="M51" s="8" t="s">
        <v>46</v>
      </c>
      <c r="N51" s="8">
        <v>4445091074823</v>
      </c>
      <c r="O51" s="8" t="s">
        <v>144</v>
      </c>
      <c r="P51" s="8"/>
      <c r="Q51" s="8" t="s">
        <v>144</v>
      </c>
      <c r="R51" s="8"/>
      <c r="S51" s="8" t="s">
        <v>64</v>
      </c>
      <c r="T51" s="8" t="s">
        <v>55</v>
      </c>
      <c r="U51" s="8" t="s">
        <v>50</v>
      </c>
      <c r="V51" s="8"/>
      <c r="W51" s="8" t="s">
        <v>142</v>
      </c>
      <c r="X51" s="8" t="s">
        <v>51</v>
      </c>
      <c r="Y51" s="8" t="s">
        <v>52</v>
      </c>
      <c r="Z51" s="8" t="s">
        <v>53</v>
      </c>
      <c r="AA51" s="8"/>
      <c r="AB51" s="8" t="s">
        <v>54</v>
      </c>
      <c r="AC51" s="8" t="s">
        <v>55</v>
      </c>
      <c r="AD51" s="8"/>
      <c r="AE51" s="8">
        <v>2173366808</v>
      </c>
      <c r="AF51" s="8" t="s">
        <v>56</v>
      </c>
      <c r="AG51" s="8" t="s">
        <v>57</v>
      </c>
      <c r="AH51" s="8" t="s">
        <v>58</v>
      </c>
      <c r="AI51" s="8"/>
      <c r="AJ51" s="8"/>
      <c r="AK51" s="11"/>
      <c r="AL51" s="11" t="str">
        <f>IF($M51="DR", IF($O51="","",$O51), IF($X51="","",$X51))</f>
        <v>MCTR-GWINNETT #65</v>
      </c>
    </row>
    <row r="52" spans="1:38" x14ac:dyDescent="0.35">
      <c r="A52" s="4">
        <v>2179758955</v>
      </c>
      <c r="B52" s="4" t="s">
        <v>59</v>
      </c>
      <c r="C52" s="4"/>
      <c r="D52" s="4"/>
      <c r="E52" s="4"/>
      <c r="F52" s="4" t="s">
        <v>142</v>
      </c>
      <c r="G52" s="4" t="s">
        <v>145</v>
      </c>
      <c r="H52" s="4" t="s">
        <v>43</v>
      </c>
      <c r="I52" s="4" t="s">
        <v>44</v>
      </c>
      <c r="J52" s="4" t="s">
        <v>45</v>
      </c>
      <c r="K52" s="5">
        <v>1466.3</v>
      </c>
      <c r="L52" s="6">
        <v>46077</v>
      </c>
      <c r="M52" s="4" t="s">
        <v>46</v>
      </c>
      <c r="N52" s="4">
        <v>487530005586841</v>
      </c>
      <c r="O52" s="4" t="s">
        <v>146</v>
      </c>
      <c r="P52" s="4"/>
      <c r="Q52" s="4" t="s">
        <v>146</v>
      </c>
      <c r="R52" s="4"/>
      <c r="S52" s="4" t="s">
        <v>147</v>
      </c>
      <c r="T52" s="4" t="s">
        <v>148</v>
      </c>
      <c r="U52" s="4" t="s">
        <v>50</v>
      </c>
      <c r="V52" s="4"/>
      <c r="W52" s="4" t="s">
        <v>142</v>
      </c>
      <c r="X52" s="4" t="s">
        <v>51</v>
      </c>
      <c r="Y52" s="4" t="s">
        <v>52</v>
      </c>
      <c r="Z52" s="4" t="s">
        <v>53</v>
      </c>
      <c r="AA52" s="4"/>
      <c r="AB52" s="4" t="s">
        <v>54</v>
      </c>
      <c r="AC52" s="4" t="s">
        <v>55</v>
      </c>
      <c r="AD52" s="4"/>
      <c r="AE52" s="4">
        <v>2179758955</v>
      </c>
      <c r="AF52" s="4" t="s">
        <v>56</v>
      </c>
      <c r="AG52" s="4" t="s">
        <v>57</v>
      </c>
      <c r="AH52" s="4" t="s">
        <v>58</v>
      </c>
      <c r="AI52" s="4"/>
      <c r="AJ52" s="4"/>
      <c r="AK52" s="7"/>
      <c r="AL52" s="7" t="str">
        <f>IF($M52="DR", IF($O52="","",$O52), IF($X52="","",$X52))</f>
        <v>artotel Hoxton</v>
      </c>
    </row>
    <row r="53" spans="1:38" x14ac:dyDescent="0.35">
      <c r="A53" s="8">
        <v>2183267555</v>
      </c>
      <c r="B53" s="8" t="s">
        <v>59</v>
      </c>
      <c r="C53" s="8"/>
      <c r="D53" s="8"/>
      <c r="E53" s="8"/>
      <c r="F53" s="8" t="s">
        <v>142</v>
      </c>
      <c r="G53" s="8" t="s">
        <v>149</v>
      </c>
      <c r="H53" s="8" t="s">
        <v>43</v>
      </c>
      <c r="I53" s="8" t="s">
        <v>44</v>
      </c>
      <c r="J53" s="8" t="s">
        <v>45</v>
      </c>
      <c r="K53" s="9">
        <v>321.56</v>
      </c>
      <c r="L53" s="10">
        <v>46080</v>
      </c>
      <c r="M53" s="8" t="s">
        <v>46</v>
      </c>
      <c r="N53" s="8">
        <v>487530004905782</v>
      </c>
      <c r="O53" s="8" t="s">
        <v>150</v>
      </c>
      <c r="P53" s="8"/>
      <c r="Q53" s="8" t="s">
        <v>150</v>
      </c>
      <c r="R53" s="8"/>
      <c r="S53" s="8" t="s">
        <v>147</v>
      </c>
      <c r="T53" s="8" t="s">
        <v>148</v>
      </c>
      <c r="U53" s="8" t="s">
        <v>50</v>
      </c>
      <c r="V53" s="8"/>
      <c r="W53" s="8" t="s">
        <v>142</v>
      </c>
      <c r="X53" s="8" t="s">
        <v>51</v>
      </c>
      <c r="Y53" s="8" t="s">
        <v>52</v>
      </c>
      <c r="Z53" s="8" t="s">
        <v>53</v>
      </c>
      <c r="AA53" s="8"/>
      <c r="AB53" s="8" t="s">
        <v>54</v>
      </c>
      <c r="AC53" s="8" t="s">
        <v>55</v>
      </c>
      <c r="AD53" s="8"/>
      <c r="AE53" s="8">
        <v>2183267555</v>
      </c>
      <c r="AF53" s="8" t="s">
        <v>56</v>
      </c>
      <c r="AG53" s="8" t="s">
        <v>57</v>
      </c>
      <c r="AH53" s="8" t="s">
        <v>58</v>
      </c>
      <c r="AI53" s="8"/>
      <c r="AJ53" s="8"/>
      <c r="AK53" s="11"/>
      <c r="AL53" s="11" t="str">
        <f>IF($M53="DR", IF($O53="","",$O53), IF($X53="","",$X53))</f>
        <v>MOI Restuarant</v>
      </c>
    </row>
    <row r="54" spans="1:38" x14ac:dyDescent="0.35">
      <c r="A54" s="4">
        <v>2183285404</v>
      </c>
      <c r="B54" s="4" t="s">
        <v>59</v>
      </c>
      <c r="C54" s="4"/>
      <c r="D54" s="4"/>
      <c r="E54" s="4"/>
      <c r="F54" s="4" t="s">
        <v>142</v>
      </c>
      <c r="G54" s="4" t="s">
        <v>151</v>
      </c>
      <c r="H54" s="4" t="s">
        <v>43</v>
      </c>
      <c r="I54" s="4" t="s">
        <v>44</v>
      </c>
      <c r="J54" s="4" t="s">
        <v>45</v>
      </c>
      <c r="K54" s="5">
        <v>70.290000000000006</v>
      </c>
      <c r="L54" s="6">
        <v>46080</v>
      </c>
      <c r="M54" s="4" t="s">
        <v>46</v>
      </c>
      <c r="N54" s="4">
        <v>487530001611862</v>
      </c>
      <c r="O54" s="4" t="s">
        <v>152</v>
      </c>
      <c r="P54" s="4"/>
      <c r="Q54" s="4" t="s">
        <v>152</v>
      </c>
      <c r="R54" s="4"/>
      <c r="S54" s="4" t="s">
        <v>147</v>
      </c>
      <c r="T54" s="4" t="s">
        <v>148</v>
      </c>
      <c r="U54" s="4" t="s">
        <v>50</v>
      </c>
      <c r="V54" s="4"/>
      <c r="W54" s="4" t="s">
        <v>142</v>
      </c>
      <c r="X54" s="4" t="s">
        <v>51</v>
      </c>
      <c r="Y54" s="4" t="s">
        <v>52</v>
      </c>
      <c r="Z54" s="4" t="s">
        <v>53</v>
      </c>
      <c r="AA54" s="4"/>
      <c r="AB54" s="4" t="s">
        <v>54</v>
      </c>
      <c r="AC54" s="4" t="s">
        <v>55</v>
      </c>
      <c r="AD54" s="4"/>
      <c r="AE54" s="4">
        <v>2183285404</v>
      </c>
      <c r="AF54" s="4" t="s">
        <v>56</v>
      </c>
      <c r="AG54" s="4" t="s">
        <v>57</v>
      </c>
      <c r="AH54" s="4" t="s">
        <v>58</v>
      </c>
      <c r="AI54" s="4"/>
      <c r="AJ54" s="4"/>
      <c r="AK54" s="7"/>
      <c r="AL54" s="7" t="str">
        <f>IF($M54="DR", IF($O54="","",$O54), IF($X54="","",$X54))</f>
        <v>The Brush Grand Cafe</v>
      </c>
    </row>
    <row r="55" spans="1:38" x14ac:dyDescent="0.35">
      <c r="A55" s="8">
        <v>2192123927</v>
      </c>
      <c r="B55" s="8" t="s">
        <v>59</v>
      </c>
      <c r="C55" s="8"/>
      <c r="D55" s="8"/>
      <c r="E55" s="8"/>
      <c r="F55" s="8" t="s">
        <v>69</v>
      </c>
      <c r="G55" s="8" t="s">
        <v>153</v>
      </c>
      <c r="H55" s="8" t="s">
        <v>43</v>
      </c>
      <c r="I55" s="8" t="s">
        <v>44</v>
      </c>
      <c r="J55" s="8" t="s">
        <v>45</v>
      </c>
      <c r="K55" s="9">
        <v>339</v>
      </c>
      <c r="L55" s="10">
        <v>46084</v>
      </c>
      <c r="M55" s="8" t="s">
        <v>46</v>
      </c>
      <c r="N55" s="8">
        <v>395711276353</v>
      </c>
      <c r="O55" s="8" t="s">
        <v>94</v>
      </c>
      <c r="P55" s="8"/>
      <c r="Q55" s="8" t="s">
        <v>94</v>
      </c>
      <c r="R55" s="8"/>
      <c r="S55" s="8" t="s">
        <v>64</v>
      </c>
      <c r="T55" s="8" t="s">
        <v>55</v>
      </c>
      <c r="U55" s="8" t="s">
        <v>50</v>
      </c>
      <c r="V55" s="8"/>
      <c r="W55" s="8" t="s">
        <v>69</v>
      </c>
      <c r="X55" s="8" t="s">
        <v>51</v>
      </c>
      <c r="Y55" s="8" t="s">
        <v>52</v>
      </c>
      <c r="Z55" s="8" t="s">
        <v>53</v>
      </c>
      <c r="AA55" s="8"/>
      <c r="AB55" s="8" t="s">
        <v>54</v>
      </c>
      <c r="AC55" s="8" t="s">
        <v>55</v>
      </c>
      <c r="AD55" s="8"/>
      <c r="AE55" s="8">
        <v>2192123927</v>
      </c>
      <c r="AF55" s="8" t="s">
        <v>56</v>
      </c>
      <c r="AG55" s="8" t="s">
        <v>57</v>
      </c>
      <c r="AH55" s="8" t="s">
        <v>58</v>
      </c>
      <c r="AI55" s="8"/>
      <c r="AJ55" s="8"/>
      <c r="AK55" s="11"/>
      <c r="AL55" s="11" t="str">
        <f>IF($M55="DR", IF($O55="","",$O55), IF($X55="","",$X55))</f>
        <v>YWW*WeWork 44MontgomeryS</v>
      </c>
    </row>
    <row r="56" spans="1:38" x14ac:dyDescent="0.35">
      <c r="A56" s="4">
        <v>2193303195</v>
      </c>
      <c r="B56" s="4" t="s">
        <v>59</v>
      </c>
      <c r="C56" s="4"/>
      <c r="D56" s="4"/>
      <c r="E56" s="4"/>
      <c r="F56" s="4" t="s">
        <v>75</v>
      </c>
      <c r="G56" s="4" t="s">
        <v>154</v>
      </c>
      <c r="H56" s="4" t="s">
        <v>71</v>
      </c>
      <c r="I56" s="4" t="s">
        <v>72</v>
      </c>
      <c r="J56" s="4" t="s">
        <v>45</v>
      </c>
      <c r="K56" s="5">
        <v>489.24</v>
      </c>
      <c r="L56" s="6">
        <v>46085</v>
      </c>
      <c r="M56" s="4" t="s">
        <v>46</v>
      </c>
      <c r="N56" s="4" t="s">
        <v>155</v>
      </c>
      <c r="O56" s="4" t="s">
        <v>156</v>
      </c>
      <c r="P56" s="4"/>
      <c r="Q56" s="4" t="s">
        <v>156</v>
      </c>
      <c r="R56" s="4"/>
      <c r="S56" s="4" t="s">
        <v>64</v>
      </c>
      <c r="T56" s="4" t="s">
        <v>55</v>
      </c>
      <c r="U56" s="4" t="s">
        <v>50</v>
      </c>
      <c r="V56" s="4"/>
      <c r="W56" s="4" t="s">
        <v>75</v>
      </c>
      <c r="X56" s="4" t="s">
        <v>51</v>
      </c>
      <c r="Y56" s="4" t="s">
        <v>52</v>
      </c>
      <c r="Z56" s="4" t="s">
        <v>53</v>
      </c>
      <c r="AA56" s="4"/>
      <c r="AB56" s="4" t="s">
        <v>54</v>
      </c>
      <c r="AC56" s="4" t="s">
        <v>55</v>
      </c>
      <c r="AD56" s="4"/>
      <c r="AE56" s="4">
        <v>2193303195</v>
      </c>
      <c r="AF56" s="4" t="s">
        <v>56</v>
      </c>
      <c r="AG56" s="4" t="s">
        <v>57</v>
      </c>
      <c r="AH56" s="4" t="s">
        <v>58</v>
      </c>
      <c r="AI56" s="4"/>
      <c r="AJ56" s="4"/>
      <c r="AK56" s="7"/>
      <c r="AL56" s="7" t="str">
        <f>IF($M56="DR", IF($O56="","",$O56), IF($X56="","",$X56))</f>
        <v>AMPLEMARKET.COM</v>
      </c>
    </row>
    <row r="57" spans="1:38" x14ac:dyDescent="0.35">
      <c r="A57" s="8">
        <v>2195530529</v>
      </c>
      <c r="B57" s="8" t="s">
        <v>59</v>
      </c>
      <c r="C57" s="8"/>
      <c r="D57" s="8"/>
      <c r="E57" s="8"/>
      <c r="F57" s="8" t="s">
        <v>65</v>
      </c>
      <c r="G57" s="8" t="s">
        <v>157</v>
      </c>
      <c r="H57" s="8" t="s">
        <v>43</v>
      </c>
      <c r="I57" s="8" t="s">
        <v>44</v>
      </c>
      <c r="J57" s="8" t="s">
        <v>45</v>
      </c>
      <c r="K57" s="9">
        <v>7.09</v>
      </c>
      <c r="L57" s="10">
        <v>46087</v>
      </c>
      <c r="M57" s="8" t="s">
        <v>46</v>
      </c>
      <c r="N57" s="8" t="s">
        <v>67</v>
      </c>
      <c r="O57" s="8" t="s">
        <v>68</v>
      </c>
      <c r="P57" s="8"/>
      <c r="Q57" s="8" t="s">
        <v>68</v>
      </c>
      <c r="R57" s="8"/>
      <c r="S57" s="8" t="s">
        <v>64</v>
      </c>
      <c r="T57" s="8" t="s">
        <v>55</v>
      </c>
      <c r="U57" s="8" t="s">
        <v>50</v>
      </c>
      <c r="V57" s="8"/>
      <c r="W57" s="8" t="s">
        <v>65</v>
      </c>
      <c r="X57" s="8" t="s">
        <v>51</v>
      </c>
      <c r="Y57" s="8" t="s">
        <v>52</v>
      </c>
      <c r="Z57" s="8" t="s">
        <v>53</v>
      </c>
      <c r="AA57" s="8"/>
      <c r="AB57" s="8" t="s">
        <v>54</v>
      </c>
      <c r="AC57" s="8" t="s">
        <v>55</v>
      </c>
      <c r="AD57" s="8"/>
      <c r="AE57" s="8">
        <v>2195530529</v>
      </c>
      <c r="AF57" s="8" t="s">
        <v>56</v>
      </c>
      <c r="AG57" s="8" t="s">
        <v>57</v>
      </c>
      <c r="AH57" s="8" t="s">
        <v>58</v>
      </c>
      <c r="AI57" s="8"/>
      <c r="AJ57" s="8"/>
      <c r="AK57" s="11"/>
      <c r="AL57" s="11" t="str">
        <f>IF($M57="DR", IF($O57="","",$O57), IF($X57="","",$X57))</f>
        <v>WEBFLOW.COM</v>
      </c>
    </row>
    <row r="58" spans="1:38" x14ac:dyDescent="0.35">
      <c r="A58" s="4">
        <v>2200790879</v>
      </c>
      <c r="B58" s="4" t="s">
        <v>59</v>
      </c>
      <c r="C58" s="4"/>
      <c r="D58" s="4"/>
      <c r="E58" s="4"/>
      <c r="F58" s="4" t="s">
        <v>65</v>
      </c>
      <c r="G58" s="4" t="s">
        <v>158</v>
      </c>
      <c r="H58" s="4" t="s">
        <v>43</v>
      </c>
      <c r="I58" s="4" t="s">
        <v>44</v>
      </c>
      <c r="J58" s="4" t="s">
        <v>45</v>
      </c>
      <c r="K58" s="5">
        <v>29</v>
      </c>
      <c r="L58" s="6">
        <v>46090</v>
      </c>
      <c r="M58" s="4" t="s">
        <v>46</v>
      </c>
      <c r="N58" s="4" t="s">
        <v>67</v>
      </c>
      <c r="O58" s="4" t="s">
        <v>68</v>
      </c>
      <c r="P58" s="4"/>
      <c r="Q58" s="4" t="s">
        <v>68</v>
      </c>
      <c r="R58" s="4"/>
      <c r="S58" s="4" t="s">
        <v>64</v>
      </c>
      <c r="T58" s="4" t="s">
        <v>55</v>
      </c>
      <c r="U58" s="4" t="s">
        <v>50</v>
      </c>
      <c r="V58" s="4"/>
      <c r="W58" s="4" t="s">
        <v>65</v>
      </c>
      <c r="X58" s="4" t="s">
        <v>51</v>
      </c>
      <c r="Y58" s="4" t="s">
        <v>52</v>
      </c>
      <c r="Z58" s="4" t="s">
        <v>53</v>
      </c>
      <c r="AA58" s="4"/>
      <c r="AB58" s="4" t="s">
        <v>54</v>
      </c>
      <c r="AC58" s="4" t="s">
        <v>55</v>
      </c>
      <c r="AD58" s="4"/>
      <c r="AE58" s="4">
        <v>2200790879</v>
      </c>
      <c r="AF58" s="4" t="s">
        <v>56</v>
      </c>
      <c r="AG58" s="4" t="s">
        <v>57</v>
      </c>
      <c r="AH58" s="4" t="s">
        <v>58</v>
      </c>
      <c r="AI58" s="4"/>
      <c r="AJ58" s="4"/>
      <c r="AK58" s="7"/>
      <c r="AL58" s="7" t="str">
        <f>IF($M58="DR", IF($O58="","",$O58), IF($X58="","",$X58))</f>
        <v>WEBFLOW.COM</v>
      </c>
    </row>
    <row r="59" spans="1:38" ht="29" x14ac:dyDescent="0.35">
      <c r="A59" s="4">
        <v>2222412640</v>
      </c>
      <c r="B59" s="4" t="s">
        <v>59</v>
      </c>
      <c r="C59" s="4"/>
      <c r="D59" s="4"/>
      <c r="E59" s="4"/>
      <c r="F59" s="4" t="s">
        <v>75</v>
      </c>
      <c r="G59" s="4" t="s">
        <v>167</v>
      </c>
      <c r="H59" s="4" t="s">
        <v>43</v>
      </c>
      <c r="I59" s="4" t="s">
        <v>44</v>
      </c>
      <c r="J59" s="4" t="s">
        <v>45</v>
      </c>
      <c r="K59" s="5">
        <v>600</v>
      </c>
      <c r="L59" s="6">
        <v>46093</v>
      </c>
      <c r="M59" s="4" t="s">
        <v>46</v>
      </c>
      <c r="N59" s="4" t="s">
        <v>168</v>
      </c>
      <c r="O59" s="4" t="s">
        <v>169</v>
      </c>
      <c r="P59" s="4"/>
      <c r="Q59" s="4" t="s">
        <v>169</v>
      </c>
      <c r="R59" s="4"/>
      <c r="S59" s="4" t="s">
        <v>64</v>
      </c>
      <c r="T59" s="4" t="s">
        <v>55</v>
      </c>
      <c r="U59" s="4" t="s">
        <v>50</v>
      </c>
      <c r="V59" s="4"/>
      <c r="W59" s="4" t="s">
        <v>75</v>
      </c>
      <c r="X59" s="4" t="s">
        <v>51</v>
      </c>
      <c r="Y59" s="4" t="s">
        <v>52</v>
      </c>
      <c r="Z59" s="4" t="s">
        <v>53</v>
      </c>
      <c r="AA59" s="4"/>
      <c r="AB59" s="4" t="s">
        <v>54</v>
      </c>
      <c r="AC59" s="4" t="s">
        <v>55</v>
      </c>
      <c r="AD59" s="4"/>
      <c r="AE59" s="4">
        <v>2222412640</v>
      </c>
      <c r="AF59" s="4" t="s">
        <v>56</v>
      </c>
      <c r="AG59" s="4" t="s">
        <v>57</v>
      </c>
      <c r="AH59" s="4" t="s">
        <v>58</v>
      </c>
      <c r="AI59" s="4"/>
      <c r="AJ59" s="4"/>
      <c r="AK59" s="7"/>
      <c r="AL59" s="7" t="str">
        <f>IF($M59="DR", IF($O59="","",$O59), IF($X59="","",$X59))</f>
        <v>DROPBOX SIGN HELLOSIGN</v>
      </c>
    </row>
    <row r="60" spans="1:38" ht="29" x14ac:dyDescent="0.35">
      <c r="A60" s="8">
        <v>2222578906</v>
      </c>
      <c r="B60" s="8" t="s">
        <v>59</v>
      </c>
      <c r="C60" s="8"/>
      <c r="D60" s="8"/>
      <c r="E60" s="8"/>
      <c r="F60" s="8" t="s">
        <v>65</v>
      </c>
      <c r="G60" s="8" t="s">
        <v>170</v>
      </c>
      <c r="H60" s="8" t="s">
        <v>43</v>
      </c>
      <c r="I60" s="8" t="s">
        <v>44</v>
      </c>
      <c r="J60" s="8" t="s">
        <v>45</v>
      </c>
      <c r="K60" s="9">
        <v>88</v>
      </c>
      <c r="L60" s="10">
        <v>46097</v>
      </c>
      <c r="M60" s="8" t="s">
        <v>46</v>
      </c>
      <c r="N60" s="8" t="s">
        <v>67</v>
      </c>
      <c r="O60" s="8" t="s">
        <v>68</v>
      </c>
      <c r="P60" s="8"/>
      <c r="Q60" s="8" t="s">
        <v>68</v>
      </c>
      <c r="R60" s="8"/>
      <c r="S60" s="8" t="s">
        <v>64</v>
      </c>
      <c r="T60" s="8" t="s">
        <v>55</v>
      </c>
      <c r="U60" s="8" t="s">
        <v>50</v>
      </c>
      <c r="V60" s="8"/>
      <c r="W60" s="8" t="s">
        <v>65</v>
      </c>
      <c r="X60" s="8" t="s">
        <v>51</v>
      </c>
      <c r="Y60" s="8" t="s">
        <v>52</v>
      </c>
      <c r="Z60" s="8" t="s">
        <v>53</v>
      </c>
      <c r="AA60" s="8"/>
      <c r="AB60" s="8" t="s">
        <v>54</v>
      </c>
      <c r="AC60" s="8" t="s">
        <v>55</v>
      </c>
      <c r="AD60" s="8"/>
      <c r="AE60" s="8">
        <v>2222578906</v>
      </c>
      <c r="AF60" s="8" t="s">
        <v>56</v>
      </c>
      <c r="AG60" s="8" t="s">
        <v>57</v>
      </c>
      <c r="AH60" s="8" t="s">
        <v>58</v>
      </c>
      <c r="AI60" s="8"/>
      <c r="AJ60" s="8"/>
      <c r="AK60" s="11"/>
      <c r="AL60" s="11" t="str">
        <f>IF($M60="DR", IF($O60="","",$O60), IF($X60="","",$X60))</f>
        <v>WEBFLOW.COM</v>
      </c>
    </row>
    <row r="61" spans="1:38" ht="29" x14ac:dyDescent="0.35">
      <c r="A61" s="4">
        <v>2222625847</v>
      </c>
      <c r="B61" s="4" t="s">
        <v>59</v>
      </c>
      <c r="C61" s="4"/>
      <c r="D61" s="4"/>
      <c r="E61" s="4"/>
      <c r="F61" s="4" t="s">
        <v>75</v>
      </c>
      <c r="G61" s="4" t="s">
        <v>171</v>
      </c>
      <c r="H61" s="4" t="s">
        <v>43</v>
      </c>
      <c r="I61" s="4" t="s">
        <v>44</v>
      </c>
      <c r="J61" s="4" t="s">
        <v>45</v>
      </c>
      <c r="K61" s="5">
        <v>174</v>
      </c>
      <c r="L61" s="6">
        <v>46098</v>
      </c>
      <c r="M61" s="4" t="s">
        <v>46</v>
      </c>
      <c r="N61" s="4" t="s">
        <v>77</v>
      </c>
      <c r="O61" s="4" t="s">
        <v>128</v>
      </c>
      <c r="P61" s="4"/>
      <c r="Q61" s="4" t="s">
        <v>128</v>
      </c>
      <c r="R61" s="4"/>
      <c r="S61" s="4" t="s">
        <v>64</v>
      </c>
      <c r="T61" s="4" t="s">
        <v>55</v>
      </c>
      <c r="U61" s="4" t="s">
        <v>50</v>
      </c>
      <c r="V61" s="4"/>
      <c r="W61" s="4" t="s">
        <v>75</v>
      </c>
      <c r="X61" s="4" t="s">
        <v>51</v>
      </c>
      <c r="Y61" s="4" t="s">
        <v>52</v>
      </c>
      <c r="Z61" s="4" t="s">
        <v>53</v>
      </c>
      <c r="AA61" s="4"/>
      <c r="AB61" s="4" t="s">
        <v>54</v>
      </c>
      <c r="AC61" s="4" t="s">
        <v>55</v>
      </c>
      <c r="AD61" s="4"/>
      <c r="AE61" s="4">
        <v>2222625847</v>
      </c>
      <c r="AF61" s="4" t="s">
        <v>56</v>
      </c>
      <c r="AG61" s="4" t="s">
        <v>57</v>
      </c>
      <c r="AH61" s="4" t="s">
        <v>58</v>
      </c>
      <c r="AI61" s="4"/>
      <c r="AJ61" s="4"/>
      <c r="AK61" s="7"/>
      <c r="AL61" s="7" t="str">
        <f>IF($M61="DR", IF($O61="","",$O61), IF($X61="","",$X61))</f>
        <v>RB2B.COM</v>
      </c>
    </row>
    <row r="62" spans="1:38" ht="29" x14ac:dyDescent="0.35">
      <c r="A62" s="8">
        <v>2222650714</v>
      </c>
      <c r="B62" s="8" t="s">
        <v>38</v>
      </c>
      <c r="C62" s="8">
        <v>2315814</v>
      </c>
      <c r="D62" s="8" t="s">
        <v>39</v>
      </c>
      <c r="E62" s="8" t="s">
        <v>40</v>
      </c>
      <c r="F62" s="8" t="s">
        <v>65</v>
      </c>
      <c r="G62" s="8" t="s">
        <v>172</v>
      </c>
      <c r="H62" s="8" t="s">
        <v>43</v>
      </c>
      <c r="I62" s="8" t="s">
        <v>44</v>
      </c>
      <c r="J62" s="8" t="s">
        <v>45</v>
      </c>
      <c r="K62" s="9">
        <v>10000</v>
      </c>
      <c r="L62" s="10">
        <v>46099</v>
      </c>
      <c r="M62" s="8" t="s">
        <v>46</v>
      </c>
      <c r="N62" s="8" t="s">
        <v>173</v>
      </c>
      <c r="O62" s="8" t="s">
        <v>174</v>
      </c>
      <c r="P62" s="8"/>
      <c r="Q62" s="8" t="s">
        <v>174</v>
      </c>
      <c r="R62" s="8"/>
      <c r="S62" s="8" t="s">
        <v>175</v>
      </c>
      <c r="T62" s="8" t="s">
        <v>176</v>
      </c>
      <c r="U62" s="8" t="s">
        <v>50</v>
      </c>
      <c r="V62" s="8"/>
      <c r="W62" s="8" t="s">
        <v>65</v>
      </c>
      <c r="X62" s="8" t="s">
        <v>51</v>
      </c>
      <c r="Y62" s="8" t="s">
        <v>52</v>
      </c>
      <c r="Z62" s="8" t="s">
        <v>53</v>
      </c>
      <c r="AA62" s="8"/>
      <c r="AB62" s="8" t="s">
        <v>54</v>
      </c>
      <c r="AC62" s="8" t="s">
        <v>55</v>
      </c>
      <c r="AD62" s="8"/>
      <c r="AE62" s="8">
        <v>2222650714</v>
      </c>
      <c r="AF62" s="8" t="s">
        <v>56</v>
      </c>
      <c r="AG62" s="8" t="s">
        <v>57</v>
      </c>
      <c r="AH62" s="8" t="s">
        <v>58</v>
      </c>
      <c r="AI62" s="8"/>
      <c r="AJ62" s="8"/>
      <c r="AK62" s="11"/>
      <c r="AL62" s="11" t="str">
        <f>IF($M62="DR", IF($O62="","",$O62), IF($X62="","",$X62))</f>
        <v>SILICONMANIA.TV</v>
      </c>
    </row>
    <row r="63" spans="1:38" ht="29" x14ac:dyDescent="0.35">
      <c r="A63" s="4">
        <v>2222652933</v>
      </c>
      <c r="B63" s="4" t="s">
        <v>59</v>
      </c>
      <c r="C63" s="4"/>
      <c r="D63" s="4"/>
      <c r="E63" s="4"/>
      <c r="F63" s="4" t="s">
        <v>142</v>
      </c>
      <c r="G63" s="4" t="s">
        <v>177</v>
      </c>
      <c r="H63" s="4" t="s">
        <v>43</v>
      </c>
      <c r="I63" s="4" t="s">
        <v>44</v>
      </c>
      <c r="J63" s="4" t="s">
        <v>45</v>
      </c>
      <c r="K63" s="5">
        <v>6.47</v>
      </c>
      <c r="L63" s="6">
        <v>46099</v>
      </c>
      <c r="M63" s="4" t="s">
        <v>46</v>
      </c>
      <c r="N63" s="4">
        <v>242661000053360</v>
      </c>
      <c r="O63" s="4" t="s">
        <v>178</v>
      </c>
      <c r="P63" s="4"/>
      <c r="Q63" s="4" t="s">
        <v>178</v>
      </c>
      <c r="R63" s="4"/>
      <c r="S63" s="4" t="s">
        <v>64</v>
      </c>
      <c r="T63" s="4" t="s">
        <v>55</v>
      </c>
      <c r="U63" s="4" t="s">
        <v>50</v>
      </c>
      <c r="V63" s="4"/>
      <c r="W63" s="4" t="s">
        <v>142</v>
      </c>
      <c r="X63" s="4" t="s">
        <v>51</v>
      </c>
      <c r="Y63" s="4" t="s">
        <v>52</v>
      </c>
      <c r="Z63" s="4" t="s">
        <v>53</v>
      </c>
      <c r="AA63" s="4"/>
      <c r="AB63" s="4" t="s">
        <v>54</v>
      </c>
      <c r="AC63" s="4" t="s">
        <v>55</v>
      </c>
      <c r="AD63" s="4"/>
      <c r="AE63" s="4">
        <v>2222652933</v>
      </c>
      <c r="AF63" s="4" t="s">
        <v>56</v>
      </c>
      <c r="AG63" s="4" t="s">
        <v>57</v>
      </c>
      <c r="AH63" s="4" t="s">
        <v>58</v>
      </c>
      <c r="AI63" s="4"/>
      <c r="AJ63" s="4"/>
      <c r="AK63" s="7"/>
      <c r="AL63" s="7" t="str">
        <f>IF($M63="DR", IF($O63="","",$O63), IF($X63="","",$X63))</f>
        <v>SQ *VOLTAIRE COFFEE ROAST</v>
      </c>
    </row>
    <row r="64" spans="1:38" ht="29" x14ac:dyDescent="0.35">
      <c r="A64" s="8">
        <v>2222663669</v>
      </c>
      <c r="B64" s="8" t="s">
        <v>59</v>
      </c>
      <c r="C64" s="8"/>
      <c r="D64" s="8"/>
      <c r="E64" s="8"/>
      <c r="F64" s="8" t="s">
        <v>69</v>
      </c>
      <c r="G64" s="8" t="s">
        <v>179</v>
      </c>
      <c r="H64" s="8" t="s">
        <v>43</v>
      </c>
      <c r="I64" s="8" t="s">
        <v>44</v>
      </c>
      <c r="J64" s="8" t="s">
        <v>45</v>
      </c>
      <c r="K64" s="9">
        <v>300</v>
      </c>
      <c r="L64" s="10">
        <v>46099</v>
      </c>
      <c r="M64" s="8" t="s">
        <v>46</v>
      </c>
      <c r="N64" s="8" t="s">
        <v>80</v>
      </c>
      <c r="O64" s="8" t="s">
        <v>81</v>
      </c>
      <c r="P64" s="8"/>
      <c r="Q64" s="8" t="s">
        <v>81</v>
      </c>
      <c r="R64" s="8"/>
      <c r="S64" s="8" t="s">
        <v>64</v>
      </c>
      <c r="T64" s="8" t="s">
        <v>55</v>
      </c>
      <c r="U64" s="8" t="s">
        <v>50</v>
      </c>
      <c r="V64" s="8"/>
      <c r="W64" s="8" t="s">
        <v>69</v>
      </c>
      <c r="X64" s="8" t="s">
        <v>51</v>
      </c>
      <c r="Y64" s="8" t="s">
        <v>52</v>
      </c>
      <c r="Z64" s="8" t="s">
        <v>53</v>
      </c>
      <c r="AA64" s="8"/>
      <c r="AB64" s="8" t="s">
        <v>54</v>
      </c>
      <c r="AC64" s="8" t="s">
        <v>55</v>
      </c>
      <c r="AD64" s="8"/>
      <c r="AE64" s="8">
        <v>2222663669</v>
      </c>
      <c r="AF64" s="8" t="s">
        <v>56</v>
      </c>
      <c r="AG64" s="8" t="s">
        <v>57</v>
      </c>
      <c r="AH64" s="8" t="s">
        <v>58</v>
      </c>
      <c r="AI64" s="8"/>
      <c r="AJ64" s="8"/>
      <c r="AK64" s="11"/>
      <c r="AL64" s="11" t="str">
        <f>IF($M64="DR", IF($O64="","",$O64), IF($X64="","",$X64))</f>
        <v>DROPBOX DOCSEND</v>
      </c>
    </row>
    <row r="65" spans="1:38" ht="29" x14ac:dyDescent="0.35">
      <c r="A65" s="8">
        <v>2217290558</v>
      </c>
      <c r="B65" s="8" t="s">
        <v>59</v>
      </c>
      <c r="C65" s="8"/>
      <c r="D65" s="8"/>
      <c r="E65" s="8"/>
      <c r="F65" s="8" t="s">
        <v>142</v>
      </c>
      <c r="G65" s="8" t="s">
        <v>159</v>
      </c>
      <c r="H65" s="8" t="s">
        <v>43</v>
      </c>
      <c r="I65" s="8" t="s">
        <v>44</v>
      </c>
      <c r="J65" s="8" t="s">
        <v>45</v>
      </c>
      <c r="K65" s="9">
        <v>27.93</v>
      </c>
      <c r="L65" s="10">
        <v>46101</v>
      </c>
      <c r="M65" s="8" t="s">
        <v>46</v>
      </c>
      <c r="N65" s="8">
        <v>4445074094368</v>
      </c>
      <c r="O65" s="8" t="s">
        <v>160</v>
      </c>
      <c r="P65" s="8"/>
      <c r="Q65" s="8" t="s">
        <v>160</v>
      </c>
      <c r="R65" s="8"/>
      <c r="S65" s="8" t="s">
        <v>64</v>
      </c>
      <c r="T65" s="8" t="s">
        <v>55</v>
      </c>
      <c r="U65" s="8" t="s">
        <v>50</v>
      </c>
      <c r="V65" s="8"/>
      <c r="W65" s="8" t="s">
        <v>142</v>
      </c>
      <c r="X65" s="8" t="s">
        <v>51</v>
      </c>
      <c r="Y65" s="8" t="s">
        <v>52</v>
      </c>
      <c r="Z65" s="8" t="s">
        <v>53</v>
      </c>
      <c r="AA65" s="8"/>
      <c r="AB65" s="8" t="s">
        <v>54</v>
      </c>
      <c r="AC65" s="8" t="s">
        <v>55</v>
      </c>
      <c r="AD65" s="8"/>
      <c r="AE65" s="8">
        <v>2217290558</v>
      </c>
      <c r="AF65" s="8" t="s">
        <v>56</v>
      </c>
      <c r="AG65" s="8" t="s">
        <v>57</v>
      </c>
      <c r="AH65" s="8" t="s">
        <v>58</v>
      </c>
      <c r="AI65" s="8"/>
      <c r="AJ65" s="8"/>
      <c r="AK65" s="11"/>
      <c r="AL65" s="11" t="str">
        <f>IF($M65="DR", IF($O65="","",$O65), IF($X65="","",$X65))</f>
        <v>TST* BON DELIRE</v>
      </c>
    </row>
    <row r="66" spans="1:38" ht="29" x14ac:dyDescent="0.35">
      <c r="A66" s="4">
        <v>2217297757</v>
      </c>
      <c r="B66" s="4" t="s">
        <v>59</v>
      </c>
      <c r="C66" s="4"/>
      <c r="D66" s="4"/>
      <c r="E66" s="4"/>
      <c r="F66" s="4" t="s">
        <v>142</v>
      </c>
      <c r="G66" s="4" t="s">
        <v>161</v>
      </c>
      <c r="H66" s="4" t="s">
        <v>43</v>
      </c>
      <c r="I66" s="4" t="s">
        <v>44</v>
      </c>
      <c r="J66" s="4" t="s">
        <v>45</v>
      </c>
      <c r="K66" s="5">
        <v>20</v>
      </c>
      <c r="L66" s="6">
        <v>46101</v>
      </c>
      <c r="M66" s="4" t="s">
        <v>46</v>
      </c>
      <c r="N66" s="4" t="s">
        <v>162</v>
      </c>
      <c r="O66" s="4" t="s">
        <v>163</v>
      </c>
      <c r="P66" s="4"/>
      <c r="Q66" s="4" t="s">
        <v>163</v>
      </c>
      <c r="R66" s="4"/>
      <c r="S66" s="4" t="s">
        <v>64</v>
      </c>
      <c r="T66" s="4" t="s">
        <v>55</v>
      </c>
      <c r="U66" s="4" t="s">
        <v>50</v>
      </c>
      <c r="V66" s="4"/>
      <c r="W66" s="4" t="s">
        <v>142</v>
      </c>
      <c r="X66" s="4" t="s">
        <v>51</v>
      </c>
      <c r="Y66" s="4" t="s">
        <v>52</v>
      </c>
      <c r="Z66" s="4" t="s">
        <v>53</v>
      </c>
      <c r="AA66" s="4"/>
      <c r="AB66" s="4" t="s">
        <v>54</v>
      </c>
      <c r="AC66" s="4" t="s">
        <v>55</v>
      </c>
      <c r="AD66" s="4"/>
      <c r="AE66" s="4">
        <v>2217297757</v>
      </c>
      <c r="AF66" s="4" t="s">
        <v>56</v>
      </c>
      <c r="AG66" s="4" t="s">
        <v>57</v>
      </c>
      <c r="AH66" s="4" t="s">
        <v>58</v>
      </c>
      <c r="AI66" s="4"/>
      <c r="AJ66" s="4"/>
      <c r="AK66" s="7"/>
      <c r="AL66" s="7" t="str">
        <f>IF($M66="DR", IF($O66="","",$O66), IF($X66="","",$X66))</f>
        <v>HILTON GARDEN INN</v>
      </c>
    </row>
    <row r="67" spans="1:38" ht="29" x14ac:dyDescent="0.35">
      <c r="A67" s="8">
        <v>2217313347</v>
      </c>
      <c r="B67" s="8" t="s">
        <v>59</v>
      </c>
      <c r="C67" s="8"/>
      <c r="D67" s="8"/>
      <c r="E67" s="8"/>
      <c r="F67" s="8" t="s">
        <v>142</v>
      </c>
      <c r="G67" s="8" t="s">
        <v>164</v>
      </c>
      <c r="H67" s="8" t="s">
        <v>43</v>
      </c>
      <c r="I67" s="8" t="s">
        <v>44</v>
      </c>
      <c r="J67" s="8" t="s">
        <v>45</v>
      </c>
      <c r="K67" s="9">
        <v>3</v>
      </c>
      <c r="L67" s="10">
        <v>46101</v>
      </c>
      <c r="M67" s="8" t="s">
        <v>46</v>
      </c>
      <c r="N67" s="8" t="s">
        <v>162</v>
      </c>
      <c r="O67" s="8" t="s">
        <v>163</v>
      </c>
      <c r="P67" s="8"/>
      <c r="Q67" s="8" t="s">
        <v>163</v>
      </c>
      <c r="R67" s="8"/>
      <c r="S67" s="8" t="s">
        <v>64</v>
      </c>
      <c r="T67" s="8" t="s">
        <v>55</v>
      </c>
      <c r="U67" s="8" t="s">
        <v>50</v>
      </c>
      <c r="V67" s="8"/>
      <c r="W67" s="8" t="s">
        <v>142</v>
      </c>
      <c r="X67" s="8" t="s">
        <v>51</v>
      </c>
      <c r="Y67" s="8" t="s">
        <v>52</v>
      </c>
      <c r="Z67" s="8" t="s">
        <v>53</v>
      </c>
      <c r="AA67" s="8"/>
      <c r="AB67" s="8" t="s">
        <v>54</v>
      </c>
      <c r="AC67" s="8" t="s">
        <v>55</v>
      </c>
      <c r="AD67" s="8"/>
      <c r="AE67" s="8">
        <v>2217313347</v>
      </c>
      <c r="AF67" s="8" t="s">
        <v>56</v>
      </c>
      <c r="AG67" s="8" t="s">
        <v>57</v>
      </c>
      <c r="AH67" s="8" t="s">
        <v>58</v>
      </c>
      <c r="AI67" s="8"/>
      <c r="AJ67" s="8"/>
      <c r="AK67" s="11"/>
      <c r="AL67" s="11" t="str">
        <f>IF($M67="DR", IF($O67="","",$O67), IF($X67="","",$X67))</f>
        <v>HILTON GARDEN INN</v>
      </c>
    </row>
    <row r="68" spans="1:38" ht="29" x14ac:dyDescent="0.35">
      <c r="A68" s="4">
        <v>2218617490</v>
      </c>
      <c r="B68" s="4" t="s">
        <v>59</v>
      </c>
      <c r="C68" s="4"/>
      <c r="D68" s="4"/>
      <c r="E68" s="4"/>
      <c r="F68" s="4" t="s">
        <v>75</v>
      </c>
      <c r="G68" s="4" t="s">
        <v>165</v>
      </c>
      <c r="H68" s="4" t="s">
        <v>43</v>
      </c>
      <c r="I68" s="4" t="s">
        <v>44</v>
      </c>
      <c r="J68" s="4" t="s">
        <v>45</v>
      </c>
      <c r="K68" s="5">
        <v>25</v>
      </c>
      <c r="L68" s="6">
        <v>46102</v>
      </c>
      <c r="M68" s="4" t="s">
        <v>46</v>
      </c>
      <c r="N68" s="4" t="s">
        <v>77</v>
      </c>
      <c r="O68" s="4" t="s">
        <v>128</v>
      </c>
      <c r="P68" s="4"/>
      <c r="Q68" s="4" t="s">
        <v>128</v>
      </c>
      <c r="R68" s="4"/>
      <c r="S68" s="4" t="s">
        <v>64</v>
      </c>
      <c r="T68" s="4" t="s">
        <v>55</v>
      </c>
      <c r="U68" s="4" t="s">
        <v>50</v>
      </c>
      <c r="V68" s="4"/>
      <c r="W68" s="4" t="s">
        <v>75</v>
      </c>
      <c r="X68" s="4" t="s">
        <v>51</v>
      </c>
      <c r="Y68" s="4" t="s">
        <v>52</v>
      </c>
      <c r="Z68" s="4" t="s">
        <v>53</v>
      </c>
      <c r="AA68" s="4"/>
      <c r="AB68" s="4" t="s">
        <v>54</v>
      </c>
      <c r="AC68" s="4" t="s">
        <v>55</v>
      </c>
      <c r="AD68" s="4"/>
      <c r="AE68" s="4">
        <v>2218617490</v>
      </c>
      <c r="AF68" s="4" t="s">
        <v>56</v>
      </c>
      <c r="AG68" s="4" t="s">
        <v>57</v>
      </c>
      <c r="AH68" s="4" t="s">
        <v>58</v>
      </c>
      <c r="AI68" s="4"/>
      <c r="AJ68" s="4"/>
      <c r="AK68" s="7"/>
      <c r="AL68" s="7" t="str">
        <f>IF($M68="DR", IF($O68="","",$O68), IF($X68="","",$X68))</f>
        <v>RB2B.COM</v>
      </c>
    </row>
    <row r="69" spans="1:38" ht="29" x14ac:dyDescent="0.35">
      <c r="A69" s="8">
        <v>2218976150</v>
      </c>
      <c r="B69" s="8" t="s">
        <v>59</v>
      </c>
      <c r="C69" s="8"/>
      <c r="D69" s="8"/>
      <c r="E69" s="8"/>
      <c r="F69" s="8" t="s">
        <v>142</v>
      </c>
      <c r="G69" s="8" t="s">
        <v>166</v>
      </c>
      <c r="H69" s="8" t="s">
        <v>43</v>
      </c>
      <c r="I69" s="8" t="s">
        <v>44</v>
      </c>
      <c r="J69" s="8" t="s">
        <v>45</v>
      </c>
      <c r="K69" s="9">
        <v>386.65</v>
      </c>
      <c r="L69" s="10">
        <v>46103</v>
      </c>
      <c r="M69" s="8" t="s">
        <v>46</v>
      </c>
      <c r="N69" s="8">
        <v>4445074094368</v>
      </c>
      <c r="O69" s="8" t="s">
        <v>160</v>
      </c>
      <c r="P69" s="8"/>
      <c r="Q69" s="8" t="s">
        <v>160</v>
      </c>
      <c r="R69" s="8"/>
      <c r="S69" s="8" t="s">
        <v>64</v>
      </c>
      <c r="T69" s="8" t="s">
        <v>55</v>
      </c>
      <c r="U69" s="8" t="s">
        <v>50</v>
      </c>
      <c r="V69" s="8"/>
      <c r="W69" s="8" t="s">
        <v>142</v>
      </c>
      <c r="X69" s="8" t="s">
        <v>51</v>
      </c>
      <c r="Y69" s="8" t="s">
        <v>52</v>
      </c>
      <c r="Z69" s="8" t="s">
        <v>53</v>
      </c>
      <c r="AA69" s="8"/>
      <c r="AB69" s="8" t="s">
        <v>54</v>
      </c>
      <c r="AC69" s="8" t="s">
        <v>55</v>
      </c>
      <c r="AD69" s="8"/>
      <c r="AE69" s="8">
        <v>2218976150</v>
      </c>
      <c r="AF69" s="8" t="s">
        <v>56</v>
      </c>
      <c r="AG69" s="8" t="s">
        <v>57</v>
      </c>
      <c r="AH69" s="8" t="s">
        <v>58</v>
      </c>
      <c r="AI69" s="8"/>
      <c r="AJ69" s="8"/>
      <c r="AK69" s="11"/>
      <c r="AL69" s="11" t="str">
        <f>IF($M69="DR", IF($O69="","",$O69), IF($X69="","",$X69))</f>
        <v>TST* BON DELIRE</v>
      </c>
    </row>
  </sheetData>
  <autoFilter ref="A1:AL69" xr:uid="{9050F568-6D88-4C55-89DD-F4A63CE97F8C}">
    <sortState xmlns:xlrd2="http://schemas.microsoft.com/office/spreadsheetml/2017/richdata2" ref="A2:AL69">
      <sortCondition ref="L1:L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2B5D-AC3A-48D1-907F-7A904A8F0714}">
  <dimension ref="A3:S128"/>
  <sheetViews>
    <sheetView zoomScale="85" zoomScaleNormal="85" workbookViewId="0"/>
  </sheetViews>
  <sheetFormatPr defaultRowHeight="14.5" x14ac:dyDescent="0.35"/>
  <cols>
    <col min="1" max="1" width="38.1796875" bestFit="1" customWidth="1"/>
    <col min="2" max="2" width="24" bestFit="1" customWidth="1"/>
    <col min="3" max="3" width="25.36328125" bestFit="1" customWidth="1"/>
    <col min="6" max="6" width="11.7265625" bestFit="1" customWidth="1"/>
    <col min="7" max="7" width="24.36328125" bestFit="1" customWidth="1"/>
    <col min="8" max="8" width="25.7265625" bestFit="1" customWidth="1"/>
    <col min="11" max="11" width="11.7265625" bestFit="1" customWidth="1"/>
    <col min="12" max="12" width="8.6328125" bestFit="1" customWidth="1"/>
    <col min="13" max="13" width="24.7265625" bestFit="1" customWidth="1"/>
    <col min="17" max="17" width="13.36328125" bestFit="1" customWidth="1"/>
    <col min="18" max="18" width="9" bestFit="1" customWidth="1"/>
    <col min="19" max="19" width="25.1796875" bestFit="1" customWidth="1"/>
  </cols>
  <sheetData>
    <row r="3" spans="1:19" x14ac:dyDescent="0.35">
      <c r="A3" s="12" t="s">
        <v>180</v>
      </c>
      <c r="B3" t="s">
        <v>183</v>
      </c>
      <c r="C3" t="s">
        <v>184</v>
      </c>
      <c r="F3" s="12" t="s">
        <v>180</v>
      </c>
      <c r="G3" t="s">
        <v>185</v>
      </c>
      <c r="H3" t="s">
        <v>186</v>
      </c>
      <c r="K3" s="12" t="s">
        <v>180</v>
      </c>
      <c r="L3" t="s">
        <v>254</v>
      </c>
      <c r="M3" t="s">
        <v>255</v>
      </c>
      <c r="Q3" s="12" t="s">
        <v>180</v>
      </c>
      <c r="R3" t="s">
        <v>256</v>
      </c>
      <c r="S3" t="s">
        <v>257</v>
      </c>
    </row>
    <row r="4" spans="1:19" x14ac:dyDescent="0.35">
      <c r="A4" s="13" t="s">
        <v>39</v>
      </c>
      <c r="B4" s="16">
        <v>23778.989999999998</v>
      </c>
      <c r="C4" s="17">
        <v>4</v>
      </c>
      <c r="F4" s="13" t="s">
        <v>187</v>
      </c>
      <c r="G4" s="16">
        <v>19338.019999999997</v>
      </c>
      <c r="H4" s="17">
        <v>34</v>
      </c>
      <c r="K4" s="13" t="s">
        <v>187</v>
      </c>
      <c r="L4" s="17">
        <v>34</v>
      </c>
      <c r="M4" s="16">
        <v>19338.019999999997</v>
      </c>
      <c r="Q4" s="13" t="s">
        <v>46</v>
      </c>
      <c r="R4" s="17">
        <v>68</v>
      </c>
      <c r="S4" s="21">
        <v>41873.33</v>
      </c>
    </row>
    <row r="5" spans="1:19" x14ac:dyDescent="0.35">
      <c r="A5" s="14" t="s">
        <v>46</v>
      </c>
      <c r="B5" s="16">
        <v>23778.989999999998</v>
      </c>
      <c r="C5" s="17">
        <v>4</v>
      </c>
      <c r="F5" s="14" t="s">
        <v>188</v>
      </c>
      <c r="G5" s="16">
        <v>6618.65</v>
      </c>
      <c r="H5" s="17">
        <v>2</v>
      </c>
      <c r="K5" s="14" t="s">
        <v>188</v>
      </c>
      <c r="L5" s="17">
        <v>2</v>
      </c>
      <c r="M5" s="16">
        <v>6618.65</v>
      </c>
      <c r="Q5" s="14" t="s">
        <v>187</v>
      </c>
      <c r="R5" s="17">
        <v>34</v>
      </c>
      <c r="S5" s="16">
        <v>19338.019999999997</v>
      </c>
    </row>
    <row r="6" spans="1:19" x14ac:dyDescent="0.35">
      <c r="A6" s="15" t="s">
        <v>174</v>
      </c>
      <c r="B6" s="16">
        <v>10000</v>
      </c>
      <c r="C6" s="17">
        <v>1</v>
      </c>
      <c r="F6" s="19" t="s">
        <v>189</v>
      </c>
      <c r="G6" s="16">
        <v>6618.65</v>
      </c>
      <c r="H6" s="17">
        <v>2</v>
      </c>
      <c r="K6" s="19" t="s">
        <v>189</v>
      </c>
      <c r="L6" s="17">
        <v>2</v>
      </c>
      <c r="M6" s="16">
        <v>6618.65</v>
      </c>
      <c r="Q6" s="15" t="s">
        <v>188</v>
      </c>
      <c r="R6" s="17">
        <v>2</v>
      </c>
      <c r="S6" s="16">
        <v>6618.65</v>
      </c>
    </row>
    <row r="7" spans="1:19" x14ac:dyDescent="0.35">
      <c r="A7" s="15" t="s">
        <v>47</v>
      </c>
      <c r="B7" s="16">
        <v>5600</v>
      </c>
      <c r="C7" s="17">
        <v>1</v>
      </c>
      <c r="F7" s="14" t="s">
        <v>190</v>
      </c>
      <c r="G7" s="16">
        <v>4141</v>
      </c>
      <c r="H7" s="17">
        <v>7</v>
      </c>
      <c r="K7" s="18" t="s">
        <v>46</v>
      </c>
      <c r="L7" s="17">
        <v>2</v>
      </c>
      <c r="M7" s="21">
        <v>6618.65</v>
      </c>
      <c r="Q7" s="20" t="s">
        <v>189</v>
      </c>
      <c r="R7" s="17">
        <v>2</v>
      </c>
      <c r="S7" s="16">
        <v>6618.65</v>
      </c>
    </row>
    <row r="8" spans="1:19" x14ac:dyDescent="0.35">
      <c r="A8" s="15" t="s">
        <v>144</v>
      </c>
      <c r="B8" s="16">
        <v>4239.99</v>
      </c>
      <c r="C8" s="17">
        <v>1</v>
      </c>
      <c r="F8" s="19" t="s">
        <v>191</v>
      </c>
      <c r="G8" s="16">
        <v>29</v>
      </c>
      <c r="H8" s="17">
        <v>1</v>
      </c>
      <c r="K8" s="14" t="s">
        <v>190</v>
      </c>
      <c r="L8" s="17">
        <v>7</v>
      </c>
      <c r="M8" s="16">
        <v>4141</v>
      </c>
      <c r="Q8" s="15" t="s">
        <v>190</v>
      </c>
      <c r="R8" s="17">
        <v>7</v>
      </c>
      <c r="S8" s="16">
        <v>4141</v>
      </c>
    </row>
    <row r="9" spans="1:19" x14ac:dyDescent="0.35">
      <c r="A9" s="15" t="s">
        <v>94</v>
      </c>
      <c r="B9" s="16">
        <v>3939</v>
      </c>
      <c r="C9" s="17">
        <v>1</v>
      </c>
      <c r="F9" s="19" t="s">
        <v>192</v>
      </c>
      <c r="G9" s="16">
        <v>3420</v>
      </c>
      <c r="H9" s="17">
        <v>1</v>
      </c>
      <c r="K9" s="19" t="s">
        <v>191</v>
      </c>
      <c r="L9" s="17">
        <v>1</v>
      </c>
      <c r="M9" s="16">
        <v>29</v>
      </c>
      <c r="Q9" s="20" t="s">
        <v>191</v>
      </c>
      <c r="R9" s="17">
        <v>1</v>
      </c>
      <c r="S9" s="16">
        <v>29</v>
      </c>
    </row>
    <row r="10" spans="1:19" x14ac:dyDescent="0.35">
      <c r="A10" s="13" t="s">
        <v>181</v>
      </c>
      <c r="B10" s="16">
        <v>18094.34</v>
      </c>
      <c r="C10" s="17">
        <v>64</v>
      </c>
      <c r="F10" s="19" t="s">
        <v>193</v>
      </c>
      <c r="G10" s="16">
        <v>149</v>
      </c>
      <c r="H10" s="17">
        <v>1</v>
      </c>
      <c r="K10" s="18" t="s">
        <v>46</v>
      </c>
      <c r="L10" s="17">
        <v>1</v>
      </c>
      <c r="M10" s="21">
        <v>29</v>
      </c>
      <c r="Q10" s="20" t="s">
        <v>192</v>
      </c>
      <c r="R10" s="17">
        <v>1</v>
      </c>
      <c r="S10" s="16">
        <v>3420</v>
      </c>
    </row>
    <row r="11" spans="1:19" x14ac:dyDescent="0.35">
      <c r="A11" s="14" t="s">
        <v>46</v>
      </c>
      <c r="B11" s="16">
        <v>18094.34</v>
      </c>
      <c r="C11" s="17">
        <v>64</v>
      </c>
      <c r="F11" s="19" t="s">
        <v>194</v>
      </c>
      <c r="G11" s="16">
        <v>300</v>
      </c>
      <c r="H11" s="17">
        <v>1</v>
      </c>
      <c r="K11" s="19" t="s">
        <v>192</v>
      </c>
      <c r="L11" s="17">
        <v>1</v>
      </c>
      <c r="M11" s="16">
        <v>3420</v>
      </c>
      <c r="Q11" s="20" t="s">
        <v>193</v>
      </c>
      <c r="R11" s="17">
        <v>1</v>
      </c>
      <c r="S11" s="16">
        <v>149</v>
      </c>
    </row>
    <row r="12" spans="1:19" x14ac:dyDescent="0.35">
      <c r="A12" s="15" t="s">
        <v>74</v>
      </c>
      <c r="B12" s="16">
        <v>3420</v>
      </c>
      <c r="C12" s="17">
        <v>1</v>
      </c>
      <c r="F12" s="19" t="s">
        <v>195</v>
      </c>
      <c r="G12" s="16">
        <v>28</v>
      </c>
      <c r="H12" s="17">
        <v>1</v>
      </c>
      <c r="K12" s="18" t="s">
        <v>46</v>
      </c>
      <c r="L12" s="17">
        <v>1</v>
      </c>
      <c r="M12" s="21">
        <v>3420</v>
      </c>
      <c r="Q12" s="20" t="s">
        <v>194</v>
      </c>
      <c r="R12" s="17">
        <v>1</v>
      </c>
      <c r="S12" s="16">
        <v>300</v>
      </c>
    </row>
    <row r="13" spans="1:19" x14ac:dyDescent="0.35">
      <c r="A13" s="15" t="s">
        <v>81</v>
      </c>
      <c r="B13" s="16">
        <v>2100</v>
      </c>
      <c r="C13" s="17">
        <v>7</v>
      </c>
      <c r="F13" s="19" t="s">
        <v>196</v>
      </c>
      <c r="G13" s="16">
        <v>66</v>
      </c>
      <c r="H13" s="17">
        <v>1</v>
      </c>
      <c r="K13" s="19" t="s">
        <v>193</v>
      </c>
      <c r="L13" s="17">
        <v>1</v>
      </c>
      <c r="M13" s="16">
        <v>149</v>
      </c>
      <c r="Q13" s="20" t="s">
        <v>195</v>
      </c>
      <c r="R13" s="17">
        <v>1</v>
      </c>
      <c r="S13" s="16">
        <v>28</v>
      </c>
    </row>
    <row r="14" spans="1:19" x14ac:dyDescent="0.35">
      <c r="A14" s="15" t="s">
        <v>107</v>
      </c>
      <c r="B14" s="16">
        <v>1616.24</v>
      </c>
      <c r="C14" s="17">
        <v>1</v>
      </c>
      <c r="F14" s="19" t="s">
        <v>197</v>
      </c>
      <c r="G14" s="16">
        <v>149</v>
      </c>
      <c r="H14" s="17">
        <v>1</v>
      </c>
      <c r="K14" s="18" t="s">
        <v>46</v>
      </c>
      <c r="L14" s="17">
        <v>1</v>
      </c>
      <c r="M14" s="21">
        <v>149</v>
      </c>
      <c r="Q14" s="20" t="s">
        <v>196</v>
      </c>
      <c r="R14" s="17">
        <v>1</v>
      </c>
      <c r="S14" s="16">
        <v>66</v>
      </c>
    </row>
    <row r="15" spans="1:19" x14ac:dyDescent="0.35">
      <c r="A15" s="15" t="s">
        <v>94</v>
      </c>
      <c r="B15" s="16">
        <v>1497.23</v>
      </c>
      <c r="C15" s="17">
        <v>5</v>
      </c>
      <c r="F15" s="14" t="s">
        <v>198</v>
      </c>
      <c r="G15" s="16">
        <v>886.23</v>
      </c>
      <c r="H15" s="17">
        <v>7</v>
      </c>
      <c r="K15" s="19" t="s">
        <v>194</v>
      </c>
      <c r="L15" s="17">
        <v>1</v>
      </c>
      <c r="M15" s="16">
        <v>300</v>
      </c>
      <c r="Q15" s="20" t="s">
        <v>197</v>
      </c>
      <c r="R15" s="17">
        <v>1</v>
      </c>
      <c r="S15" s="16">
        <v>149</v>
      </c>
    </row>
    <row r="16" spans="1:19" x14ac:dyDescent="0.35">
      <c r="A16" s="15" t="s">
        <v>146</v>
      </c>
      <c r="B16" s="16">
        <v>1466.3</v>
      </c>
      <c r="C16" s="17">
        <v>1</v>
      </c>
      <c r="F16" s="19" t="s">
        <v>199</v>
      </c>
      <c r="G16" s="16">
        <v>29</v>
      </c>
      <c r="H16" s="17">
        <v>1</v>
      </c>
      <c r="K16" s="18" t="s">
        <v>46</v>
      </c>
      <c r="L16" s="17">
        <v>1</v>
      </c>
      <c r="M16" s="21">
        <v>300</v>
      </c>
      <c r="Q16" s="15" t="s">
        <v>198</v>
      </c>
      <c r="R16" s="17">
        <v>7</v>
      </c>
      <c r="S16" s="16">
        <v>886.23</v>
      </c>
    </row>
    <row r="17" spans="1:19" x14ac:dyDescent="0.35">
      <c r="A17" s="15" t="s">
        <v>135</v>
      </c>
      <c r="B17" s="16">
        <v>1026.9100000000001</v>
      </c>
      <c r="C17" s="17">
        <v>1</v>
      </c>
      <c r="F17" s="19" t="s">
        <v>200</v>
      </c>
      <c r="G17" s="16">
        <v>24</v>
      </c>
      <c r="H17" s="17">
        <v>1</v>
      </c>
      <c r="K17" s="19" t="s">
        <v>195</v>
      </c>
      <c r="L17" s="17">
        <v>1</v>
      </c>
      <c r="M17" s="16">
        <v>28</v>
      </c>
      <c r="Q17" s="20" t="s">
        <v>199</v>
      </c>
      <c r="R17" s="17">
        <v>1</v>
      </c>
      <c r="S17" s="16">
        <v>29</v>
      </c>
    </row>
    <row r="18" spans="1:19" x14ac:dyDescent="0.35">
      <c r="A18" s="15" t="s">
        <v>63</v>
      </c>
      <c r="B18" s="16">
        <v>1018.65</v>
      </c>
      <c r="C18" s="17">
        <v>1</v>
      </c>
      <c r="F18" s="19" t="s">
        <v>201</v>
      </c>
      <c r="G18" s="16">
        <v>449</v>
      </c>
      <c r="H18" s="17">
        <v>2</v>
      </c>
      <c r="K18" s="18" t="s">
        <v>46</v>
      </c>
      <c r="L18" s="17">
        <v>1</v>
      </c>
      <c r="M18" s="21">
        <v>28</v>
      </c>
      <c r="Q18" s="20" t="s">
        <v>200</v>
      </c>
      <c r="R18" s="17">
        <v>1</v>
      </c>
      <c r="S18" s="16">
        <v>24</v>
      </c>
    </row>
    <row r="19" spans="1:19" x14ac:dyDescent="0.35">
      <c r="A19" s="15" t="s">
        <v>88</v>
      </c>
      <c r="B19" s="16">
        <v>745</v>
      </c>
      <c r="C19" s="17">
        <v>5</v>
      </c>
      <c r="F19" s="19" t="s">
        <v>202</v>
      </c>
      <c r="G19" s="16">
        <v>94</v>
      </c>
      <c r="H19" s="17">
        <v>1</v>
      </c>
      <c r="K19" s="19" t="s">
        <v>196</v>
      </c>
      <c r="L19" s="17">
        <v>1</v>
      </c>
      <c r="M19" s="16">
        <v>66</v>
      </c>
      <c r="Q19" s="20" t="s">
        <v>201</v>
      </c>
      <c r="R19" s="17">
        <v>2</v>
      </c>
      <c r="S19" s="16">
        <v>449</v>
      </c>
    </row>
    <row r="20" spans="1:19" x14ac:dyDescent="0.35">
      <c r="A20" s="15" t="s">
        <v>78</v>
      </c>
      <c r="B20" s="16">
        <v>624.9</v>
      </c>
      <c r="C20" s="17">
        <v>4</v>
      </c>
      <c r="F20" s="19" t="s">
        <v>203</v>
      </c>
      <c r="G20" s="16">
        <v>141.22999999999999</v>
      </c>
      <c r="H20" s="17">
        <v>1</v>
      </c>
      <c r="K20" s="18" t="s">
        <v>46</v>
      </c>
      <c r="L20" s="17">
        <v>1</v>
      </c>
      <c r="M20" s="21">
        <v>66</v>
      </c>
      <c r="Q20" s="20" t="s">
        <v>202</v>
      </c>
      <c r="R20" s="17">
        <v>1</v>
      </c>
      <c r="S20" s="16">
        <v>94</v>
      </c>
    </row>
    <row r="21" spans="1:19" x14ac:dyDescent="0.35">
      <c r="A21" s="15" t="s">
        <v>128</v>
      </c>
      <c r="B21" s="16">
        <v>607</v>
      </c>
      <c r="C21" s="17">
        <v>4</v>
      </c>
      <c r="F21" s="19" t="s">
        <v>204</v>
      </c>
      <c r="G21" s="16">
        <v>149</v>
      </c>
      <c r="H21" s="17">
        <v>1</v>
      </c>
      <c r="K21" s="19" t="s">
        <v>197</v>
      </c>
      <c r="L21" s="17">
        <v>1</v>
      </c>
      <c r="M21" s="16">
        <v>149</v>
      </c>
      <c r="Q21" s="20" t="s">
        <v>203</v>
      </c>
      <c r="R21" s="17">
        <v>1</v>
      </c>
      <c r="S21" s="16">
        <v>141.22999999999999</v>
      </c>
    </row>
    <row r="22" spans="1:19" x14ac:dyDescent="0.35">
      <c r="A22" s="15" t="s">
        <v>169</v>
      </c>
      <c r="B22" s="16">
        <v>600</v>
      </c>
      <c r="C22" s="17">
        <v>1</v>
      </c>
      <c r="F22" s="14" t="s">
        <v>205</v>
      </c>
      <c r="G22" s="16">
        <v>2929.1400000000003</v>
      </c>
      <c r="H22" s="17">
        <v>9</v>
      </c>
      <c r="K22" s="18" t="s">
        <v>46</v>
      </c>
      <c r="L22" s="17">
        <v>1</v>
      </c>
      <c r="M22" s="21">
        <v>149</v>
      </c>
      <c r="Q22" s="20" t="s">
        <v>204</v>
      </c>
      <c r="R22" s="17">
        <v>1</v>
      </c>
      <c r="S22" s="16">
        <v>149</v>
      </c>
    </row>
    <row r="23" spans="1:19" x14ac:dyDescent="0.35">
      <c r="A23" s="15" t="s">
        <v>68</v>
      </c>
      <c r="B23" s="16">
        <v>500.96999999999997</v>
      </c>
      <c r="C23" s="17">
        <v>16</v>
      </c>
      <c r="F23" s="19" t="s">
        <v>206</v>
      </c>
      <c r="G23" s="16">
        <v>29</v>
      </c>
      <c r="H23" s="17">
        <v>1</v>
      </c>
      <c r="K23" s="14" t="s">
        <v>198</v>
      </c>
      <c r="L23" s="17">
        <v>7</v>
      </c>
      <c r="M23" s="16">
        <v>886.23</v>
      </c>
      <c r="Q23" s="15" t="s">
        <v>205</v>
      </c>
      <c r="R23" s="17">
        <v>9</v>
      </c>
      <c r="S23" s="16">
        <v>2929.1400000000003</v>
      </c>
    </row>
    <row r="24" spans="1:19" x14ac:dyDescent="0.35">
      <c r="A24" s="15" t="s">
        <v>122</v>
      </c>
      <c r="B24" s="16">
        <v>500</v>
      </c>
      <c r="C24" s="17">
        <v>1</v>
      </c>
      <c r="F24" s="19" t="s">
        <v>207</v>
      </c>
      <c r="G24" s="16">
        <v>339</v>
      </c>
      <c r="H24" s="17">
        <v>1</v>
      </c>
      <c r="K24" s="19" t="s">
        <v>199</v>
      </c>
      <c r="L24" s="17">
        <v>1</v>
      </c>
      <c r="M24" s="16">
        <v>29</v>
      </c>
      <c r="Q24" s="20" t="s">
        <v>206</v>
      </c>
      <c r="R24" s="17">
        <v>1</v>
      </c>
      <c r="S24" s="16">
        <v>29</v>
      </c>
    </row>
    <row r="25" spans="1:19" x14ac:dyDescent="0.35">
      <c r="A25" s="15" t="s">
        <v>156</v>
      </c>
      <c r="B25" s="16">
        <v>489.24</v>
      </c>
      <c r="C25" s="17">
        <v>1</v>
      </c>
      <c r="F25" s="19" t="s">
        <v>208</v>
      </c>
      <c r="G25" s="16">
        <v>200</v>
      </c>
      <c r="H25" s="17">
        <v>1</v>
      </c>
      <c r="K25" s="18" t="s">
        <v>46</v>
      </c>
      <c r="L25" s="17">
        <v>1</v>
      </c>
      <c r="M25" s="21">
        <v>29</v>
      </c>
      <c r="Q25" s="20" t="s">
        <v>207</v>
      </c>
      <c r="R25" s="17">
        <v>1</v>
      </c>
      <c r="S25" s="16">
        <v>339</v>
      </c>
    </row>
    <row r="26" spans="1:19" x14ac:dyDescent="0.35">
      <c r="A26" s="15" t="s">
        <v>141</v>
      </c>
      <c r="B26" s="16">
        <v>420</v>
      </c>
      <c r="C26" s="17">
        <v>1</v>
      </c>
      <c r="F26" s="19" t="s">
        <v>209</v>
      </c>
      <c r="G26" s="16">
        <v>24</v>
      </c>
      <c r="H26" s="17">
        <v>1</v>
      </c>
      <c r="K26" s="19" t="s">
        <v>200</v>
      </c>
      <c r="L26" s="17">
        <v>1</v>
      </c>
      <c r="M26" s="16">
        <v>24</v>
      </c>
      <c r="Q26" s="20" t="s">
        <v>208</v>
      </c>
      <c r="R26" s="17">
        <v>1</v>
      </c>
      <c r="S26" s="16">
        <v>200</v>
      </c>
    </row>
    <row r="27" spans="1:19" x14ac:dyDescent="0.35">
      <c r="A27" s="15" t="s">
        <v>160</v>
      </c>
      <c r="B27" s="16">
        <v>414.58</v>
      </c>
      <c r="C27" s="17">
        <v>2</v>
      </c>
      <c r="F27" s="19" t="s">
        <v>210</v>
      </c>
      <c r="G27" s="16">
        <v>177.9</v>
      </c>
      <c r="H27" s="17">
        <v>1</v>
      </c>
      <c r="K27" s="18" t="s">
        <v>46</v>
      </c>
      <c r="L27" s="17">
        <v>1</v>
      </c>
      <c r="M27" s="21">
        <v>24</v>
      </c>
      <c r="Q27" s="20" t="s">
        <v>209</v>
      </c>
      <c r="R27" s="17">
        <v>1</v>
      </c>
      <c r="S27" s="16">
        <v>24</v>
      </c>
    </row>
    <row r="28" spans="1:19" x14ac:dyDescent="0.35">
      <c r="A28" s="15" t="s">
        <v>84</v>
      </c>
      <c r="B28" s="16">
        <v>376</v>
      </c>
      <c r="C28" s="17">
        <v>5</v>
      </c>
      <c r="F28" s="19" t="s">
        <v>211</v>
      </c>
      <c r="G28" s="16">
        <v>300</v>
      </c>
      <c r="H28" s="17">
        <v>1</v>
      </c>
      <c r="K28" s="19" t="s">
        <v>201</v>
      </c>
      <c r="L28" s="17">
        <v>2</v>
      </c>
      <c r="M28" s="16">
        <v>449</v>
      </c>
      <c r="Q28" s="20" t="s">
        <v>210</v>
      </c>
      <c r="R28" s="17">
        <v>1</v>
      </c>
      <c r="S28" s="16">
        <v>177.9</v>
      </c>
    </row>
    <row r="29" spans="1:19" x14ac:dyDescent="0.35">
      <c r="A29" s="15" t="s">
        <v>150</v>
      </c>
      <c r="B29" s="16">
        <v>321.56</v>
      </c>
      <c r="C29" s="17">
        <v>1</v>
      </c>
      <c r="F29" s="19" t="s">
        <v>212</v>
      </c>
      <c r="G29" s="16">
        <v>94</v>
      </c>
      <c r="H29" s="17">
        <v>1</v>
      </c>
      <c r="K29" s="18" t="s">
        <v>46</v>
      </c>
      <c r="L29" s="17">
        <v>2</v>
      </c>
      <c r="M29" s="21">
        <v>449</v>
      </c>
      <c r="Q29" s="20" t="s">
        <v>211</v>
      </c>
      <c r="R29" s="17">
        <v>1</v>
      </c>
      <c r="S29" s="16">
        <v>300</v>
      </c>
    </row>
    <row r="30" spans="1:19" x14ac:dyDescent="0.35">
      <c r="A30" s="15" t="s">
        <v>100</v>
      </c>
      <c r="B30" s="16">
        <v>200</v>
      </c>
      <c r="C30" s="17">
        <v>1</v>
      </c>
      <c r="F30" s="19" t="s">
        <v>213</v>
      </c>
      <c r="G30" s="16">
        <v>149</v>
      </c>
      <c r="H30" s="17">
        <v>1</v>
      </c>
      <c r="K30" s="19" t="s">
        <v>202</v>
      </c>
      <c r="L30" s="17">
        <v>1</v>
      </c>
      <c r="M30" s="16">
        <v>94</v>
      </c>
      <c r="Q30" s="20" t="s">
        <v>212</v>
      </c>
      <c r="R30" s="17">
        <v>1</v>
      </c>
      <c r="S30" s="16">
        <v>94</v>
      </c>
    </row>
    <row r="31" spans="1:19" x14ac:dyDescent="0.35">
      <c r="A31" s="15" t="s">
        <v>152</v>
      </c>
      <c r="B31" s="16">
        <v>70.290000000000006</v>
      </c>
      <c r="C31" s="17">
        <v>1</v>
      </c>
      <c r="F31" s="19" t="s">
        <v>214</v>
      </c>
      <c r="G31" s="16">
        <v>1616.24</v>
      </c>
      <c r="H31" s="17">
        <v>1</v>
      </c>
      <c r="K31" s="18" t="s">
        <v>46</v>
      </c>
      <c r="L31" s="17">
        <v>1</v>
      </c>
      <c r="M31" s="21">
        <v>94</v>
      </c>
      <c r="Q31" s="20" t="s">
        <v>213</v>
      </c>
      <c r="R31" s="17">
        <v>1</v>
      </c>
      <c r="S31" s="16">
        <v>149</v>
      </c>
    </row>
    <row r="32" spans="1:19" x14ac:dyDescent="0.35">
      <c r="A32" s="15" t="s">
        <v>113</v>
      </c>
      <c r="B32" s="16">
        <v>50</v>
      </c>
      <c r="C32" s="17">
        <v>1</v>
      </c>
      <c r="F32" s="14" t="s">
        <v>215</v>
      </c>
      <c r="G32" s="16">
        <v>4763</v>
      </c>
      <c r="H32" s="17">
        <v>9</v>
      </c>
      <c r="K32" s="19" t="s">
        <v>203</v>
      </c>
      <c r="L32" s="17">
        <v>1</v>
      </c>
      <c r="M32" s="16">
        <v>141.22999999999999</v>
      </c>
      <c r="Q32" s="20" t="s">
        <v>214</v>
      </c>
      <c r="R32" s="17">
        <v>1</v>
      </c>
      <c r="S32" s="16">
        <v>1616.24</v>
      </c>
    </row>
    <row r="33" spans="1:19" x14ac:dyDescent="0.35">
      <c r="A33" s="15" t="s">
        <v>163</v>
      </c>
      <c r="B33" s="16">
        <v>23</v>
      </c>
      <c r="C33" s="17">
        <v>2</v>
      </c>
      <c r="F33" s="19" t="s">
        <v>216</v>
      </c>
      <c r="G33" s="16">
        <v>29</v>
      </c>
      <c r="H33" s="17">
        <v>1</v>
      </c>
      <c r="K33" s="18" t="s">
        <v>46</v>
      </c>
      <c r="L33" s="17">
        <v>1</v>
      </c>
      <c r="M33" s="21">
        <v>141.22999999999999</v>
      </c>
      <c r="Q33" s="15" t="s">
        <v>215</v>
      </c>
      <c r="R33" s="17">
        <v>9</v>
      </c>
      <c r="S33" s="16">
        <v>4763</v>
      </c>
    </row>
    <row r="34" spans="1:19" x14ac:dyDescent="0.35">
      <c r="A34" s="15" t="s">
        <v>178</v>
      </c>
      <c r="B34" s="16">
        <v>6.47</v>
      </c>
      <c r="C34" s="17">
        <v>1</v>
      </c>
      <c r="F34" s="19" t="s">
        <v>217</v>
      </c>
      <c r="G34" s="16">
        <v>3989</v>
      </c>
      <c r="H34" s="17">
        <v>2</v>
      </c>
      <c r="K34" s="19" t="s">
        <v>204</v>
      </c>
      <c r="L34" s="17">
        <v>1</v>
      </c>
      <c r="M34" s="16">
        <v>149</v>
      </c>
      <c r="Q34" s="20" t="s">
        <v>216</v>
      </c>
      <c r="R34" s="17">
        <v>1</v>
      </c>
      <c r="S34" s="16">
        <v>29</v>
      </c>
    </row>
    <row r="35" spans="1:19" x14ac:dyDescent="0.35">
      <c r="A35" s="13" t="s">
        <v>182</v>
      </c>
      <c r="B35" s="16">
        <v>41873.33</v>
      </c>
      <c r="C35" s="17">
        <v>68</v>
      </c>
      <c r="F35" s="19" t="s">
        <v>218</v>
      </c>
      <c r="G35" s="16">
        <v>29</v>
      </c>
      <c r="H35" s="17">
        <v>1</v>
      </c>
      <c r="K35" s="18" t="s">
        <v>46</v>
      </c>
      <c r="L35" s="17">
        <v>1</v>
      </c>
      <c r="M35" s="21">
        <v>149</v>
      </c>
      <c r="Q35" s="20" t="s">
        <v>217</v>
      </c>
      <c r="R35" s="17">
        <v>2</v>
      </c>
      <c r="S35" s="16">
        <v>3989</v>
      </c>
    </row>
    <row r="36" spans="1:19" x14ac:dyDescent="0.35">
      <c r="F36" s="19" t="s">
        <v>219</v>
      </c>
      <c r="G36" s="16">
        <v>24</v>
      </c>
      <c r="H36" s="17">
        <v>1</v>
      </c>
      <c r="K36" s="14" t="s">
        <v>205</v>
      </c>
      <c r="L36" s="17">
        <v>9</v>
      </c>
      <c r="M36" s="16">
        <v>2929.1400000000003</v>
      </c>
      <c r="Q36" s="20" t="s">
        <v>218</v>
      </c>
      <c r="R36" s="17">
        <v>1</v>
      </c>
      <c r="S36" s="16">
        <v>29</v>
      </c>
    </row>
    <row r="37" spans="1:19" x14ac:dyDescent="0.35">
      <c r="F37" s="19" t="s">
        <v>220</v>
      </c>
      <c r="G37" s="16">
        <v>149</v>
      </c>
      <c r="H37" s="17">
        <v>1</v>
      </c>
      <c r="K37" s="19" t="s">
        <v>206</v>
      </c>
      <c r="L37" s="17">
        <v>1</v>
      </c>
      <c r="M37" s="16">
        <v>29</v>
      </c>
      <c r="Q37" s="20" t="s">
        <v>219</v>
      </c>
      <c r="R37" s="17">
        <v>1</v>
      </c>
      <c r="S37" s="16">
        <v>24</v>
      </c>
    </row>
    <row r="38" spans="1:19" x14ac:dyDescent="0.35">
      <c r="F38" s="19" t="s">
        <v>221</v>
      </c>
      <c r="G38" s="16">
        <v>300</v>
      </c>
      <c r="H38" s="17">
        <v>1</v>
      </c>
      <c r="K38" s="18" t="s">
        <v>46</v>
      </c>
      <c r="L38" s="17">
        <v>1</v>
      </c>
      <c r="M38" s="21">
        <v>29</v>
      </c>
      <c r="Q38" s="20" t="s">
        <v>220</v>
      </c>
      <c r="R38" s="17">
        <v>1</v>
      </c>
      <c r="S38" s="16">
        <v>149</v>
      </c>
    </row>
    <row r="39" spans="1:19" x14ac:dyDescent="0.35">
      <c r="F39" s="19" t="s">
        <v>222</v>
      </c>
      <c r="G39" s="16">
        <v>94</v>
      </c>
      <c r="H39" s="17">
        <v>1</v>
      </c>
      <c r="K39" s="19" t="s">
        <v>207</v>
      </c>
      <c r="L39" s="17">
        <v>1</v>
      </c>
      <c r="M39" s="16">
        <v>339</v>
      </c>
      <c r="Q39" s="20" t="s">
        <v>221</v>
      </c>
      <c r="R39" s="17">
        <v>1</v>
      </c>
      <c r="S39" s="16">
        <v>300</v>
      </c>
    </row>
    <row r="40" spans="1:19" x14ac:dyDescent="0.35">
      <c r="F40" s="19" t="s">
        <v>223</v>
      </c>
      <c r="G40" s="16">
        <v>149</v>
      </c>
      <c r="H40" s="17">
        <v>1</v>
      </c>
      <c r="K40" s="18" t="s">
        <v>46</v>
      </c>
      <c r="L40" s="17">
        <v>1</v>
      </c>
      <c r="M40" s="21">
        <v>339</v>
      </c>
      <c r="Q40" s="20" t="s">
        <v>222</v>
      </c>
      <c r="R40" s="17">
        <v>1</v>
      </c>
      <c r="S40" s="16">
        <v>94</v>
      </c>
    </row>
    <row r="41" spans="1:19" x14ac:dyDescent="0.35">
      <c r="F41" s="13" t="s">
        <v>224</v>
      </c>
      <c r="G41" s="16">
        <v>22535.310000000005</v>
      </c>
      <c r="H41" s="17">
        <v>34</v>
      </c>
      <c r="K41" s="19" t="s">
        <v>208</v>
      </c>
      <c r="L41" s="17">
        <v>1</v>
      </c>
      <c r="M41" s="16">
        <v>200</v>
      </c>
      <c r="Q41" s="20" t="s">
        <v>223</v>
      </c>
      <c r="R41" s="17">
        <v>1</v>
      </c>
      <c r="S41" s="16">
        <v>149</v>
      </c>
    </row>
    <row r="42" spans="1:19" x14ac:dyDescent="0.35">
      <c r="F42" s="14" t="s">
        <v>225</v>
      </c>
      <c r="G42" s="16">
        <v>1575</v>
      </c>
      <c r="H42" s="17">
        <v>7</v>
      </c>
      <c r="K42" s="18" t="s">
        <v>46</v>
      </c>
      <c r="L42" s="17">
        <v>1</v>
      </c>
      <c r="M42" s="21">
        <v>200</v>
      </c>
      <c r="Q42" s="14" t="s">
        <v>224</v>
      </c>
      <c r="R42" s="17">
        <v>34</v>
      </c>
      <c r="S42" s="16">
        <v>22535.310000000005</v>
      </c>
    </row>
    <row r="43" spans="1:19" x14ac:dyDescent="0.35">
      <c r="F43" s="19" t="s">
        <v>226</v>
      </c>
      <c r="G43" s="16">
        <v>839</v>
      </c>
      <c r="H43" s="17">
        <v>2</v>
      </c>
      <c r="K43" s="19" t="s">
        <v>209</v>
      </c>
      <c r="L43" s="17">
        <v>1</v>
      </c>
      <c r="M43" s="16">
        <v>24</v>
      </c>
      <c r="Q43" s="15" t="s">
        <v>225</v>
      </c>
      <c r="R43" s="17">
        <v>7</v>
      </c>
      <c r="S43" s="16">
        <v>1575</v>
      </c>
    </row>
    <row r="44" spans="1:19" x14ac:dyDescent="0.35">
      <c r="F44" s="19" t="s">
        <v>227</v>
      </c>
      <c r="G44" s="16">
        <v>29</v>
      </c>
      <c r="H44" s="17">
        <v>1</v>
      </c>
      <c r="K44" s="18" t="s">
        <v>46</v>
      </c>
      <c r="L44" s="17">
        <v>1</v>
      </c>
      <c r="M44" s="21">
        <v>24</v>
      </c>
      <c r="Q44" s="20" t="s">
        <v>226</v>
      </c>
      <c r="R44" s="17">
        <v>2</v>
      </c>
      <c r="S44" s="16">
        <v>839</v>
      </c>
    </row>
    <row r="45" spans="1:19" x14ac:dyDescent="0.35">
      <c r="F45" s="19" t="s">
        <v>228</v>
      </c>
      <c r="G45" s="16">
        <v>24</v>
      </c>
      <c r="H45" s="17">
        <v>1</v>
      </c>
      <c r="K45" s="19" t="s">
        <v>210</v>
      </c>
      <c r="L45" s="17">
        <v>1</v>
      </c>
      <c r="M45" s="16">
        <v>177.9</v>
      </c>
      <c r="Q45" s="20" t="s">
        <v>227</v>
      </c>
      <c r="R45" s="17">
        <v>1</v>
      </c>
      <c r="S45" s="16">
        <v>29</v>
      </c>
    </row>
    <row r="46" spans="1:19" x14ac:dyDescent="0.35">
      <c r="F46" s="19" t="s">
        <v>229</v>
      </c>
      <c r="G46" s="16">
        <v>534</v>
      </c>
      <c r="H46" s="17">
        <v>2</v>
      </c>
      <c r="K46" s="18" t="s">
        <v>46</v>
      </c>
      <c r="L46" s="17">
        <v>1</v>
      </c>
      <c r="M46" s="21">
        <v>177.9</v>
      </c>
      <c r="Q46" s="20" t="s">
        <v>228</v>
      </c>
      <c r="R46" s="17">
        <v>1</v>
      </c>
      <c r="S46" s="16">
        <v>24</v>
      </c>
    </row>
    <row r="47" spans="1:19" x14ac:dyDescent="0.35">
      <c r="F47" s="19" t="s">
        <v>230</v>
      </c>
      <c r="G47" s="16">
        <v>149</v>
      </c>
      <c r="H47" s="17">
        <v>1</v>
      </c>
      <c r="K47" s="19" t="s">
        <v>211</v>
      </c>
      <c r="L47" s="17">
        <v>1</v>
      </c>
      <c r="M47" s="16">
        <v>300</v>
      </c>
      <c r="Q47" s="20" t="s">
        <v>229</v>
      </c>
      <c r="R47" s="17">
        <v>2</v>
      </c>
      <c r="S47" s="16">
        <v>534</v>
      </c>
    </row>
    <row r="48" spans="1:19" x14ac:dyDescent="0.35">
      <c r="F48" s="14" t="s">
        <v>231</v>
      </c>
      <c r="G48" s="16">
        <v>8464.93</v>
      </c>
      <c r="H48" s="17">
        <v>12</v>
      </c>
      <c r="K48" s="18" t="s">
        <v>46</v>
      </c>
      <c r="L48" s="17">
        <v>1</v>
      </c>
      <c r="M48" s="21">
        <v>300</v>
      </c>
      <c r="Q48" s="20" t="s">
        <v>230</v>
      </c>
      <c r="R48" s="17">
        <v>1</v>
      </c>
      <c r="S48" s="16">
        <v>149</v>
      </c>
    </row>
    <row r="49" spans="6:19" x14ac:dyDescent="0.35">
      <c r="F49" s="19" t="s">
        <v>232</v>
      </c>
      <c r="G49" s="16">
        <v>339</v>
      </c>
      <c r="H49" s="17">
        <v>1</v>
      </c>
      <c r="K49" s="19" t="s">
        <v>212</v>
      </c>
      <c r="L49" s="17">
        <v>1</v>
      </c>
      <c r="M49" s="16">
        <v>94</v>
      </c>
      <c r="Q49" s="15" t="s">
        <v>231</v>
      </c>
      <c r="R49" s="17">
        <v>12</v>
      </c>
      <c r="S49" s="16">
        <v>8464.93</v>
      </c>
    </row>
    <row r="50" spans="6:19" x14ac:dyDescent="0.35">
      <c r="F50" s="19" t="s">
        <v>233</v>
      </c>
      <c r="G50" s="16">
        <v>29</v>
      </c>
      <c r="H50" s="17">
        <v>1</v>
      </c>
      <c r="K50" s="18" t="s">
        <v>46</v>
      </c>
      <c r="L50" s="17">
        <v>1</v>
      </c>
      <c r="M50" s="21">
        <v>94</v>
      </c>
      <c r="Q50" s="20" t="s">
        <v>232</v>
      </c>
      <c r="R50" s="17">
        <v>1</v>
      </c>
      <c r="S50" s="16">
        <v>339</v>
      </c>
    </row>
    <row r="51" spans="6:19" x14ac:dyDescent="0.35">
      <c r="F51" s="19" t="s">
        <v>234</v>
      </c>
      <c r="G51" s="16">
        <v>1035.7900000000002</v>
      </c>
      <c r="H51" s="17">
        <v>2</v>
      </c>
      <c r="K51" s="19" t="s">
        <v>213</v>
      </c>
      <c r="L51" s="17">
        <v>1</v>
      </c>
      <c r="M51" s="16">
        <v>149</v>
      </c>
      <c r="Q51" s="20" t="s">
        <v>233</v>
      </c>
      <c r="R51" s="17">
        <v>1</v>
      </c>
      <c r="S51" s="16">
        <v>29</v>
      </c>
    </row>
    <row r="52" spans="6:19" x14ac:dyDescent="0.35">
      <c r="F52" s="19" t="s">
        <v>235</v>
      </c>
      <c r="G52" s="16">
        <v>69</v>
      </c>
      <c r="H52" s="17">
        <v>1</v>
      </c>
      <c r="K52" s="18" t="s">
        <v>46</v>
      </c>
      <c r="L52" s="17">
        <v>1</v>
      </c>
      <c r="M52" s="21">
        <v>149</v>
      </c>
      <c r="Q52" s="20" t="s">
        <v>234</v>
      </c>
      <c r="R52" s="17">
        <v>2</v>
      </c>
      <c r="S52" s="16">
        <v>1035.7900000000002</v>
      </c>
    </row>
    <row r="53" spans="6:19" x14ac:dyDescent="0.35">
      <c r="F53" s="19" t="s">
        <v>236</v>
      </c>
      <c r="G53" s="16">
        <v>174</v>
      </c>
      <c r="H53" s="17">
        <v>1</v>
      </c>
      <c r="K53" s="19" t="s">
        <v>214</v>
      </c>
      <c r="L53" s="17">
        <v>1</v>
      </c>
      <c r="M53" s="16">
        <v>1616.24</v>
      </c>
      <c r="Q53" s="20" t="s">
        <v>235</v>
      </c>
      <c r="R53" s="17">
        <v>1</v>
      </c>
      <c r="S53" s="16">
        <v>69</v>
      </c>
    </row>
    <row r="54" spans="6:19" x14ac:dyDescent="0.35">
      <c r="F54" s="19" t="s">
        <v>237</v>
      </c>
      <c r="G54" s="16">
        <v>300</v>
      </c>
      <c r="H54" s="17">
        <v>1</v>
      </c>
      <c r="K54" s="18" t="s">
        <v>46</v>
      </c>
      <c r="L54" s="17">
        <v>1</v>
      </c>
      <c r="M54" s="21">
        <v>1616.24</v>
      </c>
      <c r="Q54" s="20" t="s">
        <v>236</v>
      </c>
      <c r="R54" s="17">
        <v>1</v>
      </c>
      <c r="S54" s="16">
        <v>174</v>
      </c>
    </row>
    <row r="55" spans="6:19" x14ac:dyDescent="0.35">
      <c r="F55" s="19" t="s">
        <v>238</v>
      </c>
      <c r="G55" s="16">
        <v>420</v>
      </c>
      <c r="H55" s="17">
        <v>1</v>
      </c>
      <c r="K55" s="14" t="s">
        <v>215</v>
      </c>
      <c r="L55" s="17">
        <v>9</v>
      </c>
      <c r="M55" s="16">
        <v>4763</v>
      </c>
      <c r="Q55" s="20" t="s">
        <v>237</v>
      </c>
      <c r="R55" s="17">
        <v>1</v>
      </c>
      <c r="S55" s="16">
        <v>300</v>
      </c>
    </row>
    <row r="56" spans="6:19" x14ac:dyDescent="0.35">
      <c r="F56" s="19" t="s">
        <v>239</v>
      </c>
      <c r="G56" s="16">
        <v>4239.99</v>
      </c>
      <c r="H56" s="17">
        <v>1</v>
      </c>
      <c r="K56" s="19" t="s">
        <v>216</v>
      </c>
      <c r="L56" s="17">
        <v>1</v>
      </c>
      <c r="M56" s="16">
        <v>29</v>
      </c>
      <c r="Q56" s="20" t="s">
        <v>238</v>
      </c>
      <c r="R56" s="17">
        <v>1</v>
      </c>
      <c r="S56" s="16">
        <v>420</v>
      </c>
    </row>
    <row r="57" spans="6:19" x14ac:dyDescent="0.35">
      <c r="F57" s="19" t="s">
        <v>240</v>
      </c>
      <c r="G57" s="16">
        <v>1466.3</v>
      </c>
      <c r="H57" s="17">
        <v>1</v>
      </c>
      <c r="K57" s="18" t="s">
        <v>46</v>
      </c>
      <c r="L57" s="17">
        <v>1</v>
      </c>
      <c r="M57" s="21">
        <v>29</v>
      </c>
      <c r="Q57" s="20" t="s">
        <v>239</v>
      </c>
      <c r="R57" s="17">
        <v>1</v>
      </c>
      <c r="S57" s="16">
        <v>4239.99</v>
      </c>
    </row>
    <row r="58" spans="6:19" x14ac:dyDescent="0.35">
      <c r="F58" s="19" t="s">
        <v>241</v>
      </c>
      <c r="G58" s="16">
        <v>391.85</v>
      </c>
      <c r="H58" s="17">
        <v>2</v>
      </c>
      <c r="K58" s="19" t="s">
        <v>217</v>
      </c>
      <c r="L58" s="17">
        <v>2</v>
      </c>
      <c r="M58" s="16">
        <v>3989</v>
      </c>
      <c r="Q58" s="20" t="s">
        <v>240</v>
      </c>
      <c r="R58" s="17">
        <v>1</v>
      </c>
      <c r="S58" s="16">
        <v>1466.3</v>
      </c>
    </row>
    <row r="59" spans="6:19" x14ac:dyDescent="0.35">
      <c r="F59" s="14" t="s">
        <v>242</v>
      </c>
      <c r="G59" s="16">
        <v>12495.38</v>
      </c>
      <c r="H59" s="17">
        <v>15</v>
      </c>
      <c r="K59" s="18" t="s">
        <v>46</v>
      </c>
      <c r="L59" s="17">
        <v>2</v>
      </c>
      <c r="M59" s="21">
        <v>3989</v>
      </c>
      <c r="Q59" s="20" t="s">
        <v>241</v>
      </c>
      <c r="R59" s="17">
        <v>2</v>
      </c>
      <c r="S59" s="16">
        <v>391.85</v>
      </c>
    </row>
    <row r="60" spans="6:19" x14ac:dyDescent="0.35">
      <c r="F60" s="19" t="s">
        <v>243</v>
      </c>
      <c r="G60" s="16">
        <v>339</v>
      </c>
      <c r="H60" s="17">
        <v>1</v>
      </c>
      <c r="K60" s="19" t="s">
        <v>218</v>
      </c>
      <c r="L60" s="17">
        <v>1</v>
      </c>
      <c r="M60" s="16">
        <v>29</v>
      </c>
      <c r="Q60" s="15" t="s">
        <v>242</v>
      </c>
      <c r="R60" s="17">
        <v>15</v>
      </c>
      <c r="S60" s="16">
        <v>12495.38</v>
      </c>
    </row>
    <row r="61" spans="6:19" x14ac:dyDescent="0.35">
      <c r="F61" s="19" t="s">
        <v>244</v>
      </c>
      <c r="G61" s="16">
        <v>489.24</v>
      </c>
      <c r="H61" s="17">
        <v>1</v>
      </c>
      <c r="K61" s="18" t="s">
        <v>46</v>
      </c>
      <c r="L61" s="17">
        <v>1</v>
      </c>
      <c r="M61" s="21">
        <v>29</v>
      </c>
      <c r="Q61" s="20" t="s">
        <v>243</v>
      </c>
      <c r="R61" s="17">
        <v>1</v>
      </c>
      <c r="S61" s="16">
        <v>339</v>
      </c>
    </row>
    <row r="62" spans="6:19" x14ac:dyDescent="0.35">
      <c r="F62" s="19" t="s">
        <v>245</v>
      </c>
      <c r="G62" s="16">
        <v>7.09</v>
      </c>
      <c r="H62" s="17">
        <v>1</v>
      </c>
      <c r="K62" s="19" t="s">
        <v>219</v>
      </c>
      <c r="L62" s="17">
        <v>1</v>
      </c>
      <c r="M62" s="16">
        <v>24</v>
      </c>
      <c r="Q62" s="20" t="s">
        <v>244</v>
      </c>
      <c r="R62" s="17">
        <v>1</v>
      </c>
      <c r="S62" s="16">
        <v>489.24</v>
      </c>
    </row>
    <row r="63" spans="6:19" x14ac:dyDescent="0.35">
      <c r="F63" s="19" t="s">
        <v>246</v>
      </c>
      <c r="G63" s="16">
        <v>29</v>
      </c>
      <c r="H63" s="17">
        <v>1</v>
      </c>
      <c r="K63" s="18" t="s">
        <v>46</v>
      </c>
      <c r="L63" s="17">
        <v>1</v>
      </c>
      <c r="M63" s="21">
        <v>24</v>
      </c>
      <c r="Q63" s="20" t="s">
        <v>245</v>
      </c>
      <c r="R63" s="17">
        <v>1</v>
      </c>
      <c r="S63" s="16">
        <v>7.09</v>
      </c>
    </row>
    <row r="64" spans="6:19" x14ac:dyDescent="0.35">
      <c r="F64" s="19" t="s">
        <v>247</v>
      </c>
      <c r="G64" s="16">
        <v>600</v>
      </c>
      <c r="H64" s="17">
        <v>1</v>
      </c>
      <c r="K64" s="19" t="s">
        <v>220</v>
      </c>
      <c r="L64" s="17">
        <v>1</v>
      </c>
      <c r="M64" s="16">
        <v>149</v>
      </c>
      <c r="Q64" s="20" t="s">
        <v>246</v>
      </c>
      <c r="R64" s="17">
        <v>1</v>
      </c>
      <c r="S64" s="16">
        <v>29</v>
      </c>
    </row>
    <row r="65" spans="6:19" x14ac:dyDescent="0.35">
      <c r="F65" s="19" t="s">
        <v>248</v>
      </c>
      <c r="G65" s="16">
        <v>88</v>
      </c>
      <c r="H65" s="17">
        <v>1</v>
      </c>
      <c r="K65" s="18" t="s">
        <v>46</v>
      </c>
      <c r="L65" s="17">
        <v>1</v>
      </c>
      <c r="M65" s="21">
        <v>149</v>
      </c>
      <c r="Q65" s="20" t="s">
        <v>247</v>
      </c>
      <c r="R65" s="17">
        <v>1</v>
      </c>
      <c r="S65" s="16">
        <v>600</v>
      </c>
    </row>
    <row r="66" spans="6:19" x14ac:dyDescent="0.35">
      <c r="F66" s="19" t="s">
        <v>249</v>
      </c>
      <c r="G66" s="16">
        <v>174</v>
      </c>
      <c r="H66" s="17">
        <v>1</v>
      </c>
      <c r="K66" s="19" t="s">
        <v>221</v>
      </c>
      <c r="L66" s="17">
        <v>1</v>
      </c>
      <c r="M66" s="16">
        <v>300</v>
      </c>
      <c r="Q66" s="20" t="s">
        <v>248</v>
      </c>
      <c r="R66" s="17">
        <v>1</v>
      </c>
      <c r="S66" s="16">
        <v>88</v>
      </c>
    </row>
    <row r="67" spans="6:19" x14ac:dyDescent="0.35">
      <c r="F67" s="19" t="s">
        <v>250</v>
      </c>
      <c r="G67" s="16">
        <v>10306.469999999999</v>
      </c>
      <c r="H67" s="17">
        <v>3</v>
      </c>
      <c r="K67" s="18" t="s">
        <v>46</v>
      </c>
      <c r="L67" s="17">
        <v>1</v>
      </c>
      <c r="M67" s="21">
        <v>300</v>
      </c>
      <c r="Q67" s="20" t="s">
        <v>249</v>
      </c>
      <c r="R67" s="17">
        <v>1</v>
      </c>
      <c r="S67" s="16">
        <v>174</v>
      </c>
    </row>
    <row r="68" spans="6:19" x14ac:dyDescent="0.35">
      <c r="F68" s="19" t="s">
        <v>251</v>
      </c>
      <c r="G68" s="16">
        <v>50.93</v>
      </c>
      <c r="H68" s="17">
        <v>3</v>
      </c>
      <c r="K68" s="19" t="s">
        <v>222</v>
      </c>
      <c r="L68" s="17">
        <v>1</v>
      </c>
      <c r="M68" s="16">
        <v>94</v>
      </c>
      <c r="Q68" s="20" t="s">
        <v>250</v>
      </c>
      <c r="R68" s="17">
        <v>3</v>
      </c>
      <c r="S68" s="16">
        <v>10306.469999999999</v>
      </c>
    </row>
    <row r="69" spans="6:19" x14ac:dyDescent="0.35">
      <c r="F69" s="19" t="s">
        <v>252</v>
      </c>
      <c r="G69" s="16">
        <v>25</v>
      </c>
      <c r="H69" s="17">
        <v>1</v>
      </c>
      <c r="K69" s="18" t="s">
        <v>46</v>
      </c>
      <c r="L69" s="17">
        <v>1</v>
      </c>
      <c r="M69" s="21">
        <v>94</v>
      </c>
      <c r="Q69" s="20" t="s">
        <v>251</v>
      </c>
      <c r="R69" s="17">
        <v>3</v>
      </c>
      <c r="S69" s="16">
        <v>50.93</v>
      </c>
    </row>
    <row r="70" spans="6:19" x14ac:dyDescent="0.35">
      <c r="F70" s="19" t="s">
        <v>253</v>
      </c>
      <c r="G70" s="16">
        <v>386.65</v>
      </c>
      <c r="H70" s="17">
        <v>1</v>
      </c>
      <c r="K70" s="19" t="s">
        <v>223</v>
      </c>
      <c r="L70" s="17">
        <v>1</v>
      </c>
      <c r="M70" s="16">
        <v>149</v>
      </c>
      <c r="Q70" s="20" t="s">
        <v>252</v>
      </c>
      <c r="R70" s="17">
        <v>1</v>
      </c>
      <c r="S70" s="16">
        <v>25</v>
      </c>
    </row>
    <row r="71" spans="6:19" x14ac:dyDescent="0.35">
      <c r="F71" s="13" t="s">
        <v>182</v>
      </c>
      <c r="G71" s="16">
        <v>41873.33</v>
      </c>
      <c r="H71" s="17">
        <v>68</v>
      </c>
      <c r="K71" s="18" t="s">
        <v>46</v>
      </c>
      <c r="L71" s="17">
        <v>1</v>
      </c>
      <c r="M71" s="21">
        <v>149</v>
      </c>
      <c r="Q71" s="20" t="s">
        <v>253</v>
      </c>
      <c r="R71" s="17">
        <v>1</v>
      </c>
      <c r="S71" s="16">
        <v>386.65</v>
      </c>
    </row>
    <row r="72" spans="6:19" x14ac:dyDescent="0.35">
      <c r="K72" s="13" t="s">
        <v>224</v>
      </c>
      <c r="L72" s="17">
        <v>34</v>
      </c>
      <c r="M72" s="16">
        <v>22535.310000000005</v>
      </c>
      <c r="Q72" s="13" t="s">
        <v>182</v>
      </c>
      <c r="R72" s="17">
        <v>68</v>
      </c>
      <c r="S72" s="16">
        <v>41873.33</v>
      </c>
    </row>
    <row r="73" spans="6:19" x14ac:dyDescent="0.35">
      <c r="K73" s="14" t="s">
        <v>225</v>
      </c>
      <c r="L73" s="17">
        <v>7</v>
      </c>
      <c r="M73" s="16">
        <v>1575</v>
      </c>
    </row>
    <row r="74" spans="6:19" x14ac:dyDescent="0.35">
      <c r="K74" s="19" t="s">
        <v>226</v>
      </c>
      <c r="L74" s="17">
        <v>2</v>
      </c>
      <c r="M74" s="16">
        <v>839</v>
      </c>
    </row>
    <row r="75" spans="6:19" x14ac:dyDescent="0.35">
      <c r="K75" s="18" t="s">
        <v>46</v>
      </c>
      <c r="L75" s="17">
        <v>2</v>
      </c>
      <c r="M75" s="21">
        <v>839</v>
      </c>
    </row>
    <row r="76" spans="6:19" x14ac:dyDescent="0.35">
      <c r="K76" s="19" t="s">
        <v>227</v>
      </c>
      <c r="L76" s="17">
        <v>1</v>
      </c>
      <c r="M76" s="16">
        <v>29</v>
      </c>
    </row>
    <row r="77" spans="6:19" x14ac:dyDescent="0.35">
      <c r="K77" s="18" t="s">
        <v>46</v>
      </c>
      <c r="L77" s="17">
        <v>1</v>
      </c>
      <c r="M77" s="21">
        <v>29</v>
      </c>
    </row>
    <row r="78" spans="6:19" x14ac:dyDescent="0.35">
      <c r="K78" s="19" t="s">
        <v>228</v>
      </c>
      <c r="L78" s="17">
        <v>1</v>
      </c>
      <c r="M78" s="16">
        <v>24</v>
      </c>
    </row>
    <row r="79" spans="6:19" x14ac:dyDescent="0.35">
      <c r="K79" s="18" t="s">
        <v>46</v>
      </c>
      <c r="L79" s="17">
        <v>1</v>
      </c>
      <c r="M79" s="21">
        <v>24</v>
      </c>
    </row>
    <row r="80" spans="6:19" x14ac:dyDescent="0.35">
      <c r="K80" s="19" t="s">
        <v>229</v>
      </c>
      <c r="L80" s="17">
        <v>2</v>
      </c>
      <c r="M80" s="16">
        <v>534</v>
      </c>
    </row>
    <row r="81" spans="11:13" x14ac:dyDescent="0.35">
      <c r="K81" s="18" t="s">
        <v>46</v>
      </c>
      <c r="L81" s="17">
        <v>2</v>
      </c>
      <c r="M81" s="21">
        <v>534</v>
      </c>
    </row>
    <row r="82" spans="11:13" x14ac:dyDescent="0.35">
      <c r="K82" s="19" t="s">
        <v>230</v>
      </c>
      <c r="L82" s="17">
        <v>1</v>
      </c>
      <c r="M82" s="16">
        <v>149</v>
      </c>
    </row>
    <row r="83" spans="11:13" x14ac:dyDescent="0.35">
      <c r="K83" s="18" t="s">
        <v>46</v>
      </c>
      <c r="L83" s="17">
        <v>1</v>
      </c>
      <c r="M83" s="21">
        <v>149</v>
      </c>
    </row>
    <row r="84" spans="11:13" x14ac:dyDescent="0.35">
      <c r="K84" s="14" t="s">
        <v>231</v>
      </c>
      <c r="L84" s="17">
        <v>12</v>
      </c>
      <c r="M84" s="16">
        <v>8464.93</v>
      </c>
    </row>
    <row r="85" spans="11:13" x14ac:dyDescent="0.35">
      <c r="K85" s="19" t="s">
        <v>232</v>
      </c>
      <c r="L85" s="17">
        <v>1</v>
      </c>
      <c r="M85" s="16">
        <v>339</v>
      </c>
    </row>
    <row r="86" spans="11:13" x14ac:dyDescent="0.35">
      <c r="K86" s="18" t="s">
        <v>46</v>
      </c>
      <c r="L86" s="17">
        <v>1</v>
      </c>
      <c r="M86" s="21">
        <v>339</v>
      </c>
    </row>
    <row r="87" spans="11:13" x14ac:dyDescent="0.35">
      <c r="K87" s="19" t="s">
        <v>233</v>
      </c>
      <c r="L87" s="17">
        <v>1</v>
      </c>
      <c r="M87" s="16">
        <v>29</v>
      </c>
    </row>
    <row r="88" spans="11:13" x14ac:dyDescent="0.35">
      <c r="K88" s="18" t="s">
        <v>46</v>
      </c>
      <c r="L88" s="17">
        <v>1</v>
      </c>
      <c r="M88" s="21">
        <v>29</v>
      </c>
    </row>
    <row r="89" spans="11:13" x14ac:dyDescent="0.35">
      <c r="K89" s="19" t="s">
        <v>234</v>
      </c>
      <c r="L89" s="17">
        <v>2</v>
      </c>
      <c r="M89" s="16">
        <v>1035.7900000000002</v>
      </c>
    </row>
    <row r="90" spans="11:13" x14ac:dyDescent="0.35">
      <c r="K90" s="18" t="s">
        <v>46</v>
      </c>
      <c r="L90" s="17">
        <v>2</v>
      </c>
      <c r="M90" s="21">
        <v>1035.7900000000002</v>
      </c>
    </row>
    <row r="91" spans="11:13" x14ac:dyDescent="0.35">
      <c r="K91" s="19" t="s">
        <v>235</v>
      </c>
      <c r="L91" s="17">
        <v>1</v>
      </c>
      <c r="M91" s="16">
        <v>69</v>
      </c>
    </row>
    <row r="92" spans="11:13" x14ac:dyDescent="0.35">
      <c r="K92" s="18" t="s">
        <v>46</v>
      </c>
      <c r="L92" s="17">
        <v>1</v>
      </c>
      <c r="M92" s="21">
        <v>69</v>
      </c>
    </row>
    <row r="93" spans="11:13" x14ac:dyDescent="0.35">
      <c r="K93" s="19" t="s">
        <v>236</v>
      </c>
      <c r="L93" s="17">
        <v>1</v>
      </c>
      <c r="M93" s="16">
        <v>174</v>
      </c>
    </row>
    <row r="94" spans="11:13" x14ac:dyDescent="0.35">
      <c r="K94" s="18" t="s">
        <v>46</v>
      </c>
      <c r="L94" s="17">
        <v>1</v>
      </c>
      <c r="M94" s="21">
        <v>174</v>
      </c>
    </row>
    <row r="95" spans="11:13" x14ac:dyDescent="0.35">
      <c r="K95" s="19" t="s">
        <v>237</v>
      </c>
      <c r="L95" s="17">
        <v>1</v>
      </c>
      <c r="M95" s="16">
        <v>300</v>
      </c>
    </row>
    <row r="96" spans="11:13" x14ac:dyDescent="0.35">
      <c r="K96" s="18" t="s">
        <v>46</v>
      </c>
      <c r="L96" s="17">
        <v>1</v>
      </c>
      <c r="M96" s="21">
        <v>300</v>
      </c>
    </row>
    <row r="97" spans="11:13" x14ac:dyDescent="0.35">
      <c r="K97" s="19" t="s">
        <v>238</v>
      </c>
      <c r="L97" s="17">
        <v>1</v>
      </c>
      <c r="M97" s="16">
        <v>420</v>
      </c>
    </row>
    <row r="98" spans="11:13" x14ac:dyDescent="0.35">
      <c r="K98" s="18" t="s">
        <v>46</v>
      </c>
      <c r="L98" s="17">
        <v>1</v>
      </c>
      <c r="M98" s="21">
        <v>420</v>
      </c>
    </row>
    <row r="99" spans="11:13" x14ac:dyDescent="0.35">
      <c r="K99" s="19" t="s">
        <v>239</v>
      </c>
      <c r="L99" s="17">
        <v>1</v>
      </c>
      <c r="M99" s="16">
        <v>4239.99</v>
      </c>
    </row>
    <row r="100" spans="11:13" x14ac:dyDescent="0.35">
      <c r="K100" s="18" t="s">
        <v>46</v>
      </c>
      <c r="L100" s="17">
        <v>1</v>
      </c>
      <c r="M100" s="21">
        <v>4239.99</v>
      </c>
    </row>
    <row r="101" spans="11:13" x14ac:dyDescent="0.35">
      <c r="K101" s="19" t="s">
        <v>240</v>
      </c>
      <c r="L101" s="17">
        <v>1</v>
      </c>
      <c r="M101" s="16">
        <v>1466.3</v>
      </c>
    </row>
    <row r="102" spans="11:13" x14ac:dyDescent="0.35">
      <c r="K102" s="18" t="s">
        <v>46</v>
      </c>
      <c r="L102" s="17">
        <v>1</v>
      </c>
      <c r="M102" s="21">
        <v>1466.3</v>
      </c>
    </row>
    <row r="103" spans="11:13" x14ac:dyDescent="0.35">
      <c r="K103" s="19" t="s">
        <v>241</v>
      </c>
      <c r="L103" s="17">
        <v>2</v>
      </c>
      <c r="M103" s="16">
        <v>391.85</v>
      </c>
    </row>
    <row r="104" spans="11:13" x14ac:dyDescent="0.35">
      <c r="K104" s="18" t="s">
        <v>46</v>
      </c>
      <c r="L104" s="17">
        <v>2</v>
      </c>
      <c r="M104" s="21">
        <v>391.85</v>
      </c>
    </row>
    <row r="105" spans="11:13" x14ac:dyDescent="0.35">
      <c r="K105" s="14" t="s">
        <v>242</v>
      </c>
      <c r="L105" s="17">
        <v>15</v>
      </c>
      <c r="M105" s="16">
        <v>12495.38</v>
      </c>
    </row>
    <row r="106" spans="11:13" x14ac:dyDescent="0.35">
      <c r="K106" s="19" t="s">
        <v>243</v>
      </c>
      <c r="L106" s="17">
        <v>1</v>
      </c>
      <c r="M106" s="16">
        <v>339</v>
      </c>
    </row>
    <row r="107" spans="11:13" x14ac:dyDescent="0.35">
      <c r="K107" s="18" t="s">
        <v>46</v>
      </c>
      <c r="L107" s="17">
        <v>1</v>
      </c>
      <c r="M107" s="21">
        <v>339</v>
      </c>
    </row>
    <row r="108" spans="11:13" x14ac:dyDescent="0.35">
      <c r="K108" s="19" t="s">
        <v>244</v>
      </c>
      <c r="L108" s="17">
        <v>1</v>
      </c>
      <c r="M108" s="16">
        <v>489.24</v>
      </c>
    </row>
    <row r="109" spans="11:13" x14ac:dyDescent="0.35">
      <c r="K109" s="18" t="s">
        <v>46</v>
      </c>
      <c r="L109" s="17">
        <v>1</v>
      </c>
      <c r="M109" s="21">
        <v>489.24</v>
      </c>
    </row>
    <row r="110" spans="11:13" x14ac:dyDescent="0.35">
      <c r="K110" s="19" t="s">
        <v>245</v>
      </c>
      <c r="L110" s="17">
        <v>1</v>
      </c>
      <c r="M110" s="16">
        <v>7.09</v>
      </c>
    </row>
    <row r="111" spans="11:13" x14ac:dyDescent="0.35">
      <c r="K111" s="18" t="s">
        <v>46</v>
      </c>
      <c r="L111" s="17">
        <v>1</v>
      </c>
      <c r="M111" s="21">
        <v>7.09</v>
      </c>
    </row>
    <row r="112" spans="11:13" x14ac:dyDescent="0.35">
      <c r="K112" s="19" t="s">
        <v>246</v>
      </c>
      <c r="L112" s="17">
        <v>1</v>
      </c>
      <c r="M112" s="16">
        <v>29</v>
      </c>
    </row>
    <row r="113" spans="11:13" x14ac:dyDescent="0.35">
      <c r="K113" s="18" t="s">
        <v>46</v>
      </c>
      <c r="L113" s="17">
        <v>1</v>
      </c>
      <c r="M113" s="21">
        <v>29</v>
      </c>
    </row>
    <row r="114" spans="11:13" x14ac:dyDescent="0.35">
      <c r="K114" s="19" t="s">
        <v>247</v>
      </c>
      <c r="L114" s="17">
        <v>1</v>
      </c>
      <c r="M114" s="16">
        <v>600</v>
      </c>
    </row>
    <row r="115" spans="11:13" x14ac:dyDescent="0.35">
      <c r="K115" s="18" t="s">
        <v>46</v>
      </c>
      <c r="L115" s="17">
        <v>1</v>
      </c>
      <c r="M115" s="21">
        <v>600</v>
      </c>
    </row>
    <row r="116" spans="11:13" x14ac:dyDescent="0.35">
      <c r="K116" s="19" t="s">
        <v>248</v>
      </c>
      <c r="L116" s="17">
        <v>1</v>
      </c>
      <c r="M116" s="16">
        <v>88</v>
      </c>
    </row>
    <row r="117" spans="11:13" x14ac:dyDescent="0.35">
      <c r="K117" s="18" t="s">
        <v>46</v>
      </c>
      <c r="L117" s="17">
        <v>1</v>
      </c>
      <c r="M117" s="21">
        <v>88</v>
      </c>
    </row>
    <row r="118" spans="11:13" x14ac:dyDescent="0.35">
      <c r="K118" s="19" t="s">
        <v>249</v>
      </c>
      <c r="L118" s="17">
        <v>1</v>
      </c>
      <c r="M118" s="16">
        <v>174</v>
      </c>
    </row>
    <row r="119" spans="11:13" x14ac:dyDescent="0.35">
      <c r="K119" s="18" t="s">
        <v>46</v>
      </c>
      <c r="L119" s="17">
        <v>1</v>
      </c>
      <c r="M119" s="21">
        <v>174</v>
      </c>
    </row>
    <row r="120" spans="11:13" x14ac:dyDescent="0.35">
      <c r="K120" s="19" t="s">
        <v>250</v>
      </c>
      <c r="L120" s="17">
        <v>3</v>
      </c>
      <c r="M120" s="16">
        <v>10306.469999999999</v>
      </c>
    </row>
    <row r="121" spans="11:13" x14ac:dyDescent="0.35">
      <c r="K121" s="18" t="s">
        <v>46</v>
      </c>
      <c r="L121" s="17">
        <v>3</v>
      </c>
      <c r="M121" s="21">
        <v>10306.469999999999</v>
      </c>
    </row>
    <row r="122" spans="11:13" x14ac:dyDescent="0.35">
      <c r="K122" s="19" t="s">
        <v>251</v>
      </c>
      <c r="L122" s="17">
        <v>3</v>
      </c>
      <c r="M122" s="16">
        <v>50.93</v>
      </c>
    </row>
    <row r="123" spans="11:13" x14ac:dyDescent="0.35">
      <c r="K123" s="18" t="s">
        <v>46</v>
      </c>
      <c r="L123" s="17">
        <v>3</v>
      </c>
      <c r="M123" s="21">
        <v>50.93</v>
      </c>
    </row>
    <row r="124" spans="11:13" x14ac:dyDescent="0.35">
      <c r="K124" s="19" t="s">
        <v>252</v>
      </c>
      <c r="L124" s="17">
        <v>1</v>
      </c>
      <c r="M124" s="16">
        <v>25</v>
      </c>
    </row>
    <row r="125" spans="11:13" x14ac:dyDescent="0.35">
      <c r="K125" s="18" t="s">
        <v>46</v>
      </c>
      <c r="L125" s="17">
        <v>1</v>
      </c>
      <c r="M125" s="21">
        <v>25</v>
      </c>
    </row>
    <row r="126" spans="11:13" x14ac:dyDescent="0.35">
      <c r="K126" s="19" t="s">
        <v>253</v>
      </c>
      <c r="L126" s="17">
        <v>1</v>
      </c>
      <c r="M126" s="16">
        <v>386.65</v>
      </c>
    </row>
    <row r="127" spans="11:13" x14ac:dyDescent="0.35">
      <c r="K127" s="18" t="s">
        <v>46</v>
      </c>
      <c r="L127" s="17">
        <v>1</v>
      </c>
      <c r="M127" s="21">
        <v>386.65</v>
      </c>
    </row>
    <row r="128" spans="11:13" x14ac:dyDescent="0.35">
      <c r="K128" s="13" t="s">
        <v>182</v>
      </c>
      <c r="L128" s="17">
        <v>68</v>
      </c>
      <c r="M128" s="16">
        <v>41873.33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Lookback Transactions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Saha</dc:creator>
  <cp:lastModifiedBy>Swapnil Saha</cp:lastModifiedBy>
  <dcterms:created xsi:type="dcterms:W3CDTF">2026-09-17T09:51:43Z</dcterms:created>
  <dcterms:modified xsi:type="dcterms:W3CDTF">2026-09-17T09:59:28Z</dcterms:modified>
</cp:coreProperties>
</file>